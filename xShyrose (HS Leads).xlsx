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ILY LEADS" sheetId="1" r:id="rId3"/>
    <sheet state="visible" name="EMAAR KIOSK" sheetId="2" r:id="rId4"/>
    <sheet state="visible" name="NSHAMA KIOSK" sheetId="3" r:id="rId5"/>
    <sheet state="visible" name="my leads" sheetId="4" r:id="rId6"/>
    <sheet state="visible" name="COLOMBO EVENT" sheetId="5" r:id="rId7"/>
    <sheet state="visible" name="meraas" sheetId="6" r:id="rId8"/>
    <sheet state="visible" name="Bldg. 9 Bluewaters" sheetId="7" r:id="rId9"/>
    <sheet state="visible" name="DATA" sheetId="8" r:id="rId10"/>
    <sheet state="visible" name="LIST TO CALL" sheetId="9" r:id="rId11"/>
  </sheets>
  <definedNames>
    <definedName hidden="1" localSheetId="2" name="_xlnm._FilterDatabase">'NSHAMA KIOSK'!$M$1:$M$1001</definedName>
  </definedNames>
  <calcPr/>
</workbook>
</file>

<file path=xl/sharedStrings.xml><?xml version="1.0" encoding="utf-8"?>
<sst xmlns="http://schemas.openxmlformats.org/spreadsheetml/2006/main" count="31090" uniqueCount="11605">
  <si>
    <t>Date :</t>
  </si>
  <si>
    <t>Name:</t>
  </si>
  <si>
    <t>Email:</t>
  </si>
  <si>
    <t>Mobile:</t>
  </si>
  <si>
    <t xml:space="preserve">Job: </t>
  </si>
  <si>
    <t>Coments:</t>
  </si>
  <si>
    <t>Developer</t>
  </si>
  <si>
    <t>Project -</t>
  </si>
  <si>
    <t>From</t>
  </si>
  <si>
    <t>Agent</t>
  </si>
  <si>
    <t>Feedback</t>
  </si>
  <si>
    <t>Deepti Bijay Kumar</t>
  </si>
  <si>
    <t>sweetgirltatsme87@gmail.com</t>
  </si>
  <si>
    <t>97152320-4917</t>
  </si>
  <si>
    <t>Esthetician/Owner</t>
  </si>
  <si>
    <t>3_bedrooms</t>
  </si>
  <si>
    <t>Emaar</t>
  </si>
  <si>
    <t>EM-Beachfront</t>
  </si>
  <si>
    <t>fb</t>
  </si>
  <si>
    <t>Shyrose</t>
  </si>
  <si>
    <t>looking to buy in 2020</t>
  </si>
  <si>
    <t>nadeem</t>
  </si>
  <si>
    <t>nads1787@hotmail.co.uk</t>
  </si>
  <si>
    <t>2- bed price and payment plan</t>
  </si>
  <si>
    <t>Sunrise Bay by Emaar</t>
  </si>
  <si>
    <t>IL</t>
  </si>
  <si>
    <t>shyrose</t>
  </si>
  <si>
    <t>sent all details no feedback</t>
  </si>
  <si>
    <t>22.6.2019</t>
  </si>
  <si>
    <t xml:space="preserve"> Mohammed Al Hashimy</t>
  </si>
  <si>
    <t>hashimy722004@yahoo.com</t>
  </si>
  <si>
    <t xml:space="preserve"> 0097455009355</t>
  </si>
  <si>
    <t xml:space="preserve"> Doctor</t>
  </si>
  <si>
    <t>MERAAS</t>
  </si>
  <si>
    <t>Cherrywoods</t>
  </si>
  <si>
    <t>sent all details still not reverted back</t>
  </si>
  <si>
    <t xml:space="preserve"> Umesh</t>
  </si>
  <si>
    <t>umeshsa@gmail.com</t>
  </si>
  <si>
    <t>00971509285246</t>
  </si>
  <si>
    <t>1 bedroom</t>
  </si>
  <si>
    <t>Surf</t>
  </si>
  <si>
    <t>sent all details will update me</t>
  </si>
  <si>
    <t>Kessydriz</t>
  </si>
  <si>
    <t>Aderehinwoabiodunpeter1@gmail.com</t>
  </si>
  <si>
    <t xml:space="preserve"> 002349033364761</t>
  </si>
  <si>
    <t>SEASHORE</t>
  </si>
  <si>
    <t>SENT ALL DETAILS CLIENT NOT RESPONDING CALLS</t>
  </si>
  <si>
    <t>Ali Shah Gallani</t>
  </si>
  <si>
    <t>Boyaligo@gmail.com</t>
  </si>
  <si>
    <t xml:space="preserve"> 0012499960011</t>
  </si>
  <si>
    <t>ASEEL</t>
  </si>
  <si>
    <t>NOT INTERESTED</t>
  </si>
  <si>
    <t>SachiN</t>
  </si>
  <si>
    <t xml:space="preserve"> sr.forwards@gmail.com</t>
  </si>
  <si>
    <t>+27846083821</t>
  </si>
  <si>
    <t xml:space="preserve"> DOWNTOWN VIEW</t>
  </si>
  <si>
    <t>sent more offers</t>
  </si>
  <si>
    <t>Nishad Mn</t>
  </si>
  <si>
    <t>nishad_mn@live.com</t>
  </si>
  <si>
    <t>Damac</t>
  </si>
  <si>
    <t>FENDI</t>
  </si>
  <si>
    <t>Preparing the email</t>
  </si>
  <si>
    <t>Yousif Ajaji</t>
  </si>
  <si>
    <t>ajajiy1@gmail.com</t>
  </si>
  <si>
    <t>+971551182020</t>
  </si>
  <si>
    <t>Radisson</t>
  </si>
  <si>
    <t>Broker</t>
  </si>
  <si>
    <t xml:space="preserve"> Abdulsalm</t>
  </si>
  <si>
    <t>mcc.salam@gmail.com</t>
  </si>
  <si>
    <t xml:space="preserve"> +966506288999</t>
  </si>
  <si>
    <t xml:space="preserve"> FENDI</t>
  </si>
  <si>
    <t>No answer</t>
  </si>
  <si>
    <t>Nael Dawodieh</t>
  </si>
  <si>
    <t>naelkhamis82@gmail.com</t>
  </si>
  <si>
    <t>1Bed</t>
  </si>
  <si>
    <t>RADISSON</t>
  </si>
  <si>
    <t>Offered by email/ watzup Collective</t>
  </si>
  <si>
    <t>Janis D'souza</t>
  </si>
  <si>
    <t>pinkpepper@gmail.com</t>
  </si>
  <si>
    <t>+971504203435</t>
  </si>
  <si>
    <t>RADISSON BY DAMAC</t>
  </si>
  <si>
    <t>Hossam</t>
  </si>
  <si>
    <t>hkobrosy@gmail.com</t>
  </si>
  <si>
    <t>Still exploring</t>
  </si>
  <si>
    <t>ყµℓเαɳα</t>
  </si>
  <si>
    <t>gaelg869414@gmail.com</t>
  </si>
  <si>
    <t>still no response</t>
  </si>
  <si>
    <t>Jasem Alhammadi</t>
  </si>
  <si>
    <t>jalhammadiruwais@gmail.com</t>
  </si>
  <si>
    <t>DP</t>
  </si>
  <si>
    <t>DP EVENT 7th Sept</t>
  </si>
  <si>
    <t>i have invited him to two events/ no answer</t>
  </si>
  <si>
    <t>Ali Hyder</t>
  </si>
  <si>
    <t>jannatyah@gmail.com</t>
  </si>
  <si>
    <t>0556264982</t>
  </si>
  <si>
    <t>Nshama</t>
  </si>
  <si>
    <t>RAWDA</t>
  </si>
  <si>
    <t>requested call back/ sent an offer via watzup</t>
  </si>
  <si>
    <t>Joanne Clemente</t>
  </si>
  <si>
    <t>annie.ebron@live.co.uk</t>
  </si>
  <si>
    <t>voicemail/ will send email about emaar beach front</t>
  </si>
  <si>
    <t>9/10-2019</t>
  </si>
  <si>
    <t>Hendry Setiadji</t>
  </si>
  <si>
    <t>hendry_lee@hotmail.co.uk</t>
  </si>
  <si>
    <t>EMERALD PLOTS</t>
  </si>
  <si>
    <t>voicemail</t>
  </si>
  <si>
    <t>DCH EMAAR OFFER</t>
  </si>
  <si>
    <t>Amran</t>
  </si>
  <si>
    <t>amranzia@yahoo.com</t>
  </si>
  <si>
    <t>0504449416</t>
  </si>
  <si>
    <t>LORETO</t>
  </si>
  <si>
    <t>sent watzup</t>
  </si>
  <si>
    <t>Mohd Asif Nasim</t>
  </si>
  <si>
    <t>asifnaseem75@gmail.com</t>
  </si>
  <si>
    <t>EMAAR OFFER</t>
  </si>
  <si>
    <t>emailed didnt get any reply</t>
  </si>
  <si>
    <t>Abbas</t>
  </si>
  <si>
    <t>Abbas@lubrex.net</t>
  </si>
  <si>
    <t>4_bed_townhouses</t>
  </si>
  <si>
    <t>LA ROSA</t>
  </si>
  <si>
    <t xml:space="preserve">again he requested call back </t>
  </si>
  <si>
    <t>Adrian Butler</t>
  </si>
  <si>
    <t>adrian.butler.acm@gmail.com</t>
  </si>
  <si>
    <t>SPAIN</t>
  </si>
  <si>
    <t>PARAMOUNT BY DAMAC</t>
  </si>
  <si>
    <t>Krishna Rai</t>
  </si>
  <si>
    <t>krishraik@yahoo.com</t>
  </si>
  <si>
    <t>Lefteris Kyriacou</t>
  </si>
  <si>
    <t>lefteris.kyriacou@gmail.com</t>
  </si>
  <si>
    <t>Oladokun Adeyemi</t>
  </si>
  <si>
    <t>adeyemioladokun@gmail.com</t>
  </si>
  <si>
    <t xml:space="preserve">DAMAC RESIDENZE </t>
  </si>
  <si>
    <t>Mohamed Taarabit</t>
  </si>
  <si>
    <t>m.taarabit@yahoo.com</t>
  </si>
  <si>
    <t>3_bedroom</t>
  </si>
  <si>
    <t>GOLFTOWN DIWALI OFFER</t>
  </si>
  <si>
    <t>Miguel Mandevia Matinong</t>
  </si>
  <si>
    <t>kapitan_miguel@yahoo.com</t>
  </si>
  <si>
    <t>2_bedroom</t>
  </si>
  <si>
    <t>Naeem Ghauri</t>
  </si>
  <si>
    <t>naeemghauri@hotmail.com</t>
  </si>
  <si>
    <t>Steaua Cip</t>
  </si>
  <si>
    <t>cipsimion50@gmail.com</t>
  </si>
  <si>
    <t>price_and_payment_plan_offer</t>
  </si>
  <si>
    <t>AMADU Mansaray</t>
  </si>
  <si>
    <t>amadray2000@yahoo.com</t>
  </si>
  <si>
    <t>UK</t>
  </si>
  <si>
    <t>Mr Ali</t>
  </si>
  <si>
    <t>asaddarali1@hotmail.com</t>
  </si>
  <si>
    <t xml:space="preserve"> 07412328618</t>
  </si>
  <si>
    <t>DAMAC RESIDENZE</t>
  </si>
  <si>
    <t>Verna Gee</t>
  </si>
  <si>
    <t>ms1@live.co.uk</t>
  </si>
  <si>
    <t>Ludgero Ramos Noruega</t>
  </si>
  <si>
    <t>lrnoruega@gmail.com</t>
  </si>
  <si>
    <t>Agatha Price</t>
  </si>
  <si>
    <t>agatha_ptrs@yahoo.co.uk</t>
  </si>
  <si>
    <t>Ahmed barwish</t>
  </si>
  <si>
    <t xml:space="preserve"> darwish_parts@hotmail.com</t>
  </si>
  <si>
    <t xml:space="preserve"> 00201223306589</t>
  </si>
  <si>
    <t>DAMAC OFFER</t>
  </si>
  <si>
    <t>Malik Ahad</t>
  </si>
  <si>
    <t xml:space="preserve"> malz_73@hotmail.com</t>
  </si>
  <si>
    <t>07950232997</t>
  </si>
  <si>
    <t>GHAZANFAR KARIM</t>
  </si>
  <si>
    <t xml:space="preserve"> gaz_karim@hotmail.com</t>
  </si>
  <si>
    <t xml:space="preserve"> +44 79-4455-5575</t>
  </si>
  <si>
    <t>Ahmad Khan Tareen</t>
  </si>
  <si>
    <t>ahmadkhantareen@hotmail.com</t>
  </si>
  <si>
    <t>Yasir Ahmad</t>
  </si>
  <si>
    <t>yassir777.ya@gmail.com</t>
  </si>
  <si>
    <t>Fawad Habib</t>
  </si>
  <si>
    <t>fawadhabib@gmail.com</t>
  </si>
  <si>
    <t>t srinivas</t>
  </si>
  <si>
    <t>tsrinivas1971@gmail.com</t>
  </si>
  <si>
    <t>Munish Ghai</t>
  </si>
  <si>
    <t>mg888827@yahoo.co.in</t>
  </si>
  <si>
    <t xml:space="preserve"> Abdulaziz alshiha</t>
  </si>
  <si>
    <t>Email: Alshiha@hotmail.com</t>
  </si>
  <si>
    <t>Phone: +966 5-5582-0600</t>
  </si>
  <si>
    <t>Ali Mohsin Badaam</t>
  </si>
  <si>
    <t>dr_alibadaam@yahoo.co.in</t>
  </si>
  <si>
    <t>SAMAMA GOLFVIEW</t>
  </si>
  <si>
    <t>TDM Waterfall</t>
  </si>
  <si>
    <t>H&amp;S REAL ESTATE</t>
  </si>
  <si>
    <t>19-12-2019</t>
  </si>
  <si>
    <t>Tashini</t>
  </si>
  <si>
    <t>Pathinayake</t>
  </si>
  <si>
    <t>Sri Lanka: 0094</t>
  </si>
  <si>
    <t>9477273-0252</t>
  </si>
  <si>
    <t>tashinipathinayake97@gmail.com</t>
  </si>
  <si>
    <t>Sri Lanka</t>
  </si>
  <si>
    <t>Niko</t>
  </si>
  <si>
    <t>Dzeparoski</t>
  </si>
  <si>
    <t>Canada: 001</t>
  </si>
  <si>
    <t>1647999-2152</t>
  </si>
  <si>
    <t>dzeparoski_nikola@yahoo.com</t>
  </si>
  <si>
    <t>Canada</t>
  </si>
  <si>
    <t>Muhammad Hasan Ehsan</t>
  </si>
  <si>
    <t>Canadian guy 1 br Investments Shyrose</t>
  </si>
  <si>
    <t>17-01-2020</t>
  </si>
  <si>
    <t>Rehab</t>
  </si>
  <si>
    <t>hamdy</t>
  </si>
  <si>
    <t>United Arab Emirates: 00971</t>
  </si>
  <si>
    <t>97150806-3070</t>
  </si>
  <si>
    <t>dr_rhamdy@hotmail.com</t>
  </si>
  <si>
    <t>Egypt</t>
  </si>
  <si>
    <t>United Arab Emirates</t>
  </si>
  <si>
    <t>Majid</t>
  </si>
  <si>
    <t>97150227-9503</t>
  </si>
  <si>
    <t>no@email.com</t>
  </si>
  <si>
    <t>Iran Islamic Republic of</t>
  </si>
  <si>
    <t>Saif</t>
  </si>
  <si>
    <t>Talib</t>
  </si>
  <si>
    <t>Oman: 00968</t>
  </si>
  <si>
    <t>9689918-1323</t>
  </si>
  <si>
    <t>eethaq@outlook.com</t>
  </si>
  <si>
    <t>Oman</t>
  </si>
  <si>
    <t>Fanny</t>
  </si>
  <si>
    <t>Triboulloy</t>
  </si>
  <si>
    <t>France: 0033</t>
  </si>
  <si>
    <t>3361654-0343</t>
  </si>
  <si>
    <t>triboulloyfanny@yahoo.fr</t>
  </si>
  <si>
    <t>France</t>
  </si>
  <si>
    <t>Aurora</t>
  </si>
  <si>
    <t>DATE</t>
  </si>
  <si>
    <t>First Name</t>
  </si>
  <si>
    <t>Last Name</t>
  </si>
  <si>
    <t>Email</t>
  </si>
  <si>
    <t>Nationality</t>
  </si>
  <si>
    <t>Mobile Country Code</t>
  </si>
  <si>
    <t>Mobile Phone</t>
  </si>
  <si>
    <t>Type of Unit</t>
  </si>
  <si>
    <t>No of Bedrooms</t>
  </si>
  <si>
    <t xml:space="preserve">   </t>
  </si>
  <si>
    <t>CX Comment</t>
  </si>
  <si>
    <t>nSHAMA Agent</t>
  </si>
  <si>
    <t>H&amp;S Agent</t>
  </si>
  <si>
    <t>Ayoub</t>
  </si>
  <si>
    <t>ayouba561@yahoo.com</t>
  </si>
  <si>
    <t>Jordan</t>
  </si>
  <si>
    <t>Morning</t>
  </si>
  <si>
    <t>Left country will con</t>
  </si>
  <si>
    <t>Taima</t>
  </si>
  <si>
    <t>Mohanad</t>
  </si>
  <si>
    <t>Yahia</t>
  </si>
  <si>
    <t>abortaj12@gmail.com</t>
  </si>
  <si>
    <t>Sudan</t>
  </si>
  <si>
    <t>(055) 255-3526</t>
  </si>
  <si>
    <t>Sent watzup</t>
  </si>
  <si>
    <t>Alberto</t>
  </si>
  <si>
    <t>Belladonna</t>
  </si>
  <si>
    <t>alberto.belladonna@gmail.com</t>
  </si>
  <si>
    <t>Italy</t>
  </si>
  <si>
    <t>Apartment</t>
  </si>
  <si>
    <t>2 Bed</t>
  </si>
  <si>
    <t>Travelled back in Sept</t>
  </si>
  <si>
    <t>RajPuri</t>
  </si>
  <si>
    <t>rajpuri1972@yahoo.co.ukNationality</t>
  </si>
  <si>
    <t>United Kingdom</t>
  </si>
  <si>
    <t>United Kingdom:+44</t>
  </si>
  <si>
    <t>+7956129390</t>
  </si>
  <si>
    <t>3 Bed</t>
  </si>
  <si>
    <t>Rashid</t>
  </si>
  <si>
    <t>Mohammed</t>
  </si>
  <si>
    <t>Jamil</t>
  </si>
  <si>
    <t>jamilsaj@outlook.com</t>
  </si>
  <si>
    <t>United Kingdom: '+44</t>
  </si>
  <si>
    <t>+7949165575</t>
  </si>
  <si>
    <t>Following up viewing</t>
  </si>
  <si>
    <t>Mamdooh</t>
  </si>
  <si>
    <t>Alenezi</t>
  </si>
  <si>
    <t>mamdo1908@gmail.com</t>
  </si>
  <si>
    <t>KSA</t>
  </si>
  <si>
    <t>(050) 447-0395</t>
  </si>
  <si>
    <t>Not genuine</t>
  </si>
  <si>
    <t>Alhussein</t>
  </si>
  <si>
    <t>xon@outlook.com</t>
  </si>
  <si>
    <t>Saudi Arabia</t>
  </si>
  <si>
    <t>966</t>
  </si>
  <si>
    <t>Townhouse</t>
  </si>
  <si>
    <t>4 Bed</t>
  </si>
  <si>
    <t>celma</t>
  </si>
  <si>
    <t>ceumi@hotmail.com</t>
  </si>
  <si>
    <t>Angola</t>
  </si>
  <si>
    <t>+244</t>
  </si>
  <si>
    <t>david klippenstein</t>
  </si>
  <si>
    <t>david@dkstein.comNationality</t>
  </si>
  <si>
    <t>0562265781</t>
  </si>
  <si>
    <t>2 BED</t>
  </si>
  <si>
    <t xml:space="preserve">Mohammed </t>
  </si>
  <si>
    <t>Al Hussein</t>
  </si>
  <si>
    <t>966509093057</t>
  </si>
  <si>
    <t>rashid</t>
  </si>
  <si>
    <t xml:space="preserve">Rebecca </t>
  </si>
  <si>
    <t>Jaffri</t>
  </si>
  <si>
    <t>r_jaffri2000@hotmail.co.uk</t>
  </si>
  <si>
    <t>7756647730</t>
  </si>
  <si>
    <t>mohammed</t>
  </si>
  <si>
    <t>othman</t>
  </si>
  <si>
    <t>skylinesfuture@gmail.com</t>
  </si>
  <si>
    <t>Lebanon</t>
  </si>
  <si>
    <t>Sidharth</t>
  </si>
  <si>
    <t>sheirose</t>
  </si>
  <si>
    <t>Mohammad</t>
  </si>
  <si>
    <t>M</t>
  </si>
  <si>
    <t>971</t>
  </si>
  <si>
    <t>Sheirose/ Saira</t>
  </si>
  <si>
    <t>Francisco</t>
  </si>
  <si>
    <t>Sebastian</t>
  </si>
  <si>
    <t>fsebastian@faseba.com</t>
  </si>
  <si>
    <t>Spain</t>
  </si>
  <si>
    <t>1 Bed</t>
  </si>
  <si>
    <t>Malik</t>
  </si>
  <si>
    <t>Al jaradi</t>
  </si>
  <si>
    <t>x@gmail.com</t>
  </si>
  <si>
    <t>Sheirose</t>
  </si>
  <si>
    <t>Liam</t>
  </si>
  <si>
    <t>Gaughan</t>
  </si>
  <si>
    <t>gaughan.liam@gmail.com</t>
  </si>
  <si>
    <t>Ireland</t>
  </si>
  <si>
    <t>(085) 721-5581</t>
  </si>
  <si>
    <t>Sager</t>
  </si>
  <si>
    <t>Nadershah</t>
  </si>
  <si>
    <t>sagershah@gmail.om</t>
  </si>
  <si>
    <t xml:space="preserve">Sheirose </t>
  </si>
  <si>
    <t>Yaser</t>
  </si>
  <si>
    <t>Chabarek</t>
  </si>
  <si>
    <t>architect-chabarek@hotmail.com</t>
  </si>
  <si>
    <t>Syria</t>
  </si>
  <si>
    <t>Studio</t>
  </si>
  <si>
    <t>arun</t>
  </si>
  <si>
    <t>xx</t>
  </si>
  <si>
    <t>xx@hotmail.com</t>
  </si>
  <si>
    <t>(050) 993-7723</t>
  </si>
  <si>
    <t>-</t>
  </si>
  <si>
    <t>rasheed</t>
  </si>
  <si>
    <t>shyrose-</t>
  </si>
  <si>
    <t>Fawaz</t>
  </si>
  <si>
    <t>Xxx</t>
  </si>
  <si>
    <t>xx@gmail.com</t>
  </si>
  <si>
    <t>Kuwait</t>
  </si>
  <si>
    <t>Rasheed</t>
  </si>
  <si>
    <t>Shyrose-</t>
  </si>
  <si>
    <t>Abeer</t>
  </si>
  <si>
    <t>xxx@hotmail.com</t>
  </si>
  <si>
    <t>(050) 760-8165</t>
  </si>
  <si>
    <t xml:space="preserve"> rasheed</t>
  </si>
  <si>
    <t>Amaan</t>
  </si>
  <si>
    <t>Iqbal</t>
  </si>
  <si>
    <t>amaan_iqbal@icloud.com</t>
  </si>
  <si>
    <t>Xxxx</t>
  </si>
  <si>
    <t xml:space="preserve"> Rasheed</t>
  </si>
  <si>
    <t>ashfaq</t>
  </si>
  <si>
    <t>parvez</t>
  </si>
  <si>
    <t>ashfaqpavez@gmail.com</t>
  </si>
  <si>
    <t>(742) 909-8969</t>
  </si>
  <si>
    <t>Mid day</t>
  </si>
  <si>
    <t xml:space="preserve">rashid </t>
  </si>
  <si>
    <t>kayzan</t>
  </si>
  <si>
    <t>xxx</t>
  </si>
  <si>
    <t>India</t>
  </si>
  <si>
    <t>Alain</t>
  </si>
  <si>
    <t>bhannini</t>
  </si>
  <si>
    <t>montecristos@1234hotmail.com</t>
  </si>
  <si>
    <t>Sweden</t>
  </si>
  <si>
    <t>NAME</t>
  </si>
  <si>
    <t>MOBILE</t>
  </si>
  <si>
    <t>EMAIL</t>
  </si>
  <si>
    <t>FEEDBACK</t>
  </si>
  <si>
    <t>Jamil kalsekar</t>
  </si>
  <si>
    <t>Buyer Mr Jamil kalsekar wants to buy 15/20 3Bedrooms Sama Nshma townhouses ready to pay 50% advance and 50%on completion 950k inc DLD Fee 2240sqft inc parking after 4 years will be budget housing society</t>
  </si>
  <si>
    <t>sent to Fahad</t>
  </si>
  <si>
    <t>EVENT</t>
  </si>
  <si>
    <t>COMMUNICATION</t>
  </si>
  <si>
    <t>COLOMBO EVENT</t>
  </si>
  <si>
    <t>Mohamed Munas</t>
  </si>
  <si>
    <t>medamunas1955@gmail.com</t>
  </si>
  <si>
    <t>No response</t>
  </si>
  <si>
    <t>Nilantha De Silv</t>
  </si>
  <si>
    <t>gpnilantha@gmail.com</t>
  </si>
  <si>
    <t>Sunday 2pm</t>
  </si>
  <si>
    <t>Ruwan Abeysirigunawardena</t>
  </si>
  <si>
    <t>ruwanab2004@yahoo.com</t>
  </si>
  <si>
    <t xml:space="preserve">must email details </t>
  </si>
  <si>
    <t>Mohamed Zinhar</t>
  </si>
  <si>
    <t>mzinhar4218@gmail.com</t>
  </si>
  <si>
    <t>Watzup</t>
  </si>
  <si>
    <t>Mohamad Ramzan</t>
  </si>
  <si>
    <t>ramzan_55555@yahoo.com</t>
  </si>
  <si>
    <t>MGM Ansari</t>
  </si>
  <si>
    <t>ansari@amtrust.lk</t>
  </si>
  <si>
    <t>Razmi Ismail</t>
  </si>
  <si>
    <t>jayasri2020@yahoo.com</t>
  </si>
  <si>
    <t>Manoj Delecion Fernando</t>
  </si>
  <si>
    <t>manoj_delecion@yahoo.com</t>
  </si>
  <si>
    <t>Sunday 10am</t>
  </si>
  <si>
    <t>dawalegm ahcariga susantha</t>
  </si>
  <si>
    <t>susantha269@gmail.com</t>
  </si>
  <si>
    <t>Saturday 11am</t>
  </si>
  <si>
    <t>Rizmi Farooq</t>
  </si>
  <si>
    <t>pietersen26@yahoo.com</t>
  </si>
  <si>
    <t>Manjula Saravanan</t>
  </si>
  <si>
    <t>manjusara2002@gmail.com</t>
  </si>
  <si>
    <t>H.V. Dinesh Tharanga Vithanage</t>
  </si>
  <si>
    <t>dineshthara@gmail.com</t>
  </si>
  <si>
    <t>Ranil Seneviratne</t>
  </si>
  <si>
    <t>ranilddd@gmail.com</t>
  </si>
  <si>
    <t>Prithiv Dorai</t>
  </si>
  <si>
    <t>prithiv.dorai@gmail.com</t>
  </si>
  <si>
    <t>Ravinda Dissanayaka</t>
  </si>
  <si>
    <t>ravindradissanayaka88@gmail.com</t>
  </si>
  <si>
    <t>Naba Fareed</t>
  </si>
  <si>
    <t>naba.expo@gmail.com</t>
  </si>
  <si>
    <t>Azam Mohammed</t>
  </si>
  <si>
    <t>Sampath Fernando Tts</t>
  </si>
  <si>
    <t>Fern981@icloud.com</t>
  </si>
  <si>
    <t>Asela Liyanage</t>
  </si>
  <si>
    <t>faselaliyanage@gmail.com</t>
  </si>
  <si>
    <t>Sujeewa Suriyaarachchi</t>
  </si>
  <si>
    <t>surihold@yahoo.com</t>
  </si>
  <si>
    <t>ඉරේෂ් උද්ධික</t>
  </si>
  <si>
    <t>iuddhike@gmail.com</t>
  </si>
  <si>
    <t>Susantha Priyadarshana</t>
  </si>
  <si>
    <t>senarathnasons@gmail.com</t>
  </si>
  <si>
    <t>mohamed farook mohamed thoufeek</t>
  </si>
  <si>
    <t>2018thoufeek@gmail.com</t>
  </si>
  <si>
    <t>Mohamad Safnas</t>
  </si>
  <si>
    <t>safnasf@yahoo.com</t>
  </si>
  <si>
    <t>Sulaiman</t>
  </si>
  <si>
    <t>sulai54@gmail.com</t>
  </si>
  <si>
    <t>Hussain Sadique Mohamed Zulfikar</t>
  </si>
  <si>
    <t>zulfisadi8@gmail.com</t>
  </si>
  <si>
    <t>Chary Navaratnam</t>
  </si>
  <si>
    <t>glenlivera@gmail.com</t>
  </si>
  <si>
    <t>Msm Zaneer</t>
  </si>
  <si>
    <t>create6444@gmail.com</t>
  </si>
  <si>
    <t>Mohomed Uwaiz</t>
  </si>
  <si>
    <t>osmaend@gmail.com</t>
  </si>
  <si>
    <t>Riyaz Muhammed</t>
  </si>
  <si>
    <t>ridhathalha89@gmail.com</t>
  </si>
  <si>
    <t>sumudu manjula wilmot</t>
  </si>
  <si>
    <t>electratechnologygroup@gmail.com</t>
  </si>
  <si>
    <t>Mansoor</t>
  </si>
  <si>
    <t>shafraz_mansoor@hotmail.com</t>
  </si>
  <si>
    <t>Lina Ehsan</t>
  </si>
  <si>
    <t>lina@expatkey.com</t>
  </si>
  <si>
    <t>Shi Umashankar</t>
  </si>
  <si>
    <t>u.shiaumshar11@yahoo.com</t>
  </si>
  <si>
    <t>Gamage Nishantha</t>
  </si>
  <si>
    <t>gamageanishantha@gmail.com</t>
  </si>
  <si>
    <t>Solanj Fernando</t>
  </si>
  <si>
    <t>solanjsolanjfernando@gmail.com</t>
  </si>
  <si>
    <t>Chaminda Wickrama</t>
  </si>
  <si>
    <t>chamindawikkrama.12@gmail.com</t>
  </si>
  <si>
    <t>Devapriya Weerawansa</t>
  </si>
  <si>
    <t>lal_weerawans@yahoo.com</t>
  </si>
  <si>
    <t>Athula Peramune</t>
  </si>
  <si>
    <t>visualslk@gmail.com</t>
  </si>
  <si>
    <t>Mohammedanifa</t>
  </si>
  <si>
    <t>mhmanifa@gmail.com</t>
  </si>
  <si>
    <t>Giridhar Radhakrishnan</t>
  </si>
  <si>
    <t>giri.gkltd@gmail.com</t>
  </si>
  <si>
    <t>Nali Godakanda</t>
  </si>
  <si>
    <t>nalls1230@gmail.com</t>
  </si>
  <si>
    <t>Aboonidhal</t>
  </si>
  <si>
    <t>mimihjas@gmail.com</t>
  </si>
  <si>
    <t>Mohamed Shameel</t>
  </si>
  <si>
    <t>Informix.imran@gmail.com</t>
  </si>
  <si>
    <t>Abdul Rahman Munsoor</t>
  </si>
  <si>
    <t>armunsoor@gmail.com</t>
  </si>
  <si>
    <t>Jayaratha Bandara</t>
  </si>
  <si>
    <t>jbandara854@gmail.com</t>
  </si>
  <si>
    <t>Kamil Thoufeek</t>
  </si>
  <si>
    <t>tkamil@ymail.com</t>
  </si>
  <si>
    <t>Mohammed Nasrin</t>
  </si>
  <si>
    <t>mohommadnasrin@gmail.com</t>
  </si>
  <si>
    <t>Pradeepika Udagamage</t>
  </si>
  <si>
    <t>pradeepikadilhani1980@gmail.com</t>
  </si>
  <si>
    <t>Mawzoon Razak</t>
  </si>
  <si>
    <t>mawzoon@gmail.com</t>
  </si>
  <si>
    <t>Sandi Rupasinghe</t>
  </si>
  <si>
    <t>hypehopes@yahoo.com</t>
  </si>
  <si>
    <t>Mohamed Umer</t>
  </si>
  <si>
    <t>omaa73@yahoo.com</t>
  </si>
  <si>
    <t>parthasaradhi</t>
  </si>
  <si>
    <t>lakithalakitha00@gmail.com</t>
  </si>
  <si>
    <t>Buddhika Liyanage</t>
  </si>
  <si>
    <t>liyanagehaw73@gmail.com</t>
  </si>
  <si>
    <t>Pubudu    Nagahwaytaa</t>
  </si>
  <si>
    <t>sunilrajapaksha2698@gmail.com</t>
  </si>
  <si>
    <t>Kaleel Rahmdan</t>
  </si>
  <si>
    <t>firdousrock877@gmail.com</t>
  </si>
  <si>
    <t>Zohair Anverally Patel</t>
  </si>
  <si>
    <t>zohair_a52@yahoo.com</t>
  </si>
  <si>
    <t>Prabash Nilnuwan Ruwanpura</t>
  </si>
  <si>
    <t>nilnuwanruwanpura1@gmail.com</t>
  </si>
  <si>
    <t>Saliya Samarawikrama</t>
  </si>
  <si>
    <t>sahanodaya@gmail.com</t>
  </si>
  <si>
    <t>Inam Mohammed</t>
  </si>
  <si>
    <t>inamdaiwa@gmail.com</t>
  </si>
  <si>
    <t>Danushka Kumarasinhe</t>
  </si>
  <si>
    <t>dkumarasinhe@yahoo.com</t>
  </si>
  <si>
    <t>PROJECT NAME</t>
  </si>
  <si>
    <t>LEAD SOURCE</t>
  </si>
  <si>
    <t>COMMENT</t>
  </si>
  <si>
    <t>BROADCAST</t>
  </si>
  <si>
    <t>Follow up 10th June</t>
  </si>
  <si>
    <t>Ibrahim Al nuaimi-5/8/2019</t>
  </si>
  <si>
    <t>ibrahim@almayahihgmail.com</t>
  </si>
  <si>
    <t>(055) 998-8889</t>
  </si>
  <si>
    <t>MAJLIS</t>
  </si>
  <si>
    <t>Sent watzup and email fone might passby sales office</t>
  </si>
  <si>
    <t>Y</t>
  </si>
  <si>
    <t>called again he will call me back</t>
  </si>
  <si>
    <t>Wael Haddad-5/8/2019</t>
  </si>
  <si>
    <t>wael@haddadgroup.com.au</t>
  </si>
  <si>
    <t>(056) 170-6264</t>
  </si>
  <si>
    <t xml:space="preserve">many tentative appointments </t>
  </si>
  <si>
    <t>no interest</t>
  </si>
  <si>
    <t>Viacheslav Hh-5/8/2019</t>
  </si>
  <si>
    <t>hh@h.h</t>
  </si>
  <si>
    <t>was only browsing</t>
  </si>
  <si>
    <t>Khalid Ahmad-5/8/2019</t>
  </si>
  <si>
    <t>(056) 370-0205</t>
  </si>
  <si>
    <t>Arrange after ramadan</t>
  </si>
  <si>
    <t>no answer</t>
  </si>
  <si>
    <t>Humaid Alnuaimi-5/7/2019</t>
  </si>
  <si>
    <t>h5.s@hotmail.com</t>
  </si>
  <si>
    <t>(055) 107-0000</t>
  </si>
  <si>
    <t>Sur email sent no answer</t>
  </si>
  <si>
    <t>Wassim Adlouni-5/7/2019</t>
  </si>
  <si>
    <t>wassimadlouni@hotmail.com</t>
  </si>
  <si>
    <t>(055) 205-4449</t>
  </si>
  <si>
    <t>Already bought from Meraas i think director sustainable city</t>
  </si>
  <si>
    <t>Muhamed Kimi-5/7/2019</t>
  </si>
  <si>
    <t>m33233@yahoo.com</t>
  </si>
  <si>
    <t>Interrested client for 1. Bed MJL email sent</t>
  </si>
  <si>
    <t>N</t>
  </si>
  <si>
    <t>Najat Sami-5/14/2019</t>
  </si>
  <si>
    <t>caftan.fatmaabdulla@gmail.com</t>
  </si>
  <si>
    <t>(056) 596-0003</t>
  </si>
  <si>
    <t>Call after Iftar today monday 27th</t>
  </si>
  <si>
    <t>Masoud Al ansari-5/14/2019</t>
  </si>
  <si>
    <t>masoudansari7777@gmail.com</t>
  </si>
  <si>
    <t>(055) 603-1730</t>
  </si>
  <si>
    <t>Call after Eid will come to our Sales Office</t>
  </si>
  <si>
    <t>meeting at Emirates Islamic office at noon</t>
  </si>
  <si>
    <t>Arnaud Bret-5/14/2019</t>
  </si>
  <si>
    <t>agmbret@gmail.com</t>
  </si>
  <si>
    <t>Not reachable</t>
  </si>
  <si>
    <t>Joana H-5/14/2019</t>
  </si>
  <si>
    <t>(056) 192-6808</t>
  </si>
  <si>
    <t>Not interested</t>
  </si>
  <si>
    <t>Khalfan Alsaadi-5/14/2019</t>
  </si>
  <si>
    <t>(050) 470-4445</t>
  </si>
  <si>
    <t xml:space="preserve">call back on tuesday morning </t>
  </si>
  <si>
    <t>Firaz Shaudhr-5/14/2019</t>
  </si>
  <si>
    <t>firaz@gmail.com</t>
  </si>
  <si>
    <t>(647) 861-8445</t>
  </si>
  <si>
    <t>Andrea A-5/19/2019</t>
  </si>
  <si>
    <t>and@gmail.ru</t>
  </si>
  <si>
    <t>(056) 310-3079</t>
  </si>
  <si>
    <t>Ali and Shyrose</t>
  </si>
  <si>
    <t>Fone off</t>
  </si>
  <si>
    <t>Paolo Dalpaos-5/19/2019</t>
  </si>
  <si>
    <t>paolo.da@terragena.eu</t>
  </si>
  <si>
    <t>(056)280-0797</t>
  </si>
  <si>
    <t>Leaving to europe call after Eid</t>
  </si>
  <si>
    <t>still in Italy back on sunday 16th</t>
  </si>
  <si>
    <t>Pascal Elbayeh-5/19/2019</t>
  </si>
  <si>
    <t>pascal.elbayeh@hotmail.com</t>
  </si>
  <si>
    <t>(055) 324-7965</t>
  </si>
  <si>
    <t>Not interested now will reach out whenever interested</t>
  </si>
  <si>
    <t>Faizan Ali-5/19/2019</t>
  </si>
  <si>
    <t>faizandedia@gmail.com</t>
  </si>
  <si>
    <t>(055) 168-7434</t>
  </si>
  <si>
    <t>Sent Samana Hills</t>
  </si>
  <si>
    <t>called wife answered will call back</t>
  </si>
  <si>
    <t>Salman H-5/15/2019</t>
  </si>
  <si>
    <t>arabic speaker</t>
  </si>
  <si>
    <t xml:space="preserve">SurLaMer watzup sent </t>
  </si>
  <si>
    <t>Fuad Nazim-5/15/2019</t>
  </si>
  <si>
    <t>fuad.nazim@pgpgroup.com</t>
  </si>
  <si>
    <t>(050) 645-3283</t>
  </si>
  <si>
    <t>Nazim Bai back after Eid email sent to his son</t>
  </si>
  <si>
    <t xml:space="preserve">No interest to invest at the moment </t>
  </si>
  <si>
    <t>Waad, Waad</t>
  </si>
  <si>
    <t>wwww@gmail.com</t>
  </si>
  <si>
    <t>(050) 763-1172</t>
  </si>
  <si>
    <t>Will reconnect if she needs anything</t>
  </si>
  <si>
    <t>Abdullah Alsadel-5/24/2019</t>
  </si>
  <si>
    <t>alsaedi.abdulla@gmail.com</t>
  </si>
  <si>
    <t>(050) 111-4011</t>
  </si>
  <si>
    <t>Steven S-5/22/2019</t>
  </si>
  <si>
    <t>s@gmail.com</t>
  </si>
  <si>
    <t>(050) 351-1118</t>
  </si>
  <si>
    <t>After Eid hopefully</t>
  </si>
  <si>
    <t>Call back after Eid Ul Adha</t>
  </si>
  <si>
    <t>Mubarak Albarakah-5/22/2019</t>
  </si>
  <si>
    <t>m@gmail.com</t>
  </si>
  <si>
    <t>(055) 534-7047</t>
  </si>
  <si>
    <t>Calling no answer</t>
  </si>
  <si>
    <t>Sachan S-5/22/2019</t>
  </si>
  <si>
    <t>(050) 100-4869</t>
  </si>
  <si>
    <t>Not Buying</t>
  </si>
  <si>
    <t>Mahmoud Farraj-5/26/2019</t>
  </si>
  <si>
    <t>mahmoud@farraj.ae</t>
  </si>
  <si>
    <t>(050) 457-0470</t>
  </si>
  <si>
    <t>SHYROSE</t>
  </si>
  <si>
    <t>Travelling till July 15th meeting wednesday at Jebel ali offices</t>
  </si>
  <si>
    <t>fuad abdulhaq yousuf Al najjar al jaani</t>
  </si>
  <si>
    <t>971-55-6773777</t>
  </si>
  <si>
    <t>Fuad.alnajjar@maf.ae</t>
  </si>
  <si>
    <t>not interested in this point of time</t>
  </si>
  <si>
    <t>Ahmed hassiki Hela Ben Younes Ep Hassiki</t>
  </si>
  <si>
    <t>971-506590884</t>
  </si>
  <si>
    <t>Ahmedhassiki@gmail.com</t>
  </si>
  <si>
    <t>Naraindas S/O Gangaram</t>
  </si>
  <si>
    <t>65-97707922</t>
  </si>
  <si>
    <t>Narain.gangaram@gmail.com</t>
  </si>
  <si>
    <t>Ahmed Mohamed Ahmed Burashid</t>
  </si>
  <si>
    <t>973-39444650</t>
  </si>
  <si>
    <t>Ahmedburashid@gmail.com</t>
  </si>
  <si>
    <t>Mohammed Arif Bikees Afroz</t>
  </si>
  <si>
    <t>965-9-9173860</t>
  </si>
  <si>
    <t>info@central-concepts.com</t>
  </si>
  <si>
    <t>Khalifa Mohammed Ahmad Atiq Almuhairi</t>
  </si>
  <si>
    <t>971-50-4555656</t>
  </si>
  <si>
    <t>khalifa996f@hotmail.com</t>
  </si>
  <si>
    <t xml:space="preserve">Hamid Saif Hamid Mohamed Alzaabi </t>
  </si>
  <si>
    <t>971-50-1553332</t>
  </si>
  <si>
    <t>Hamid-uk@liveco.uk</t>
  </si>
  <si>
    <t>Essa Abbas Ahmed Al Samarai</t>
  </si>
  <si>
    <t>971-50-551939</t>
  </si>
  <si>
    <t>Essamarai@gmail.com</t>
  </si>
  <si>
    <t>Noor Mohammad S/O Omar Khan Muska D/O Noor Mohammad</t>
  </si>
  <si>
    <t>971-52-8297033</t>
  </si>
  <si>
    <t xml:space="preserve">Noor_gharwal@yahoo.com    </t>
  </si>
  <si>
    <t>Osamas M M A E Alkhashram</t>
  </si>
  <si>
    <t>965-99-708797</t>
  </si>
  <si>
    <t>Omk67@hotmail.com</t>
  </si>
  <si>
    <t xml:space="preserve">Khalid ALi F Neel Mona Mohamed A Sulaiman </t>
  </si>
  <si>
    <t>966-505183109</t>
  </si>
  <si>
    <t>Khalid.fouda@gmail.com</t>
  </si>
  <si>
    <t xml:space="preserve">Dinesh Kumar </t>
  </si>
  <si>
    <t>971-528916223</t>
  </si>
  <si>
    <t>dineshdhanwal@hotmail.com</t>
  </si>
  <si>
    <t>Fairfax And Rose Hill Properties LLC</t>
  </si>
  <si>
    <t>971-55-2221222</t>
  </si>
  <si>
    <t>mohamed.alshirawi@eppdubai.com</t>
  </si>
  <si>
    <t xml:space="preserve">Yousif Abdulmoshin Abdulghani Mulla Ahmed </t>
  </si>
  <si>
    <t>971-50-4508517</t>
  </si>
  <si>
    <t>yousif.Abdulghani@apmea.mcd.com</t>
  </si>
  <si>
    <t xml:space="preserve">Cesar Augusto Velasco Casas </t>
  </si>
  <si>
    <t>971-56-1702158</t>
  </si>
  <si>
    <t>Cesar.velasco@nov.com</t>
  </si>
  <si>
    <t>Mohamed Hamed Saif Al Rumhi</t>
  </si>
  <si>
    <t>968-99-469999</t>
  </si>
  <si>
    <t>alrumhy@gmail.com</t>
  </si>
  <si>
    <t>Gopalakrishnan Kannan parambil Vamana Pai</t>
  </si>
  <si>
    <t>971-55-6243-906</t>
  </si>
  <si>
    <t>gopal1@eim.e</t>
  </si>
  <si>
    <t xml:space="preserve">Ziyad Mohammed Abdul carim Mohammed </t>
  </si>
  <si>
    <t>971-50-2898030</t>
  </si>
  <si>
    <t>zmziyad@gmail.com</t>
  </si>
  <si>
    <t>Hassan Jumah H A Al-Marzouqi</t>
  </si>
  <si>
    <t>974-55-560700</t>
  </si>
  <si>
    <t>amghassan@gmail.com</t>
  </si>
  <si>
    <t>Abid Basher</t>
  </si>
  <si>
    <t>44-786-6767064</t>
  </si>
  <si>
    <t>Abid@newsbox.co.uk</t>
  </si>
  <si>
    <t>Abdullah Ibrahim S ALhamdan</t>
  </si>
  <si>
    <t>966-50-5476868</t>
  </si>
  <si>
    <t>aishamdan@hotmail.com</t>
  </si>
  <si>
    <t xml:space="preserve">Wellington Invesment Limited </t>
  </si>
  <si>
    <t>971-55-2842015</t>
  </si>
  <si>
    <t>shahzad_malik@hotmail.com</t>
  </si>
  <si>
    <t>Imran Javaid</t>
  </si>
  <si>
    <t>92-333-2149222</t>
  </si>
  <si>
    <t>Imranj2016@gmail.com</t>
  </si>
  <si>
    <t xml:space="preserve">Fareed Ahmed Mohamed Al hammadi </t>
  </si>
  <si>
    <t>971-55-8916444</t>
  </si>
  <si>
    <t>Api3004@apidxb.ae</t>
  </si>
  <si>
    <t xml:space="preserve">Thamer M.H Theeb </t>
  </si>
  <si>
    <t>962-78-8523939</t>
  </si>
  <si>
    <t>Drtheeb@hotmail.com</t>
  </si>
  <si>
    <t>Mochael Godfried  Schoonis</t>
  </si>
  <si>
    <t>971-56-6826454</t>
  </si>
  <si>
    <t>Michael.schoonls@kuenhe-nagel.com</t>
  </si>
  <si>
    <t>Zuhair Eltayeb Yousif Ahmed</t>
  </si>
  <si>
    <t>971-52-8989033</t>
  </si>
  <si>
    <t>Zuhair.yousif@mediclinic.ae</t>
  </si>
  <si>
    <t>Sushil Sardarilal Agarwal Sapna Agarwal</t>
  </si>
  <si>
    <t>61-467878028</t>
  </si>
  <si>
    <t>Sushilsapna@hotmail.com</t>
  </si>
  <si>
    <t>Nabil michel  najeeb layyous</t>
  </si>
  <si>
    <t>962-79-5541101</t>
  </si>
  <si>
    <t>nabilayyous@gmail.com</t>
  </si>
  <si>
    <t>Assem Osman kabesh</t>
  </si>
  <si>
    <t>971-50-6244110</t>
  </si>
  <si>
    <t>assem.kabesh@vshd.net</t>
  </si>
  <si>
    <t xml:space="preserve">Samir Hammoud </t>
  </si>
  <si>
    <t>971-50-6614140</t>
  </si>
  <si>
    <t>md.almuluki@gmail.com</t>
  </si>
  <si>
    <t>Kais Al Guwary</t>
  </si>
  <si>
    <t>46-70-4610707</t>
  </si>
  <si>
    <t>kais@mbcstad.se</t>
  </si>
  <si>
    <t>Maitha Mohamed Mohamed Sharif Al Foulathi</t>
  </si>
  <si>
    <t>971-508129991</t>
  </si>
  <si>
    <t>maithaalfolathi@gmail.com</t>
  </si>
  <si>
    <t>Samer Nader Abdel KArim Abdulhadi</t>
  </si>
  <si>
    <t>971-50-6534719</t>
  </si>
  <si>
    <t>Yaserhadi13@yahoo.com</t>
  </si>
  <si>
    <t>Karim Tarek Abdelhamid</t>
  </si>
  <si>
    <t>971-56-6581966</t>
  </si>
  <si>
    <t>Karim.essa@gmail.com</t>
  </si>
  <si>
    <t>Kumar Motiram Lakhani  Manju  Kumar Lakhani</t>
  </si>
  <si>
    <t>971-50-4598929</t>
  </si>
  <si>
    <t>Dag@bajajuae.com</t>
  </si>
  <si>
    <t xml:space="preserve">Al FAhad </t>
  </si>
  <si>
    <t>971-56-4743584</t>
  </si>
  <si>
    <t>kdilnoza@yahoo.com</t>
  </si>
  <si>
    <t xml:space="preserve">Mohammed hassan </t>
  </si>
  <si>
    <t>30-06-93755433</t>
  </si>
  <si>
    <t>Dan.bahri@gmail.com</t>
  </si>
  <si>
    <t xml:space="preserve">Mohammed Hassan </t>
  </si>
  <si>
    <t>Abdul Shakoor Mohamed Iqbal</t>
  </si>
  <si>
    <t>971-5042-64267</t>
  </si>
  <si>
    <t>Amarrupaney@gmail.com</t>
  </si>
  <si>
    <t xml:space="preserve">Eissa Saif Sashed Khalfan </t>
  </si>
  <si>
    <t>971-50-6111123</t>
  </si>
  <si>
    <t>Eissaalmazrouei@gmail.com</t>
  </si>
  <si>
    <t>Rami Youssef Camel Toueg</t>
  </si>
  <si>
    <t>20-1-001975711</t>
  </si>
  <si>
    <t>Ryct@link.net</t>
  </si>
  <si>
    <t xml:space="preserve">Asus Holdnig Limited </t>
  </si>
  <si>
    <t>971-50-4513711</t>
  </si>
  <si>
    <t>babarskhan@gmail.com</t>
  </si>
  <si>
    <t>Evgenya Sergueenva</t>
  </si>
  <si>
    <t>971-52-7700000</t>
  </si>
  <si>
    <t>Ev genya_sl@yahoo.com</t>
  </si>
  <si>
    <t>Rajendra Lalit  Kumar Agarwal</t>
  </si>
  <si>
    <t>971-55-577796</t>
  </si>
  <si>
    <t>Raju200959@yahoo.com</t>
  </si>
  <si>
    <t xml:space="preserve">Hasan Abdail  hasan  Almudaifa </t>
  </si>
  <si>
    <t>973-3-9222222</t>
  </si>
  <si>
    <t>Hasanalmudaifa@gmail.com</t>
  </si>
  <si>
    <t>PLOT NUMBER</t>
  </si>
  <si>
    <t>BUILDING NAME</t>
  </si>
  <si>
    <t>REGISTRATION NUMBER</t>
  </si>
  <si>
    <t>FLOOR</t>
  </si>
  <si>
    <t>ROOMS DESCRIPTION</t>
  </si>
  <si>
    <t>PHONE</t>
  </si>
  <si>
    <t>MOBILE2</t>
  </si>
  <si>
    <t>NATIONALITY</t>
  </si>
  <si>
    <t>1113-0</t>
  </si>
  <si>
    <t>JPN3VL027</t>
  </si>
  <si>
    <t>ASIF SAEED MOHAMMAD CHEEMA</t>
  </si>
  <si>
    <t>050/5511502</t>
  </si>
  <si>
    <t>Pakistan</t>
  </si>
  <si>
    <t>3 B/R</t>
  </si>
  <si>
    <t>1114-0</t>
  </si>
  <si>
    <t>JPN3VS010</t>
  </si>
  <si>
    <t>NITIN JANARDHAN PILLAI</t>
  </si>
  <si>
    <t>971|0502402352</t>
  </si>
  <si>
    <t>971|50-2402352</t>
  </si>
  <si>
    <t>1115-0</t>
  </si>
  <si>
    <t>JPN3VS009</t>
  </si>
  <si>
    <t>AMLAK FINANCE (PJSC)</t>
  </si>
  <si>
    <t>TALAL MHD NIZAR HAROUN</t>
  </si>
  <si>
    <t>1116-0</t>
  </si>
  <si>
    <t>JPN3VS008</t>
  </si>
  <si>
    <t>MARJAN HASSAN BANI KAZEMI</t>
  </si>
  <si>
    <t>marjan@marjanbeauty.ae</t>
  </si>
  <si>
    <t>971|50-5534402</t>
  </si>
  <si>
    <t>Iran</t>
  </si>
  <si>
    <t>1117-0</t>
  </si>
  <si>
    <t>JPN3VS007</t>
  </si>
  <si>
    <t>UMAYMA RAJAB ABDULRAHMAN MOHAMED</t>
  </si>
  <si>
    <t>1118-0</t>
  </si>
  <si>
    <t>JPN3VS006</t>
  </si>
  <si>
    <t>SUHAD IBRAHIM HUSEIN ALFAYOUMI</t>
  </si>
  <si>
    <t>SAMER SUBHY A. SHAMROUKH</t>
  </si>
  <si>
    <t>1119-0</t>
  </si>
  <si>
    <t>JPN3VS005</t>
  </si>
  <si>
    <t>ABDELKARIM BOUTAOUR</t>
  </si>
  <si>
    <t>aboutaour@hotmail.com</t>
  </si>
  <si>
    <t>971|50-8184535</t>
  </si>
  <si>
    <t>Belgium</t>
  </si>
  <si>
    <t>1120-0</t>
  </si>
  <si>
    <t>JPN3VS004</t>
  </si>
  <si>
    <t>DUBAI ISLAMIC BANK PJSC</t>
  </si>
  <si>
    <t>971-4-2953000</t>
  </si>
  <si>
    <t>1111@GMAIL.COM</t>
  </si>
  <si>
    <t>1121-0</t>
  </si>
  <si>
    <t>JPN3VS003</t>
  </si>
  <si>
    <t>SORAYA MAIMUNA OSSEMANE BACAI</t>
  </si>
  <si>
    <t>Portugal</t>
  </si>
  <si>
    <t>1122-0</t>
  </si>
  <si>
    <t>JPN3VS002</t>
  </si>
  <si>
    <t>GAUTAM SHAM GANDHI</t>
  </si>
  <si>
    <t>1123-0</t>
  </si>
  <si>
    <t>JPN3VS001</t>
  </si>
  <si>
    <t>AHMED YOUSEF ZAMIN PIMA</t>
  </si>
  <si>
    <t>2260343-04</t>
  </si>
  <si>
    <t>1124-0</t>
  </si>
  <si>
    <t>JPN3VL047</t>
  </si>
  <si>
    <t>NASER ALI MOHAMED ALI AL JAHOURI</t>
  </si>
  <si>
    <t>971|0</t>
  </si>
  <si>
    <t>971|50-6247485</t>
  </si>
  <si>
    <t>971|0506247485</t>
  </si>
  <si>
    <t>1125-0</t>
  </si>
  <si>
    <t>JPN3VL046</t>
  </si>
  <si>
    <t>MANISHA PARESH KUMAR AMARNANI</t>
  </si>
  <si>
    <t>1126-0</t>
  </si>
  <si>
    <t>JPN3VL045</t>
  </si>
  <si>
    <t>ALI MOHAMMAD JAVAN</t>
  </si>
  <si>
    <t>Australia</t>
  </si>
  <si>
    <t>NILOOFAR GHASEM MOSTOWFI DARBAN</t>
  </si>
  <si>
    <t>1127-0</t>
  </si>
  <si>
    <t>JPN3VL044</t>
  </si>
  <si>
    <t>MOHAMMAD HADI MOHAMMAD AMIN KHEDERI</t>
  </si>
  <si>
    <t>971|0506445228</t>
  </si>
  <si>
    <t>FA@IHIHOTEMIRATES.NET.AE</t>
  </si>
  <si>
    <t>971|50-6445228</t>
  </si>
  <si>
    <t>1128-0</t>
  </si>
  <si>
    <t>JPN3VL043</t>
  </si>
  <si>
    <t>ABDOLRAHMAN SH MOHAMMAD SAEED FAGHIHI</t>
  </si>
  <si>
    <t>1129-0</t>
  </si>
  <si>
    <t>JPN3VL042</t>
  </si>
  <si>
    <t>RAWYA SAUD AHMED AL-BUSAIDI</t>
  </si>
  <si>
    <t>1130-0</t>
  </si>
  <si>
    <t>JPN3VL041</t>
  </si>
  <si>
    <t>ANDREW JOHN PETTITT</t>
  </si>
  <si>
    <t>1131-0</t>
  </si>
  <si>
    <t>JPN3VL040</t>
  </si>
  <si>
    <t>FIRAS GHAZAL</t>
  </si>
  <si>
    <t>1132-0</t>
  </si>
  <si>
    <t>JPN3VL039</t>
  </si>
  <si>
    <t>NITIN SHARMA</t>
  </si>
  <si>
    <t>1133-0</t>
  </si>
  <si>
    <t>JPN3VL038</t>
  </si>
  <si>
    <t>FADIEA THANOUN MOHAMMED MOHAMMED</t>
  </si>
  <si>
    <t>971|50-6545300</t>
  </si>
  <si>
    <t>971|506453500</t>
  </si>
  <si>
    <t>Iraq</t>
  </si>
  <si>
    <t>1134-0</t>
  </si>
  <si>
    <t>JPN3VL037</t>
  </si>
  <si>
    <t>MASHREQ AL- ISLAMI FINANCE COMPANY PJSC</t>
  </si>
  <si>
    <t>04-2223333</t>
  </si>
  <si>
    <t>muhammedim@mashreq.com</t>
  </si>
  <si>
    <t>MOHAMMAD SOHAIL SHASHAD ALI</t>
  </si>
  <si>
    <t>971|50-0</t>
  </si>
  <si>
    <t>1135-0</t>
  </si>
  <si>
    <t>JPN3VL036</t>
  </si>
  <si>
    <t>MARCELLO BARICORDI</t>
  </si>
  <si>
    <t>1136-0</t>
  </si>
  <si>
    <t>JPN3VL035</t>
  </si>
  <si>
    <t>VALERI MILANOV KOLEV</t>
  </si>
  <si>
    <t>Bulgaria</t>
  </si>
  <si>
    <t>1137-0</t>
  </si>
  <si>
    <t>JPN3VL034</t>
  </si>
  <si>
    <t>MOHAMAD IBRAHIM EL HOUSSAMI</t>
  </si>
  <si>
    <t>1138-0</t>
  </si>
  <si>
    <t>JPN3VL033</t>
  </si>
  <si>
    <t>INDERJEET KAUR</t>
  </si>
  <si>
    <t>renu@realty-force.com</t>
  </si>
  <si>
    <t>GURCHARANJIT SINGH</t>
  </si>
  <si>
    <t>1139-0</t>
  </si>
  <si>
    <t>JPN3VL032</t>
  </si>
  <si>
    <t>DHARMIN RAJENDRA MEGHJI VED</t>
  </si>
  <si>
    <t>dharminved@gmail.com</t>
  </si>
  <si>
    <t>971|55-5191892</t>
  </si>
  <si>
    <t>971|0555191892</t>
  </si>
  <si>
    <t>1140-0</t>
  </si>
  <si>
    <t>JPN3VL031</t>
  </si>
  <si>
    <t>HAMAD MOHD SHAIKH MIJRIN BIN SULTAN</t>
  </si>
  <si>
    <t>NONE@HOTMAIL.COM</t>
  </si>
  <si>
    <t>971|50-5065874</t>
  </si>
  <si>
    <t>971|506456892</t>
  </si>
  <si>
    <t>1141-0</t>
  </si>
  <si>
    <t>JPN3VL030</t>
  </si>
  <si>
    <t>AUONI EL ALAMI</t>
  </si>
  <si>
    <t>Morocco</t>
  </si>
  <si>
    <t>1142-0</t>
  </si>
  <si>
    <t>JPN3VL029</t>
  </si>
  <si>
    <t>CHANDRASEKHARAN SHANKAR</t>
  </si>
  <si>
    <t>971|0508276277</t>
  </si>
  <si>
    <t>971|50-0508276</t>
  </si>
  <si>
    <t>1143-0</t>
  </si>
  <si>
    <t>JPN3VL028</t>
  </si>
  <si>
    <t>KHALED ABED AL HALIM MERSI</t>
  </si>
  <si>
    <t>971|55-1044340</t>
  </si>
  <si>
    <t>971|551044340</t>
  </si>
  <si>
    <t>1144-0</t>
  </si>
  <si>
    <t>JPM4V037</t>
  </si>
  <si>
    <t>4 B/R</t>
  </si>
  <si>
    <t>AMAL MIR</t>
  </si>
  <si>
    <t>mir_amal@hotmail.com</t>
  </si>
  <si>
    <t>1145-0</t>
  </si>
  <si>
    <t>JPM4V038</t>
  </si>
  <si>
    <t>SAIF AHMAD SAIF BELHASA</t>
  </si>
  <si>
    <t>Realestate@saifbelhasagroup.com</t>
  </si>
  <si>
    <t>971|55-9812025</t>
  </si>
  <si>
    <t>971|9812025</t>
  </si>
  <si>
    <t>1146-0</t>
  </si>
  <si>
    <t>JPN3VS017</t>
  </si>
  <si>
    <t>JOHN MATHAI</t>
  </si>
  <si>
    <t>971|4811206</t>
  </si>
  <si>
    <t>971|51-4811206</t>
  </si>
  <si>
    <t>1147-0</t>
  </si>
  <si>
    <t>JPN3VS016</t>
  </si>
  <si>
    <t>IHSAN ABBAS H BAFAKIH</t>
  </si>
  <si>
    <t>Saudia</t>
  </si>
  <si>
    <t>1148-0</t>
  </si>
  <si>
    <t>JPN3VS015</t>
  </si>
  <si>
    <t>ALI HADI MERZAH ALTAIF</t>
  </si>
  <si>
    <t>971|50-050</t>
  </si>
  <si>
    <t>1149-0</t>
  </si>
  <si>
    <t>JPN3VS014</t>
  </si>
  <si>
    <t>MOHAMMED ABDULLAH SALEH ALAWDI</t>
  </si>
  <si>
    <t>03/7636483</t>
  </si>
  <si>
    <t>Yemen</t>
  </si>
  <si>
    <t>1150-0</t>
  </si>
  <si>
    <t>JPN3VS013</t>
  </si>
  <si>
    <t>MOSTAFA MOHAMMAD ALI DIANAT</t>
  </si>
  <si>
    <t>04 2859728</t>
  </si>
  <si>
    <t>1151-0</t>
  </si>
  <si>
    <t>JPN3VS012</t>
  </si>
  <si>
    <t>MASOOD MOHD MOHD SHARIF MAHMOOD</t>
  </si>
  <si>
    <t>971|50-2666669</t>
  </si>
  <si>
    <t>971|0526666699</t>
  </si>
  <si>
    <t>1152-0</t>
  </si>
  <si>
    <t>JPN3VS011</t>
  </si>
  <si>
    <t>SHENGZHAO ZHOU</t>
  </si>
  <si>
    <t>971|0504615748</t>
  </si>
  <si>
    <t>shen@hotmail.com</t>
  </si>
  <si>
    <t>971|51-0504615</t>
  </si>
  <si>
    <t>China</t>
  </si>
  <si>
    <t>1153-0</t>
  </si>
  <si>
    <t>JPN4V050</t>
  </si>
  <si>
    <t>ANISH DOSHI</t>
  </si>
  <si>
    <t>971|50-6456082</t>
  </si>
  <si>
    <t>971|506456082</t>
  </si>
  <si>
    <t>JPN3VS050</t>
  </si>
  <si>
    <t>1154-0</t>
  </si>
  <si>
    <t>JPN3VS049</t>
  </si>
  <si>
    <t>CAPITAL VENTURES MANAGEMENT INC</t>
  </si>
  <si>
    <t>NP@PRACSI.COM</t>
  </si>
  <si>
    <t>1155-0</t>
  </si>
  <si>
    <t>JPN3VS048</t>
  </si>
  <si>
    <t>ELIAS BOU HABIB</t>
  </si>
  <si>
    <t>1156-0</t>
  </si>
  <si>
    <t>JPM4V035</t>
  </si>
  <si>
    <t>KHALID JAWDAT ABDULLAH NAZANDA</t>
  </si>
  <si>
    <t>1157-0</t>
  </si>
  <si>
    <t>JPN3VS056</t>
  </si>
  <si>
    <t>MARIAM MOHAMED ABDULLA MOHAMED ALSHIRAWI</t>
  </si>
  <si>
    <t>971|50-00</t>
  </si>
  <si>
    <t>54|0</t>
  </si>
  <si>
    <t>JPN4V056</t>
  </si>
  <si>
    <t>ALIA MOHAMED ABDULLA MOHAMED ALSHIRAWI</t>
  </si>
  <si>
    <t>1158-0</t>
  </si>
  <si>
    <t>JPN3VS055</t>
  </si>
  <si>
    <t>SAMEERA AWADH OMAR AL MAKHASHIN</t>
  </si>
  <si>
    <t>Akail@eim.ae</t>
  </si>
  <si>
    <t>JPN4V055</t>
  </si>
  <si>
    <t>1159-0</t>
  </si>
  <si>
    <t>JPN3VS054</t>
  </si>
  <si>
    <t>ABHA ARYA</t>
  </si>
  <si>
    <t>971|50-7241690</t>
  </si>
  <si>
    <t>JPN4V054</t>
  </si>
  <si>
    <t>1160-0</t>
  </si>
  <si>
    <t>JPN3VS053</t>
  </si>
  <si>
    <t>Blue Rose Investments Limited</t>
  </si>
  <si>
    <t>dileep_yadav@yahoo.co.uk</t>
  </si>
  <si>
    <t>JPN4V053</t>
  </si>
  <si>
    <t>1161-0</t>
  </si>
  <si>
    <t>JPN4V052</t>
  </si>
  <si>
    <t>JPN3VS052</t>
  </si>
  <si>
    <t>1162-0</t>
  </si>
  <si>
    <t>JPN3VS051</t>
  </si>
  <si>
    <t>SUNIR DOSHI</t>
  </si>
  <si>
    <t>doshi.am@gmail.com</t>
  </si>
  <si>
    <t>971|52-3341441</t>
  </si>
  <si>
    <t>44|33414414</t>
  </si>
  <si>
    <t>JPN4V051</t>
  </si>
  <si>
    <t>1163-0</t>
  </si>
  <si>
    <t>JPN3VS034</t>
  </si>
  <si>
    <t>NASSER GASEM O ALGASSABI</t>
  </si>
  <si>
    <t>971|50-1446544</t>
  </si>
  <si>
    <t>1164-0</t>
  </si>
  <si>
    <t>JPN3VS035</t>
  </si>
  <si>
    <t>NATIONAL BANK OF RAS AL- KHAIMAH (P.S.C)</t>
  </si>
  <si>
    <t>mahmed.albana@rakbank.ae</t>
  </si>
  <si>
    <t>ROMAN SVETLITSKIY</t>
  </si>
  <si>
    <t>Kazakhstan</t>
  </si>
  <si>
    <t>1165-0</t>
  </si>
  <si>
    <t>JPN3VS036</t>
  </si>
  <si>
    <t>ZEID OSAMA W. ALHAWI</t>
  </si>
  <si>
    <t>050 6120112</t>
  </si>
  <si>
    <t>1166-0</t>
  </si>
  <si>
    <t>JPN3VS037</t>
  </si>
  <si>
    <t>NATASHA MOHAMED AHMED</t>
  </si>
  <si>
    <t>1167-0</t>
  </si>
  <si>
    <t>JPN3VS038</t>
  </si>
  <si>
    <t>SUMITHRA MAITREYA</t>
  </si>
  <si>
    <t>mailneya@hotmail.com</t>
  </si>
  <si>
    <t>CHANDRASEKARAN MAITREYA</t>
  </si>
  <si>
    <t>1168-0</t>
  </si>
  <si>
    <t>JPM4V021</t>
  </si>
  <si>
    <t>ZISHAN KALIM MUHAMMAD KALIM</t>
  </si>
  <si>
    <t>971|55-9419034</t>
  </si>
  <si>
    <t>971|559419034</t>
  </si>
  <si>
    <t>1169-0</t>
  </si>
  <si>
    <t>JPM4V022</t>
  </si>
  <si>
    <t>KHALED JALMOOD JUMA BUTTI AL SHAMESI</t>
  </si>
  <si>
    <t>971|50-6685858</t>
  </si>
  <si>
    <t>1170-0</t>
  </si>
  <si>
    <t>JPM4V023</t>
  </si>
  <si>
    <t>RAJENDRA MANGHAN MAL</t>
  </si>
  <si>
    <t>971|55-6023301</t>
  </si>
  <si>
    <t>1171-0</t>
  </si>
  <si>
    <t>JPM4V024</t>
  </si>
  <si>
    <t>MAGED SAMIR DEGHEDIE ABDELGHANY DEGHEDIE</t>
  </si>
  <si>
    <t>1172-0</t>
  </si>
  <si>
    <t>JPN3VS024</t>
  </si>
  <si>
    <t>MOUSSA NEMR EL HAYEK</t>
  </si>
  <si>
    <t>7948888\050</t>
  </si>
  <si>
    <t>1173-0</t>
  </si>
  <si>
    <t>JPN3VS025</t>
  </si>
  <si>
    <t>SWISS GOLD DMCC</t>
  </si>
  <si>
    <t>1174-0</t>
  </si>
  <si>
    <t>JPN3VS026</t>
  </si>
  <si>
    <t>DEEPAK KUMAR VERMA</t>
  </si>
  <si>
    <t>kentz@eim.ae</t>
  </si>
  <si>
    <t>971|50-2601244</t>
  </si>
  <si>
    <t>971|2601244</t>
  </si>
  <si>
    <t>CHANDER KANTA</t>
  </si>
  <si>
    <t>1175-0</t>
  </si>
  <si>
    <t>JPN3VS027</t>
  </si>
  <si>
    <t>AHMAD DAOUD MOH HIMMO</t>
  </si>
  <si>
    <t>971|56-1601149</t>
  </si>
  <si>
    <t>TALA AHMAD SUBHI NEHAD</t>
  </si>
  <si>
    <t>971|55-8899415</t>
  </si>
  <si>
    <t>1176-0</t>
  </si>
  <si>
    <t>JPN3VS028</t>
  </si>
  <si>
    <t>SHABNAM ASHRAF</t>
  </si>
  <si>
    <t>971|50-1041711</t>
  </si>
  <si>
    <t>1177-0</t>
  </si>
  <si>
    <t>JPN3VS029</t>
  </si>
  <si>
    <t>ASIMA PATANKAR</t>
  </si>
  <si>
    <t>1178-0</t>
  </si>
  <si>
    <t>JPN3VS042</t>
  </si>
  <si>
    <t>FAISAL HAMEED</t>
  </si>
  <si>
    <t>1179-0</t>
  </si>
  <si>
    <t>JPN3VS043</t>
  </si>
  <si>
    <t>SHAILESH SITAKANT REDKAR</t>
  </si>
  <si>
    <t>United States of America</t>
  </si>
  <si>
    <t>ARCHANA SHAILESH REDKAR</t>
  </si>
  <si>
    <t>1180-0</t>
  </si>
  <si>
    <t>JPN3VS044</t>
  </si>
  <si>
    <t>ASHISH ARORA</t>
  </si>
  <si>
    <t>ashish@midcom.ae</t>
  </si>
  <si>
    <t>1181-0</t>
  </si>
  <si>
    <t>JPN3VS045</t>
  </si>
  <si>
    <t>INGRID GWYNNETH CLULOW</t>
  </si>
  <si>
    <t>craigclulow@hotmail.com</t>
  </si>
  <si>
    <t>South Africa</t>
  </si>
  <si>
    <t>CLULOW CRAIG JOHN</t>
  </si>
  <si>
    <t>1182-0</t>
  </si>
  <si>
    <t>JPN3VS046</t>
  </si>
  <si>
    <t>DHRUV NANDA ANIL KUMAR</t>
  </si>
  <si>
    <t>971|55-8962851</t>
  </si>
  <si>
    <t>971|558962851</t>
  </si>
  <si>
    <t>1183-0</t>
  </si>
  <si>
    <t>JPN3VS019</t>
  </si>
  <si>
    <t>NEIL HELLIWELL</t>
  </si>
  <si>
    <t>neil.helliwell@prime-projects.com</t>
  </si>
  <si>
    <t>971|50-9715045</t>
  </si>
  <si>
    <t>971|050</t>
  </si>
  <si>
    <t>1184-0</t>
  </si>
  <si>
    <t>JPN3VS020</t>
  </si>
  <si>
    <t>HASSAN IBRAHIM SAADI ALRAIS</t>
  </si>
  <si>
    <t>04 3980990</t>
  </si>
  <si>
    <t>info@yourhomedubai.com</t>
  </si>
  <si>
    <t>1185-0</t>
  </si>
  <si>
    <t>JPN3VS018</t>
  </si>
  <si>
    <t>JANVI PRAKASH VASWANI</t>
  </si>
  <si>
    <t>971|549541224</t>
  </si>
  <si>
    <t>smpori11@gmail.com</t>
  </si>
  <si>
    <t>971|54-9541224</t>
  </si>
  <si>
    <t>1186-0</t>
  </si>
  <si>
    <t>JPM4V036</t>
  </si>
  <si>
    <t>ABIDA BEGUM MOHAMMED AMANULLA KHAN</t>
  </si>
  <si>
    <t>971-50-6514309</t>
  </si>
  <si>
    <t>MOHAMMED AMANULLA KHAN</t>
  </si>
  <si>
    <t>3345878-04</t>
  </si>
  <si>
    <t>1187-0</t>
  </si>
  <si>
    <t>JPN3VS033</t>
  </si>
  <si>
    <t>IMAN EBRAHIM ABDULRAHMAN ALRAIS</t>
  </si>
  <si>
    <t>ADEL ISMAIL ABDULRAHMAN ALRAIS</t>
  </si>
  <si>
    <t>1188-0</t>
  </si>
  <si>
    <t>JPN3VS047</t>
  </si>
  <si>
    <t>SURESH NAWANI</t>
  </si>
  <si>
    <t>1189-0</t>
  </si>
  <si>
    <t>JPN3VS040</t>
  </si>
  <si>
    <t>MOUNIR DJADI</t>
  </si>
  <si>
    <t>971|0529101440</t>
  </si>
  <si>
    <t>Algeria</t>
  </si>
  <si>
    <t>1190-0</t>
  </si>
  <si>
    <t>JPN3VS030</t>
  </si>
  <si>
    <t>REZA KHALILI AHI (DXB/V2897</t>
  </si>
  <si>
    <t>1191-0</t>
  </si>
  <si>
    <t>JPN3VS031</t>
  </si>
  <si>
    <t>PRIYA ASHISH LIMAYE</t>
  </si>
  <si>
    <t>055-5011770</t>
  </si>
  <si>
    <t>ASHISH DATTATRAY LIMAYE</t>
  </si>
  <si>
    <t>1192-0</t>
  </si>
  <si>
    <t>JPN3VS032</t>
  </si>
  <si>
    <t>RAVI THOMAS I P THOMAS</t>
  </si>
  <si>
    <t>1193-0</t>
  </si>
  <si>
    <t>JPN3VS039</t>
  </si>
  <si>
    <t>PARUL PRIYA</t>
  </si>
  <si>
    <t>1194-0</t>
  </si>
  <si>
    <t>JPN3VS021</t>
  </si>
  <si>
    <t>SAMER A K MAHMOUD</t>
  </si>
  <si>
    <t>971|50-6446045</t>
  </si>
  <si>
    <t>971|506446045</t>
  </si>
  <si>
    <t>1195-0</t>
  </si>
  <si>
    <t>JPN3VS022</t>
  </si>
  <si>
    <t>ELEANOR MARY PROWTING</t>
  </si>
  <si>
    <t>1-939|0</t>
  </si>
  <si>
    <t>ADAM DAVID PROWTING</t>
  </si>
  <si>
    <t>1196-0</t>
  </si>
  <si>
    <t>JPN3VS023</t>
  </si>
  <si>
    <t>SARAH KHALIL</t>
  </si>
  <si>
    <t>1197-0</t>
  </si>
  <si>
    <t>JPN3VS041</t>
  </si>
  <si>
    <t>KISHOR KALWANI</t>
  </si>
  <si>
    <t>971|50-4582140</t>
  </si>
  <si>
    <t>1198-0</t>
  </si>
  <si>
    <t>JPM4V025</t>
  </si>
  <si>
    <t>GILLIAN ELAINE PEARCE</t>
  </si>
  <si>
    <t>ROBERT JOHN PEARCE</t>
  </si>
  <si>
    <t>1199-0</t>
  </si>
  <si>
    <t>JPM4V026</t>
  </si>
  <si>
    <t>ABBAS HAJI ALHAJJ</t>
  </si>
  <si>
    <t>971|52-7277777</t>
  </si>
  <si>
    <t>971|7277777</t>
  </si>
  <si>
    <t>Bahrain</t>
  </si>
  <si>
    <t>1200-0</t>
  </si>
  <si>
    <t>JPM4V027</t>
  </si>
  <si>
    <t>GANDHI JAYANT GHAMSHAMDAS</t>
  </si>
  <si>
    <t>1201-0</t>
  </si>
  <si>
    <t>JPM4V028</t>
  </si>
  <si>
    <t>NOOR BANK P.J.S.C</t>
  </si>
  <si>
    <t>971-04-4268888</t>
  </si>
  <si>
    <t>AHMED@GMAIL.COM</t>
  </si>
  <si>
    <t>AYMAN MOHAMED ABDELWAHAB ELDAWI</t>
  </si>
  <si>
    <t>1202-0</t>
  </si>
  <si>
    <t>JPM4V011</t>
  </si>
  <si>
    <t>AHMED MOHAMED SHERIF AHMED ALY</t>
  </si>
  <si>
    <t>ahmadaki@hotmail.com</t>
  </si>
  <si>
    <t>1203-0</t>
  </si>
  <si>
    <t>JPM4V012</t>
  </si>
  <si>
    <t>NIRAJ MUKESH BALWANI</t>
  </si>
  <si>
    <t>055 6558155</t>
  </si>
  <si>
    <t>1204-0</t>
  </si>
  <si>
    <t>JPM4V013</t>
  </si>
  <si>
    <t>ARMIN MINOO SORABJI</t>
  </si>
  <si>
    <t>1205-0</t>
  </si>
  <si>
    <t>JPM4V014</t>
  </si>
  <si>
    <t>PRINCE WALEED SAUD THINYYAN M AL SAUD</t>
  </si>
  <si>
    <t>971|5913434</t>
  </si>
  <si>
    <t>971|50-5913434</t>
  </si>
  <si>
    <t>1206-0</t>
  </si>
  <si>
    <t>JPM4V019</t>
  </si>
  <si>
    <t>SHAH JAGDISH MANILAL</t>
  </si>
  <si>
    <t>3386070-04</t>
  </si>
  <si>
    <t>NISHANT DAS</t>
  </si>
  <si>
    <t>1207-0</t>
  </si>
  <si>
    <t>JPM4V020</t>
  </si>
  <si>
    <t>HESSA MOHAMMAD ABDULAZIZ SULAIMAN ALBAHLI</t>
  </si>
  <si>
    <t>h@hotmail.com</t>
  </si>
  <si>
    <t>971|50-8383388</t>
  </si>
  <si>
    <t>971|0508383388</t>
  </si>
  <si>
    <t>1208-0</t>
  </si>
  <si>
    <t>JPM4V029</t>
  </si>
  <si>
    <t>TAMWEEL P S C</t>
  </si>
  <si>
    <t>K.A.2.7@live.com</t>
  </si>
  <si>
    <t>SHAH ALI MUSTAFA NASER</t>
  </si>
  <si>
    <t>andrew.totn@gmail.com</t>
  </si>
  <si>
    <t>971|50-5068026</t>
  </si>
  <si>
    <t>971|5068026</t>
  </si>
  <si>
    <t>Bangladesh</t>
  </si>
  <si>
    <t>1209-0</t>
  </si>
  <si>
    <t>JPM4V030</t>
  </si>
  <si>
    <t>USMAN ALIYU TUMSAH</t>
  </si>
  <si>
    <t>Nigeria</t>
  </si>
  <si>
    <t>1210-0</t>
  </si>
  <si>
    <t>JPM4V032</t>
  </si>
  <si>
    <t>GOPAL SIVARAJ</t>
  </si>
  <si>
    <t>1211-0</t>
  </si>
  <si>
    <t>JPM4V031</t>
  </si>
  <si>
    <t>AMLAK FINANCE (P.J.S.C)</t>
  </si>
  <si>
    <t>971-4-4274500</t>
  </si>
  <si>
    <t>a.salama@tamcon.ae</t>
  </si>
  <si>
    <t>1212-0</t>
  </si>
  <si>
    <t>JPM4V015</t>
  </si>
  <si>
    <t>SIMRAN RAVI NANKANI</t>
  </si>
  <si>
    <t>1213-0</t>
  </si>
  <si>
    <t>JPM4V016</t>
  </si>
  <si>
    <t>RAHEELA KHAN</t>
  </si>
  <si>
    <t>MOHAMMED ARSHED KHAN</t>
  </si>
  <si>
    <t>1214-0</t>
  </si>
  <si>
    <t>JPM4V017</t>
  </si>
  <si>
    <t>PRAVEER SINGH</t>
  </si>
  <si>
    <t>1215-0</t>
  </si>
  <si>
    <t>JPM4V018</t>
  </si>
  <si>
    <t>PRABISH THOMAS</t>
  </si>
  <si>
    <t>1216-0</t>
  </si>
  <si>
    <t>JPM4V033</t>
  </si>
  <si>
    <t>AMARJEET SINGH DHIR</t>
  </si>
  <si>
    <t>971|506255710</t>
  </si>
  <si>
    <t>AMAR@CASTLEPLAZA.COM</t>
  </si>
  <si>
    <t>971|50-6255710</t>
  </si>
  <si>
    <t>LALIT RAPHAEL CYRIL VASE</t>
  </si>
  <si>
    <t>lalitv@red-me.com</t>
  </si>
  <si>
    <t>1217-0</t>
  </si>
  <si>
    <t>JPM4V034</t>
  </si>
  <si>
    <t>CHITRA DHAWAN</t>
  </si>
  <si>
    <t>971|50-6616810</t>
  </si>
  <si>
    <t>DEEPAK DHAWAN</t>
  </si>
  <si>
    <t>1251-0</t>
  </si>
  <si>
    <t>JPA5V009</t>
  </si>
  <si>
    <t>5 B/R</t>
  </si>
  <si>
    <t>ETJAR INVESTMENTS L.L.C</t>
  </si>
  <si>
    <t>info@etjar.com</t>
  </si>
  <si>
    <t>1252-0</t>
  </si>
  <si>
    <t>JPA5V010</t>
  </si>
  <si>
    <t>MAJED HAMDAN</t>
  </si>
  <si>
    <t>majedmhamdan@gmail.com</t>
  </si>
  <si>
    <t>971|50-3787575</t>
  </si>
  <si>
    <t>971|6526132</t>
  </si>
  <si>
    <t>Not a working number</t>
  </si>
  <si>
    <t>1253-0</t>
  </si>
  <si>
    <t>JPA5V011</t>
  </si>
  <si>
    <t>HADI EL AMAARY</t>
  </si>
  <si>
    <t>HAMAARY@GMAIL.COM</t>
  </si>
  <si>
    <t>971|50-6444694</t>
  </si>
  <si>
    <t>971|506444694</t>
  </si>
  <si>
    <t xml:space="preserve">Rented July 16th </t>
  </si>
  <si>
    <t>1254-0</t>
  </si>
  <si>
    <t>JPA5V012</t>
  </si>
  <si>
    <t>ABDOLKHALEGH ABDOLHOSSEIN DEILAMI</t>
  </si>
  <si>
    <t>1255-0</t>
  </si>
  <si>
    <t>JPA5V008</t>
  </si>
  <si>
    <t>1256-0</t>
  </si>
  <si>
    <t>JPA5V007</t>
  </si>
  <si>
    <t>1257-0</t>
  </si>
  <si>
    <t>JPA5V006</t>
  </si>
  <si>
    <t>MOHAMMAD EBRAHIM SHUKROLLAH EBRAHIMI</t>
  </si>
  <si>
    <t>1258-0</t>
  </si>
  <si>
    <t>JPA5V005</t>
  </si>
  <si>
    <t>AMAL AHMED HASSAN AHMED</t>
  </si>
  <si>
    <t>AHMED MOHAMED FADUL MOHAMED</t>
  </si>
  <si>
    <t>1259-0</t>
  </si>
  <si>
    <t>JPA5V004</t>
  </si>
  <si>
    <t>AMER MIDHAT IBRAHIM ALBAYATI</t>
  </si>
  <si>
    <t>futuresf@emiartes.net.ae</t>
  </si>
  <si>
    <t>971|50-6886304</t>
  </si>
  <si>
    <t>971|506886304</t>
  </si>
  <si>
    <t>1260-0</t>
  </si>
  <si>
    <t>JPA5V003</t>
  </si>
  <si>
    <t>1261-0</t>
  </si>
  <si>
    <t>JPA5V002</t>
  </si>
  <si>
    <t>1262-0</t>
  </si>
  <si>
    <t>JPA5V001</t>
  </si>
  <si>
    <t>1263-0</t>
  </si>
  <si>
    <t>JPA4V044</t>
  </si>
  <si>
    <t>HO JEI SUNG</t>
  </si>
  <si>
    <t>North Korea</t>
  </si>
  <si>
    <t>1264-0</t>
  </si>
  <si>
    <t>JPA4V043</t>
  </si>
  <si>
    <t>MUHAMMAD SADELDINE MUHAMMAD SADIQ</t>
  </si>
  <si>
    <t>1265-0</t>
  </si>
  <si>
    <t>JPA4V042</t>
  </si>
  <si>
    <t>NADYA ABDULLA MOHAMED KAMALI AL MARZOOQI</t>
  </si>
  <si>
    <t>ZAHRA.NADERIFAR@COLDWELLBANKER-AE.COM</t>
  </si>
  <si>
    <t>971|50-7082822</t>
  </si>
  <si>
    <t>1266-0</t>
  </si>
  <si>
    <t>JPA4V041</t>
  </si>
  <si>
    <t>1267-0</t>
  </si>
  <si>
    <t>JPA4V040</t>
  </si>
  <si>
    <t>ARCHIKA GUPTA AJAY KUMAR</t>
  </si>
  <si>
    <t>1268-0</t>
  </si>
  <si>
    <t>JPA4V039</t>
  </si>
  <si>
    <t>MOHAMAD KAMEL HAIDAR</t>
  </si>
  <si>
    <t>971|50-5596994</t>
  </si>
  <si>
    <t>1269-0</t>
  </si>
  <si>
    <t>JPA4V038</t>
  </si>
  <si>
    <t>MOHAMMED ALI SALEH ALSHABA</t>
  </si>
  <si>
    <t>971|50-4599891</t>
  </si>
  <si>
    <t>971|504599891</t>
  </si>
  <si>
    <t>1270-0</t>
  </si>
  <si>
    <t>JPA4V037</t>
  </si>
  <si>
    <t>PATRICIA ELENA BRADY</t>
  </si>
  <si>
    <t>MARK ROLAND ZAMARIA</t>
  </si>
  <si>
    <t>1271-0</t>
  </si>
  <si>
    <t>JPA4V036</t>
  </si>
  <si>
    <t>TAMER AWAD MOHAMED ELHADIDY</t>
  </si>
  <si>
    <t>elhadiditamer@gmail.com</t>
  </si>
  <si>
    <t>971|50-5543869</t>
  </si>
  <si>
    <t>1272-0</t>
  </si>
  <si>
    <t>JPA4V035</t>
  </si>
  <si>
    <t>VENKATESH SRIKANTAN</t>
  </si>
  <si>
    <t>971|50-5520845</t>
  </si>
  <si>
    <t>1273-0</t>
  </si>
  <si>
    <t>JPA4V034</t>
  </si>
  <si>
    <t>JAVAD MOHAMMAD HOSSEIN SHIRALI</t>
  </si>
  <si>
    <t>kami_353@yahoo.com</t>
  </si>
  <si>
    <t>971|50-8748730</t>
  </si>
  <si>
    <t>1274-0</t>
  </si>
  <si>
    <t>JPA4V033</t>
  </si>
  <si>
    <t>MOHSIN ISHAQ PATEL</t>
  </si>
  <si>
    <t>1275-0</t>
  </si>
  <si>
    <t>JPA4V032</t>
  </si>
  <si>
    <t>YOUSIF ABDULMOHSIN ABDULGHANI MULLA AHMED</t>
  </si>
  <si>
    <t>971|504508517</t>
  </si>
  <si>
    <t>yag01@yahoo.com</t>
  </si>
  <si>
    <t>971|50-50--5045085</t>
  </si>
  <si>
    <t>1276-0</t>
  </si>
  <si>
    <t>JPA4V031</t>
  </si>
  <si>
    <t>IRSHAD HUSSAIN</t>
  </si>
  <si>
    <t>1277-0</t>
  </si>
  <si>
    <t>JPA4V030</t>
  </si>
  <si>
    <t>KRISHNA SWAMY SHYAM</t>
  </si>
  <si>
    <t>1278-0</t>
  </si>
  <si>
    <t>JPA4V029</t>
  </si>
  <si>
    <t>ARIAN ALI BAKHSHANDEH</t>
  </si>
  <si>
    <t>ALIBAGHAR@GMAIL.COM</t>
  </si>
  <si>
    <t>971|50-6516238</t>
  </si>
  <si>
    <t>971|6516238</t>
  </si>
  <si>
    <t>1279-0</t>
  </si>
  <si>
    <t>JPA4V028</t>
  </si>
  <si>
    <t>1280-0</t>
  </si>
  <si>
    <t>JPA4V027</t>
  </si>
  <si>
    <t>SAFAA HASHIM MOHAMMED ISSA ROOHI</t>
  </si>
  <si>
    <t>971|50-2239464</t>
  </si>
  <si>
    <t>971|0552239464</t>
  </si>
  <si>
    <t>KAMIL HASHIM MOHAMMED ESSA ROHE</t>
  </si>
  <si>
    <t>971|042956532</t>
  </si>
  <si>
    <t>0@0.com</t>
  </si>
  <si>
    <t>971|50-6258305</t>
  </si>
  <si>
    <t>971|506258305</t>
  </si>
  <si>
    <t>1281-0</t>
  </si>
  <si>
    <t>JPA4V026</t>
  </si>
  <si>
    <t>SYED MAINUL HASAN</t>
  </si>
  <si>
    <t>1282-0</t>
  </si>
  <si>
    <t>JPA4V025</t>
  </si>
  <si>
    <t>SEYED HAMAN SEYED MAHMOUD MERAJI</t>
  </si>
  <si>
    <t>1283-0</t>
  </si>
  <si>
    <t>JPA4V024</t>
  </si>
  <si>
    <t>STELLAR HOLDINGS LIMITED</t>
  </si>
  <si>
    <t>1284-0</t>
  </si>
  <si>
    <t>JPA4V023</t>
  </si>
  <si>
    <t>KAMYAR HAMID MINAJI MOGHADDAM</t>
  </si>
  <si>
    <t>971|0506324045</t>
  </si>
  <si>
    <t>1285-0</t>
  </si>
  <si>
    <t>JPA4V022</t>
  </si>
  <si>
    <t>REEM ABDULLAH A ALDERAIBI</t>
  </si>
  <si>
    <t>1286-0</t>
  </si>
  <si>
    <t>JPA4V021</t>
  </si>
  <si>
    <t>SUVIDHA RANI DALMIA</t>
  </si>
  <si>
    <t>RAJIV DALMIA</t>
  </si>
  <si>
    <t>1287-0</t>
  </si>
  <si>
    <t>JPA4V020</t>
  </si>
  <si>
    <t>KAREEM MAHMOUD KAMEL IRSHEID</t>
  </si>
  <si>
    <t>1288-0</t>
  </si>
  <si>
    <t>JPA4V019</t>
  </si>
  <si>
    <t>ALI MOHAMED HUSSEIN</t>
  </si>
  <si>
    <t>RIAZHUSSEIN@HOTMAIL.CO.UK</t>
  </si>
  <si>
    <t>971|50-4593265</t>
  </si>
  <si>
    <t>Not working number</t>
  </si>
  <si>
    <t>1289-0</t>
  </si>
  <si>
    <t>JPA4V018</t>
  </si>
  <si>
    <t>ASHISH RAJINDER SACHDEVA</t>
  </si>
  <si>
    <t>971|50-4478029</t>
  </si>
  <si>
    <t>1290-0</t>
  </si>
  <si>
    <t>JPA4V017</t>
  </si>
  <si>
    <t>MOHAMAD AHMAD ABDULAZIZ ALSUWAIDI</t>
  </si>
  <si>
    <t>971|50-0504522</t>
  </si>
  <si>
    <t>971|0504522776</t>
  </si>
  <si>
    <t>1291-0</t>
  </si>
  <si>
    <t>JPA4V016</t>
  </si>
  <si>
    <t>SARMAD AHMAD RAHMATI</t>
  </si>
  <si>
    <t>1292-0</t>
  </si>
  <si>
    <t>JPA4V015</t>
  </si>
  <si>
    <t>HASHEM SAMI EID</t>
  </si>
  <si>
    <t>971|50-6591003</t>
  </si>
  <si>
    <t>971|050651003</t>
  </si>
  <si>
    <t>1293-0</t>
  </si>
  <si>
    <t>JPA4V014</t>
  </si>
  <si>
    <t>DMITRY TIMINSKIY</t>
  </si>
  <si>
    <t>971|050-0097150</t>
  </si>
  <si>
    <t>971|0097150877</t>
  </si>
  <si>
    <t>Russia</t>
  </si>
  <si>
    <t>1294-0</t>
  </si>
  <si>
    <t>JPA4V013</t>
  </si>
  <si>
    <t>P J LEAFAR LIMITED</t>
  </si>
  <si>
    <t>1295-0</t>
  </si>
  <si>
    <t>JPA4V012</t>
  </si>
  <si>
    <t>NITIN ANIL GANDHI</t>
  </si>
  <si>
    <t>971|50-6686830</t>
  </si>
  <si>
    <t>971|506686830</t>
  </si>
  <si>
    <t>1296-0</t>
  </si>
  <si>
    <t>JPA4V011</t>
  </si>
  <si>
    <t>WOLDU KIFLEMARIAM HABTE</t>
  </si>
  <si>
    <t>971|0506751825</t>
  </si>
  <si>
    <t>971|52-9681850</t>
  </si>
  <si>
    <t>Eritrea</t>
  </si>
  <si>
    <t>1297-0</t>
  </si>
  <si>
    <t>JPA4V010</t>
  </si>
  <si>
    <t>DARIUSH HASHEMI ASL</t>
  </si>
  <si>
    <t>Saint Kitts and Nevis</t>
  </si>
  <si>
    <t>1298-0</t>
  </si>
  <si>
    <t>JPA4V009</t>
  </si>
  <si>
    <t>MUHAMMAD YUSUF ISLAM YORIYOS ADAMOS</t>
  </si>
  <si>
    <t>1299-0</t>
  </si>
  <si>
    <t>JPA4V008</t>
  </si>
  <si>
    <t>YUSUF ISLAM</t>
  </si>
  <si>
    <t>971|55-2230472</t>
  </si>
  <si>
    <t>1300-0</t>
  </si>
  <si>
    <t>JPA4V007</t>
  </si>
  <si>
    <t>HAITHAM AHMED LOTF ALAMARI</t>
  </si>
  <si>
    <t>000@000.000</t>
  </si>
  <si>
    <t>971|50-6512337</t>
  </si>
  <si>
    <t>1301-0</t>
  </si>
  <si>
    <t>JPA4V006</t>
  </si>
  <si>
    <t>JOHN DALKEITH DAVIDSON</t>
  </si>
  <si>
    <t>JULIE LYNNE BEETON</t>
  </si>
  <si>
    <t>1302-0</t>
  </si>
  <si>
    <t>JPA4V005</t>
  </si>
  <si>
    <t>AYSU DARENDELI</t>
  </si>
  <si>
    <t>Turkey</t>
  </si>
  <si>
    <t>1303-0</t>
  </si>
  <si>
    <t>JPA4V004</t>
  </si>
  <si>
    <t>1304-0</t>
  </si>
  <si>
    <t>JPA4V003</t>
  </si>
  <si>
    <t>GAURAV BHATIA</t>
  </si>
  <si>
    <t>971|50-6512818</t>
  </si>
  <si>
    <t>971|506512818</t>
  </si>
  <si>
    <t>1305-0</t>
  </si>
  <si>
    <t>JPA4V002</t>
  </si>
  <si>
    <t>MHD WASEEM MHD HASAN AL SAMMAN</t>
  </si>
  <si>
    <t>wsamman@ixsa.com</t>
  </si>
  <si>
    <t>1306-0</t>
  </si>
  <si>
    <t>JPA4V001</t>
  </si>
  <si>
    <t>MICHAEL GEB MULLER GLUECK</t>
  </si>
  <si>
    <t>Germany</t>
  </si>
  <si>
    <t>1307-0</t>
  </si>
  <si>
    <t>JPA3VS020</t>
  </si>
  <si>
    <t>PATRICK KONG FUK FU</t>
  </si>
  <si>
    <t>MALAYSIA</t>
  </si>
  <si>
    <t>1308-0</t>
  </si>
  <si>
    <t>JPA3VS019</t>
  </si>
  <si>
    <t>MOHAMMED RAHMATULLAH MOHAMMED FAZALULLAH</t>
  </si>
  <si>
    <t>ADIL2@EIM.AE</t>
  </si>
  <si>
    <t>971|50-8944346</t>
  </si>
  <si>
    <t>1309-0</t>
  </si>
  <si>
    <t>JPA3VS018</t>
  </si>
  <si>
    <t>BAHAR JUMAGULYYEVA</t>
  </si>
  <si>
    <t>Turkmenistan</t>
  </si>
  <si>
    <t>1310-0</t>
  </si>
  <si>
    <t>JPA3VS017</t>
  </si>
  <si>
    <t>MOHAMMAD AMIN YOUSEF ZAMIN PAIMA</t>
  </si>
  <si>
    <t>1311-0</t>
  </si>
  <si>
    <t>JPA3VS016</t>
  </si>
  <si>
    <t>1312-0</t>
  </si>
  <si>
    <t>JPA3VS015</t>
  </si>
  <si>
    <t>GULSHAN MALIK</t>
  </si>
  <si>
    <t>HAROONMALIK@BTCONNECT.COM</t>
  </si>
  <si>
    <t>971|50-3714998</t>
  </si>
  <si>
    <t>971|503714998</t>
  </si>
  <si>
    <t>HAROON FAROOQ MALIK</t>
  </si>
  <si>
    <t>1313-0</t>
  </si>
  <si>
    <t>JPA3VS014</t>
  </si>
  <si>
    <t>BYUNG DO JUNG</t>
  </si>
  <si>
    <t>South Korea</t>
  </si>
  <si>
    <t>1314-0</t>
  </si>
  <si>
    <t>JPA3VS013</t>
  </si>
  <si>
    <t>MAHER AGHA KALTHOUM</t>
  </si>
  <si>
    <t>971|50-8894080</t>
  </si>
  <si>
    <t>1315-0</t>
  </si>
  <si>
    <t>JPA3VS012</t>
  </si>
  <si>
    <t>AHMET KAIN</t>
  </si>
  <si>
    <t>1316-0</t>
  </si>
  <si>
    <t>JPA3VS011</t>
  </si>
  <si>
    <t>ALI AHMED HAMAD ALDHAHERY</t>
  </si>
  <si>
    <t>971|56-6111800</t>
  </si>
  <si>
    <t>1317-0</t>
  </si>
  <si>
    <t>JPA3VS010</t>
  </si>
  <si>
    <t>1318-0</t>
  </si>
  <si>
    <t>JPA3VS009</t>
  </si>
  <si>
    <t>SITTAL MEHENDRAKUMAR PATEL</t>
  </si>
  <si>
    <t>1319-0</t>
  </si>
  <si>
    <t>JPA3VS008</t>
  </si>
  <si>
    <t>SHAMIM AHMED SYED SYED MUZAFFAR AHMED</t>
  </si>
  <si>
    <t>971|50-9570765</t>
  </si>
  <si>
    <t>SAMINA AHMED SHAMIM AHMED SYED</t>
  </si>
  <si>
    <t>971|50-8743340</t>
  </si>
  <si>
    <t>1320-0</t>
  </si>
  <si>
    <t>JPA3VS007</t>
  </si>
  <si>
    <t>MOHAMMED HAMDAOUI</t>
  </si>
  <si>
    <t>971|0502026986</t>
  </si>
  <si>
    <t>HANDADUI@GMAIL.COM</t>
  </si>
  <si>
    <t>971|50-2026986</t>
  </si>
  <si>
    <t>1321-0</t>
  </si>
  <si>
    <t>JPA3VS006</t>
  </si>
  <si>
    <t>MAHAVEER CHAND MEHTA</t>
  </si>
  <si>
    <t>971|50-9714228</t>
  </si>
  <si>
    <t>971|9714228</t>
  </si>
  <si>
    <t>1322-0</t>
  </si>
  <si>
    <t>JPA3VS005</t>
  </si>
  <si>
    <t>ZIAD MOHAMMAD RASOUL RAHPAIMA</t>
  </si>
  <si>
    <t>zaidmohd@emirates.net.ae</t>
  </si>
  <si>
    <t>971|50-6454104</t>
  </si>
  <si>
    <t>1323-0</t>
  </si>
  <si>
    <t>JPA3VS004</t>
  </si>
  <si>
    <t>AJAY KRISHNAN</t>
  </si>
  <si>
    <t>PRIYANKA JAIRAMDAS LAKHANI</t>
  </si>
  <si>
    <t>1324-0</t>
  </si>
  <si>
    <t>JPA3VS003</t>
  </si>
  <si>
    <t>ELIAS SAMAHA</t>
  </si>
  <si>
    <t>CHRISTIANA FREIZI</t>
  </si>
  <si>
    <t>Greece</t>
  </si>
  <si>
    <t>1325-0</t>
  </si>
  <si>
    <t>JPA3VS002</t>
  </si>
  <si>
    <t>1326-0</t>
  </si>
  <si>
    <t>JPA3VS001</t>
  </si>
  <si>
    <t>HAROON MIR MUHAMMAD MIR</t>
  </si>
  <si>
    <t>KHANMIR17@GMAIL.COM</t>
  </si>
  <si>
    <t>971|50-6450970</t>
  </si>
  <si>
    <t>1366-0</t>
  </si>
  <si>
    <t>JPA3VL013</t>
  </si>
  <si>
    <t>SADEEM INVESTMENT L.L.C</t>
  </si>
  <si>
    <t>1367-0</t>
  </si>
  <si>
    <t>JPA3VL012</t>
  </si>
  <si>
    <t>1368-0</t>
  </si>
  <si>
    <t>JPA3VL011</t>
  </si>
  <si>
    <t>MEHDI NAEIMIPOOR</t>
  </si>
  <si>
    <t>FJ2030@GMAIL.COM</t>
  </si>
  <si>
    <t>971|55-3456819</t>
  </si>
  <si>
    <t>971|6755069</t>
  </si>
  <si>
    <t>1369-0</t>
  </si>
  <si>
    <t>JPA3VL010</t>
  </si>
  <si>
    <t>ALAA ABDULKAREEM MAJEED AL MUDHAFAR</t>
  </si>
  <si>
    <t>ALAAUBD3@YAHOO.COM</t>
  </si>
  <si>
    <t>1370-0</t>
  </si>
  <si>
    <t>JPA3VL009</t>
  </si>
  <si>
    <t>TRI STAR GULF FZCO</t>
  </si>
  <si>
    <t>000@OOO.OO</t>
  </si>
  <si>
    <t>1371-0</t>
  </si>
  <si>
    <t>JPA3VL008</t>
  </si>
  <si>
    <t>ALI FAROOQ NAHI ALNAHI</t>
  </si>
  <si>
    <t>1372-0</t>
  </si>
  <si>
    <t>JPA3VL007</t>
  </si>
  <si>
    <t>MADHU RAVENDRADAS</t>
  </si>
  <si>
    <t>KRISHNADAS RAVENDRADAS V KRIHSNA DAS</t>
  </si>
  <si>
    <t>00@00.com</t>
  </si>
  <si>
    <t>971|50-6462880</t>
  </si>
  <si>
    <t>1373-0</t>
  </si>
  <si>
    <t>JPA3VL006</t>
  </si>
  <si>
    <t>LENA FATHI HASAN ABBAS</t>
  </si>
  <si>
    <t>1374-0</t>
  </si>
  <si>
    <t>JPA3VL005</t>
  </si>
  <si>
    <t>IBRAHIM JAWDAT RAMADAN ALHADDAD</t>
  </si>
  <si>
    <t>1375-0</t>
  </si>
  <si>
    <t>JPA3VL004</t>
  </si>
  <si>
    <t>DAWOUD ABOU SHAWISH</t>
  </si>
  <si>
    <t>1376-0</t>
  </si>
  <si>
    <t>JPA3VL003</t>
  </si>
  <si>
    <t>SORABH GOYEL</t>
  </si>
  <si>
    <t>1377-0</t>
  </si>
  <si>
    <t>JPA3VL002</t>
  </si>
  <si>
    <t>MOJTABA ROUHOLLAH YAR AHMADI</t>
  </si>
  <si>
    <t>1378-0</t>
  </si>
  <si>
    <t>JPA3VL001</t>
  </si>
  <si>
    <t>HUSAM KHATER</t>
  </si>
  <si>
    <t>971|50-2110346</t>
  </si>
  <si>
    <t>971|2110346050</t>
  </si>
  <si>
    <t>1379-0</t>
  </si>
  <si>
    <t>JPB5V021</t>
  </si>
  <si>
    <t>JUMANA I H KHAWAJA</t>
  </si>
  <si>
    <t>jumanakhawaja@gmail.com</t>
  </si>
  <si>
    <t>971|50-6585564</t>
  </si>
  <si>
    <t>Switched Off</t>
  </si>
  <si>
    <t>1380-0</t>
  </si>
  <si>
    <t>JPB5V020</t>
  </si>
  <si>
    <t>ZENTO ENTERPRISE LIMITED</t>
  </si>
  <si>
    <t>0501579945 Ms Aisha</t>
  </si>
  <si>
    <t xml:space="preserve">Already rented / GAP Real Estate Simran </t>
  </si>
  <si>
    <t>1381-0</t>
  </si>
  <si>
    <t>JPB5V019</t>
  </si>
  <si>
    <t>HOUSHANG NOZARI BAHRI (DXB/V3401(</t>
  </si>
  <si>
    <t>1382-0</t>
  </si>
  <si>
    <t>JPB5V018</t>
  </si>
  <si>
    <t>KHALED A. N. A. ALMUTAIRI</t>
  </si>
  <si>
    <t>shoooof@gmail.com</t>
  </si>
  <si>
    <t>1383-0</t>
  </si>
  <si>
    <t>JPB5V017</t>
  </si>
  <si>
    <t>AYESHA AAMER SHEIKH</t>
  </si>
  <si>
    <t>1384-0</t>
  </si>
  <si>
    <t>JPB5V016</t>
  </si>
  <si>
    <t>MUHAMMAD IMRAN SHEIKH</t>
  </si>
  <si>
    <t>971|0505252191</t>
  </si>
  <si>
    <t>971|50-5252191</t>
  </si>
  <si>
    <t>JUMEIRAH PARK (L.L.C)</t>
  </si>
  <si>
    <t>Abdulrahman.AlBudoor@nakheel.com</t>
  </si>
  <si>
    <t>1385-0</t>
  </si>
  <si>
    <t>JPB5V015</t>
  </si>
  <si>
    <t>MOHAMMED ANWAR MOHAMMED AL KAABI</t>
  </si>
  <si>
    <t>971|50-9299999</t>
  </si>
  <si>
    <t>1386-0</t>
  </si>
  <si>
    <t>JPB5V014</t>
  </si>
  <si>
    <t>1387-0</t>
  </si>
  <si>
    <t>JPB5V013</t>
  </si>
  <si>
    <t>GHULAM MUSTAFA AHMED ALI MEMON</t>
  </si>
  <si>
    <t>rubanoor@hotmail.com</t>
  </si>
  <si>
    <t>971|50-8886370</t>
  </si>
  <si>
    <t>971|554554164</t>
  </si>
  <si>
    <t>1388-0</t>
  </si>
  <si>
    <t>JPB5V012</t>
  </si>
  <si>
    <t>SEEMA THAPAR</t>
  </si>
  <si>
    <t>971|50-7247014</t>
  </si>
  <si>
    <t>GAGAN THAPAR</t>
  </si>
  <si>
    <t>shivain2369@gmail.com</t>
  </si>
  <si>
    <t>971|0507247</t>
  </si>
  <si>
    <t>1389-0</t>
  </si>
  <si>
    <t>JPB5V011</t>
  </si>
  <si>
    <t>SYED KAMRAN MEHDI RAZA NAQVI</t>
  </si>
  <si>
    <t>1390-0</t>
  </si>
  <si>
    <t>JPB5V010</t>
  </si>
  <si>
    <t>AYMAN FAYEZ ALJARRAD</t>
  </si>
  <si>
    <t>1391-0</t>
  </si>
  <si>
    <t>JPB5V009</t>
  </si>
  <si>
    <t>SAPNA WALIA AJAY MAHENDRA WALIA</t>
  </si>
  <si>
    <t>ajay@gmail.com</t>
  </si>
  <si>
    <t>971|50-6310039</t>
  </si>
  <si>
    <t>971|50</t>
  </si>
  <si>
    <t>AJAY WALIA</t>
  </si>
  <si>
    <t>1392-0</t>
  </si>
  <si>
    <t>JPB5V008</t>
  </si>
  <si>
    <t>URVASHI MEHTA</t>
  </si>
  <si>
    <t>u11@hotmail.com</t>
  </si>
  <si>
    <t>971|50-6126610</t>
  </si>
  <si>
    <t>1393-0</t>
  </si>
  <si>
    <t>JPB5V007</t>
  </si>
  <si>
    <t>SAROJ SINGHVI</t>
  </si>
  <si>
    <t>GANPAT SINGHVI</t>
  </si>
  <si>
    <t>singhvis@emirates.net.ae</t>
  </si>
  <si>
    <t>971|50-6229296</t>
  </si>
  <si>
    <t>1394-0</t>
  </si>
  <si>
    <t>JPB3VL026</t>
  </si>
  <si>
    <t>ABDULAH FAROOQ NAHI ALNAHI</t>
  </si>
  <si>
    <t>1395-0</t>
  </si>
  <si>
    <t>JPB3VL025</t>
  </si>
  <si>
    <t>CHARLES NAHAS</t>
  </si>
  <si>
    <t>1396-0</t>
  </si>
  <si>
    <t>JPB3VL024</t>
  </si>
  <si>
    <t>UNITED HOLDINGS ( L.L.C )</t>
  </si>
  <si>
    <t>3188333-04 / عباس</t>
  </si>
  <si>
    <t>1397-0</t>
  </si>
  <si>
    <t>JPB3VL023</t>
  </si>
  <si>
    <t>1398-0</t>
  </si>
  <si>
    <t>JPB3VL022</t>
  </si>
  <si>
    <t>HAIFAA MHD DLB ALKABBANI</t>
  </si>
  <si>
    <t>AYSHA@INJAZRT.AE</t>
  </si>
  <si>
    <t>971|56-3713444</t>
  </si>
  <si>
    <t>971|563713444</t>
  </si>
  <si>
    <t>RAMEZ ABDUL MOUNEM AZZOUZ</t>
  </si>
  <si>
    <t>AHMED.KABBANI@NOORBANK.COM</t>
  </si>
  <si>
    <t>971|50-6371344</t>
  </si>
  <si>
    <t>971|506371344</t>
  </si>
  <si>
    <t>1399-0</t>
  </si>
  <si>
    <t>JPB3VL021</t>
  </si>
  <si>
    <t>RAFAT M H S AL FAHOUM</t>
  </si>
  <si>
    <t>1400-0</t>
  </si>
  <si>
    <t>JPB3VL020</t>
  </si>
  <si>
    <t>KARIM SINNO</t>
  </si>
  <si>
    <t>971|50-0000000</t>
  </si>
  <si>
    <t>1401-0</t>
  </si>
  <si>
    <t>JPB3VL019</t>
  </si>
  <si>
    <t>MICHAEL WILLIAM SHANNON</t>
  </si>
  <si>
    <t>1402-0</t>
  </si>
  <si>
    <t>JPB3VL018</t>
  </si>
  <si>
    <t>TALA RAAD</t>
  </si>
  <si>
    <t>1403-0</t>
  </si>
  <si>
    <t>JPB3VL017</t>
  </si>
  <si>
    <t>RODERICK IAN FRASER</t>
  </si>
  <si>
    <t>1404-0</t>
  </si>
  <si>
    <t>JPB3VL016</t>
  </si>
  <si>
    <t>RANDY FATHI MAHMOUD ABU TARBOUSH</t>
  </si>
  <si>
    <t>971|50-5501224</t>
  </si>
  <si>
    <t>971|505501224</t>
  </si>
  <si>
    <t>1405-0</t>
  </si>
  <si>
    <t>JPB3VL015</t>
  </si>
  <si>
    <t>ZAHER MOHAMMAD KAMEL MOUKAHAL</t>
  </si>
  <si>
    <t>2691575-04</t>
  </si>
  <si>
    <t>1406-0</t>
  </si>
  <si>
    <t>JPB3VL014</t>
  </si>
  <si>
    <t>PRABHAKAR GOVIND RAUT</t>
  </si>
  <si>
    <t>1407-0</t>
  </si>
  <si>
    <t>JPB3VL013</t>
  </si>
  <si>
    <t>ZHU DING</t>
  </si>
  <si>
    <t>1408-0</t>
  </si>
  <si>
    <t>JPB3VL012</t>
  </si>
  <si>
    <t>SYED ABDUL KADIR SYED MEERAN SAHEB</t>
  </si>
  <si>
    <t>971|50-6451424</t>
  </si>
  <si>
    <t>1409-0</t>
  </si>
  <si>
    <t>JPB3VL011</t>
  </si>
  <si>
    <t>RIDA IMAD CHEBARO</t>
  </si>
  <si>
    <t>DALIA SADIQ CHEBARO</t>
  </si>
  <si>
    <t>1410-0</t>
  </si>
  <si>
    <t>JPB3VL010</t>
  </si>
  <si>
    <t>SAMINA AHMED</t>
  </si>
  <si>
    <t>1411-0</t>
  </si>
  <si>
    <t>JPB3VL009</t>
  </si>
  <si>
    <t>AHMAD SHAH</t>
  </si>
  <si>
    <t>Afghanistan</t>
  </si>
  <si>
    <t>1412-0</t>
  </si>
  <si>
    <t>JPB3VL008</t>
  </si>
  <si>
    <t>DAUD SHAH HAJI TIMUR SHAH</t>
  </si>
  <si>
    <t>HABIB SHAH HAJI TIMOR SHAH</t>
  </si>
  <si>
    <t>971|50-2768310</t>
  </si>
  <si>
    <t>971|2768310</t>
  </si>
  <si>
    <t>1413-0</t>
  </si>
  <si>
    <t>JPB3VL007</t>
  </si>
  <si>
    <t>AHMAD MOHAMMAD EBRAHIMI</t>
  </si>
  <si>
    <t>971|50-6583868</t>
  </si>
  <si>
    <t>1414-0</t>
  </si>
  <si>
    <t>JPB3VL006</t>
  </si>
  <si>
    <t>MOATAZ KANDIL ABDELHAMID SHEHATA</t>
  </si>
  <si>
    <t>1415-0</t>
  </si>
  <si>
    <t>JPB3VL005</t>
  </si>
  <si>
    <t>SANJEEV GHULATI</t>
  </si>
  <si>
    <t>RASHMEE GHULATI SANJEEV GHULATI</t>
  </si>
  <si>
    <t>1416-0</t>
  </si>
  <si>
    <t>JPB3VL004</t>
  </si>
  <si>
    <t>MEENAKSHI GARG</t>
  </si>
  <si>
    <t>1417-0</t>
  </si>
  <si>
    <t>JPB3VL003</t>
  </si>
  <si>
    <t>ZARINA YESMIN ABDUL KADIR</t>
  </si>
  <si>
    <t>3605711-04</t>
  </si>
  <si>
    <t>1418-0</t>
  </si>
  <si>
    <t>JPB3VL002</t>
  </si>
  <si>
    <t>KIRAN KHAN</t>
  </si>
  <si>
    <t>1419-0</t>
  </si>
  <si>
    <t>JPB3VL001</t>
  </si>
  <si>
    <t>SIMI SANJAY NAIK</t>
  </si>
  <si>
    <t>SANJAY KASHINATH NAIK</t>
  </si>
  <si>
    <t>1420-0</t>
  </si>
  <si>
    <t>JPA5V034</t>
  </si>
  <si>
    <t>1421-0</t>
  </si>
  <si>
    <t>JPA5V033</t>
  </si>
  <si>
    <t>BHARATI HIRANAND MAKHIJANI</t>
  </si>
  <si>
    <t>TEMPORARY UNAVAILABLE</t>
  </si>
  <si>
    <t>1422-0</t>
  </si>
  <si>
    <t>JPA5V032</t>
  </si>
  <si>
    <t>NADA MAJID SAIF ALMAJID ALMATROOSHI</t>
  </si>
  <si>
    <t>WRONG NUMBER</t>
  </si>
  <si>
    <t>1423-0</t>
  </si>
  <si>
    <t>JPA5V031</t>
  </si>
  <si>
    <t>1424-0</t>
  </si>
  <si>
    <t>JPA5V030</t>
  </si>
  <si>
    <t>jpc5v030</t>
  </si>
  <si>
    <t>1425-0</t>
  </si>
  <si>
    <t>JPA5V029</t>
  </si>
  <si>
    <t>1426-0</t>
  </si>
  <si>
    <t>JPA5V027</t>
  </si>
  <si>
    <t>1427-0</t>
  </si>
  <si>
    <t>JPA5V028</t>
  </si>
  <si>
    <t>1428-0</t>
  </si>
  <si>
    <t>JPA5V026</t>
  </si>
  <si>
    <t>1429-0</t>
  </si>
  <si>
    <t>JPA5V025</t>
  </si>
  <si>
    <t>SHOLEEN TARIQ CARRIMJEE</t>
  </si>
  <si>
    <t>ABROAD</t>
  </si>
  <si>
    <t>TARIQ TAHER CARRIMJEE</t>
  </si>
  <si>
    <t>tcarrimjee@gmail.com</t>
  </si>
  <si>
    <t>971|55-1426670</t>
  </si>
  <si>
    <t>971|551426670</t>
  </si>
  <si>
    <t>1430-0</t>
  </si>
  <si>
    <t>JPA5V024</t>
  </si>
  <si>
    <t>SAMAYA INVESTMENTS LIMITED</t>
  </si>
  <si>
    <t>050-4538931</t>
  </si>
  <si>
    <t>samaya.investments@gmail.com</t>
  </si>
  <si>
    <t>1431-0</t>
  </si>
  <si>
    <t>JPB3VS012</t>
  </si>
  <si>
    <t>GAURAV KUMAR</t>
  </si>
  <si>
    <t>Mohammad.waseem@adcb.com</t>
  </si>
  <si>
    <t>971|55-2047269</t>
  </si>
  <si>
    <t>1432-0</t>
  </si>
  <si>
    <t>JPB3VS013</t>
  </si>
  <si>
    <t>YOUSUF AZIZ RAMJOO</t>
  </si>
  <si>
    <t>yramjoo@savola.com</t>
  </si>
  <si>
    <t>971|50-6517392</t>
  </si>
  <si>
    <t>1433-0</t>
  </si>
  <si>
    <t>JPB3VS014</t>
  </si>
  <si>
    <t>MOHAMED MONGI ABDELMOULA</t>
  </si>
  <si>
    <t>mohammed14@hotmail.com</t>
  </si>
  <si>
    <t>971|52-9426266</t>
  </si>
  <si>
    <t>Tunisia</t>
  </si>
  <si>
    <t>ABBAS ALI HAJI MOHAMMAD MOBAYEN</t>
  </si>
  <si>
    <t>971|042225008</t>
  </si>
  <si>
    <t>sgt@emirates.net.ae</t>
  </si>
  <si>
    <t>971|50-7080197</t>
  </si>
  <si>
    <t>1434-0</t>
  </si>
  <si>
    <t>JPB3VS015</t>
  </si>
  <si>
    <t>MAHESH SHANKARDAS PAHLAJANI</t>
  </si>
  <si>
    <t>1435-0</t>
  </si>
  <si>
    <t>JPA5V013</t>
  </si>
  <si>
    <t>VALERIOS MARTINIDIS</t>
  </si>
  <si>
    <t>971|52-6459217</t>
  </si>
  <si>
    <t>971|6459126</t>
  </si>
  <si>
    <t>1436-0</t>
  </si>
  <si>
    <t>JPA5V014</t>
  </si>
  <si>
    <t>MOHAMMED HUSAIN KHAZINDAR</t>
  </si>
  <si>
    <t>1437-0</t>
  </si>
  <si>
    <t>JPA5V015</t>
  </si>
  <si>
    <t>ABDULRAHMAN HASSAN MOHAMMAD ALRUSTUMANI</t>
  </si>
  <si>
    <t>H@H.AE</t>
  </si>
  <si>
    <t>971|50-6441166</t>
  </si>
  <si>
    <t>1438-0</t>
  </si>
  <si>
    <t>JPA5V016</t>
  </si>
  <si>
    <t>HAIDER JAWAD MERZAH AL LATEEF</t>
  </si>
  <si>
    <t>000@000.ooo</t>
  </si>
  <si>
    <t>971|55-6089300</t>
  </si>
  <si>
    <t>971|556089300</t>
  </si>
  <si>
    <t>1439-0</t>
  </si>
  <si>
    <t>JPA5V017</t>
  </si>
  <si>
    <t>1440-0</t>
  </si>
  <si>
    <t>JPA5V018</t>
  </si>
  <si>
    <t>1441-0</t>
  </si>
  <si>
    <t>JPA5V019</t>
  </si>
  <si>
    <t>1442-0</t>
  </si>
  <si>
    <t>JPA5V020</t>
  </si>
  <si>
    <t>1443-0</t>
  </si>
  <si>
    <t>JPA5V021</t>
  </si>
  <si>
    <t>1444-0</t>
  </si>
  <si>
    <t>JPA5V022</t>
  </si>
  <si>
    <t>1445-0</t>
  </si>
  <si>
    <t>JPA5V023</t>
  </si>
  <si>
    <t>MARYAM ASLANI</t>
  </si>
  <si>
    <t>RAMA RADMARD</t>
  </si>
  <si>
    <t>1446-0</t>
  </si>
  <si>
    <t>JPB3VS002</t>
  </si>
  <si>
    <t>MOHAMMED ABDULLAH H ALOHALI</t>
  </si>
  <si>
    <t>1447-0</t>
  </si>
  <si>
    <t>JPB3VS003</t>
  </si>
  <si>
    <t>MANSOUR ABDULAZIZ I ALEISA</t>
  </si>
  <si>
    <t>1448-0</t>
  </si>
  <si>
    <t>JPB3VS004</t>
  </si>
  <si>
    <t>NAQHIBULLAH BASHIRI</t>
  </si>
  <si>
    <t>info@bashiri.ae</t>
  </si>
  <si>
    <t>971|50-6400538</t>
  </si>
  <si>
    <t>971|501801950</t>
  </si>
  <si>
    <t>1449-0</t>
  </si>
  <si>
    <t>JPB3VS005</t>
  </si>
  <si>
    <t>GROVER GAURAV</t>
  </si>
  <si>
    <t>971|50-0559547</t>
  </si>
  <si>
    <t>971|0559547878</t>
  </si>
  <si>
    <t>Singapore</t>
  </si>
  <si>
    <t>1450-0</t>
  </si>
  <si>
    <t>JPB3VS006</t>
  </si>
  <si>
    <t>NAVEEN MICHEAL GREGORY D SOUZA</t>
  </si>
  <si>
    <t>1451-0</t>
  </si>
  <si>
    <t>JPB3VS007</t>
  </si>
  <si>
    <t>SISY MARSHALL</t>
  </si>
  <si>
    <t>JOHN MARSHALL SKINNER</t>
  </si>
  <si>
    <t>1452-0</t>
  </si>
  <si>
    <t>JPB3VS008</t>
  </si>
  <si>
    <t>SAYED ADEL HASHEM ALAWI ALI</t>
  </si>
  <si>
    <t>1453-0</t>
  </si>
  <si>
    <t>JPB3VS009</t>
  </si>
  <si>
    <t>YASMINE MOHAMMAD AL SARHI</t>
  </si>
  <si>
    <t>YASMINE.SARHI@HOTMAIL.COM</t>
  </si>
  <si>
    <t>971|50-6905470</t>
  </si>
  <si>
    <t>971|506905470</t>
  </si>
  <si>
    <t>Palestine</t>
  </si>
  <si>
    <t>1454-0</t>
  </si>
  <si>
    <t>JPB3VS010</t>
  </si>
  <si>
    <t>1455-0</t>
  </si>
  <si>
    <t>JPB3VS011</t>
  </si>
  <si>
    <t>BANDAR EMAD A MADANI</t>
  </si>
  <si>
    <t>1456-0</t>
  </si>
  <si>
    <t>JPB3VL041</t>
  </si>
  <si>
    <t>RITVA VERONIKA KENNEDY</t>
  </si>
  <si>
    <t>1457-0</t>
  </si>
  <si>
    <t>JPB3VL042</t>
  </si>
  <si>
    <t>FAUKIA KHURAM</t>
  </si>
  <si>
    <t>KHURAM@TABARAK.COM</t>
  </si>
  <si>
    <t>1458-0</t>
  </si>
  <si>
    <t>JPB3VL043</t>
  </si>
  <si>
    <t>HABIB GERGI HANNA</t>
  </si>
  <si>
    <t>1459-0</t>
  </si>
  <si>
    <t>JPB3VL044</t>
  </si>
  <si>
    <t>JENNIFER MARY WHITEHEAD</t>
  </si>
  <si>
    <t>1460-0</t>
  </si>
  <si>
    <t>JPB3VL045</t>
  </si>
  <si>
    <t>MOHAMMAD TARIQ ABU BASHAR</t>
  </si>
  <si>
    <t>971|50-5374625</t>
  </si>
  <si>
    <t>1461-0</t>
  </si>
  <si>
    <t>JPB3VL046</t>
  </si>
  <si>
    <t>TURKI ABDULLAH A ALDAKHIL</t>
  </si>
  <si>
    <t>sad@gmail.com</t>
  </si>
  <si>
    <t>971|50-9555029</t>
  </si>
  <si>
    <t>971|0096658823</t>
  </si>
  <si>
    <t>1462-0</t>
  </si>
  <si>
    <t>JPB3VL047</t>
  </si>
  <si>
    <t>SAVIO MANFRED JOSEPH LEWIS</t>
  </si>
  <si>
    <t>04/8824268</t>
  </si>
  <si>
    <t>SHALET LEWIS</t>
  </si>
  <si>
    <t>1463-0</t>
  </si>
  <si>
    <t>JPB3VL048</t>
  </si>
  <si>
    <t>KHALID OTHMAN A ALOTHMAN</t>
  </si>
  <si>
    <t>1464-0</t>
  </si>
  <si>
    <t>JPB3VL049</t>
  </si>
  <si>
    <t>JOHN PATRICK O HARA</t>
  </si>
  <si>
    <t>1465-0</t>
  </si>
  <si>
    <t>JPB3VS001</t>
  </si>
  <si>
    <t>PAVEL SOLOVYEV</t>
  </si>
  <si>
    <t>pavel.vic.solovyov@gmail.com</t>
  </si>
  <si>
    <t>971|50-6449480</t>
  </si>
  <si>
    <t>1466-0</t>
  </si>
  <si>
    <t>JPB3VL031</t>
  </si>
  <si>
    <t>BASEL RAFIQ MOHD ALTANBOUZ</t>
  </si>
  <si>
    <t>1467-0</t>
  </si>
  <si>
    <t>JPB3VL032</t>
  </si>
  <si>
    <t>MOHAMMED NOORI AYYED</t>
  </si>
  <si>
    <t>CEO@HIG.ME</t>
  </si>
  <si>
    <t>971|50-5599587</t>
  </si>
  <si>
    <t>971|505599587</t>
  </si>
  <si>
    <t>Dominican Republic</t>
  </si>
  <si>
    <t>1468-0</t>
  </si>
  <si>
    <t>JPB3VL033</t>
  </si>
  <si>
    <t>SUFIAN GHAZI SAEED</t>
  </si>
  <si>
    <t>sufyan76@gmail.com</t>
  </si>
  <si>
    <t>971|55-2525575</t>
  </si>
  <si>
    <t>971|2525575</t>
  </si>
  <si>
    <t>1469-0</t>
  </si>
  <si>
    <t>JPB3VL034</t>
  </si>
  <si>
    <t>KHAYG SALATYAN (DXB/V4419)</t>
  </si>
  <si>
    <t>1470-0</t>
  </si>
  <si>
    <t>JPB3VL035</t>
  </si>
  <si>
    <t>MOUAID PETER KHAMAS</t>
  </si>
  <si>
    <t>971|50-4506378</t>
  </si>
  <si>
    <t>971|504506378</t>
  </si>
  <si>
    <t>1471-0</t>
  </si>
  <si>
    <t>JPB3VL036</t>
  </si>
  <si>
    <t>HABIB JIHAD HABIB</t>
  </si>
  <si>
    <t>habibjh@yahoo.com</t>
  </si>
  <si>
    <t>971|50-6517099</t>
  </si>
  <si>
    <t>971|506517099</t>
  </si>
  <si>
    <t>1472-0</t>
  </si>
  <si>
    <t>JPB3VL037</t>
  </si>
  <si>
    <t>NABIL KAMLEH</t>
  </si>
  <si>
    <t>1473-0</t>
  </si>
  <si>
    <t>JPB3VL038</t>
  </si>
  <si>
    <t>SHANE WILSON</t>
  </si>
  <si>
    <t>1474-0</t>
  </si>
  <si>
    <t>JPB3VL039</t>
  </si>
  <si>
    <t>GURDEEP SINGH</t>
  </si>
  <si>
    <t>AVINASH KAUR</t>
  </si>
  <si>
    <t>1475-0</t>
  </si>
  <si>
    <t>JPB3VL040</t>
  </si>
  <si>
    <t>MASHARI SALEM A ALTHAYDI</t>
  </si>
  <si>
    <t>1476-0</t>
  </si>
  <si>
    <t>JPB3VS042</t>
  </si>
  <si>
    <t>FAHAD FARAZI</t>
  </si>
  <si>
    <t>1477-0</t>
  </si>
  <si>
    <t>JPB4V001</t>
  </si>
  <si>
    <t>ZAYED ABDUL AZIZ SULTAN SHAMIS ALSHAMSI</t>
  </si>
  <si>
    <t>1478-0</t>
  </si>
  <si>
    <t>JPB4V002</t>
  </si>
  <si>
    <t>AL NAHDA REAL ESTATE LIMITED</t>
  </si>
  <si>
    <t>1479-0</t>
  </si>
  <si>
    <t>JPB4V003</t>
  </si>
  <si>
    <t>1480-0</t>
  </si>
  <si>
    <t>JPB4V004</t>
  </si>
  <si>
    <t>1481-0</t>
  </si>
  <si>
    <t>JPB4V005</t>
  </si>
  <si>
    <t>AYAD R M JAMALUDDIN</t>
  </si>
  <si>
    <t>1482-0</t>
  </si>
  <si>
    <t>JPB3VL027</t>
  </si>
  <si>
    <t>RASHED HAMAD SULTAN BELJAFLA ALMANSOORI</t>
  </si>
  <si>
    <t>1483-0</t>
  </si>
  <si>
    <t>JPB3VL028</t>
  </si>
  <si>
    <t>ALADEEN IBRAHIM KHALIL AL MASRI</t>
  </si>
  <si>
    <t>1484-0</t>
  </si>
  <si>
    <t>JPB3VL029</t>
  </si>
  <si>
    <t>BASEL AL HAFI</t>
  </si>
  <si>
    <t>hafipaper@gmail.com</t>
  </si>
  <si>
    <t>971|56-6590626</t>
  </si>
  <si>
    <t>971|6590626</t>
  </si>
  <si>
    <t>1485-0</t>
  </si>
  <si>
    <t>JPB3VL030</t>
  </si>
  <si>
    <t>DEEPAK RAMCHANDRA BHATIA</t>
  </si>
  <si>
    <t>971|50-6554049</t>
  </si>
  <si>
    <t>971|506554049</t>
  </si>
  <si>
    <t>RITA DEEPAK BHATIA</t>
  </si>
  <si>
    <t>971|50-6531127</t>
  </si>
  <si>
    <t>1486-0</t>
  </si>
  <si>
    <t>JPB3VS032</t>
  </si>
  <si>
    <t>SEYED MOHAMMAD SEYED ABDOLHOSSEIN ZANDAVI</t>
  </si>
  <si>
    <t>NOOSHIN SAMAD KIANI FAR</t>
  </si>
  <si>
    <t>1487-0</t>
  </si>
  <si>
    <t>JPB3VS033</t>
  </si>
  <si>
    <t>FIRST ABU DHABI BANK P.J.S.C.</t>
  </si>
  <si>
    <t>971-4-3236633</t>
  </si>
  <si>
    <t>A0@GMAIL.COM</t>
  </si>
  <si>
    <t>1488-0</t>
  </si>
  <si>
    <t>JPB3VS034</t>
  </si>
  <si>
    <t>SALEM HASAN GHARIB ABDULLA ALBLOOSHI</t>
  </si>
  <si>
    <t>salem.albalooshi@edia.ae</t>
  </si>
  <si>
    <t>1489-0</t>
  </si>
  <si>
    <t>JPB3VS035</t>
  </si>
  <si>
    <t>VIVEK SHARMA</t>
  </si>
  <si>
    <t>keviv.sharma@gmail.com</t>
  </si>
  <si>
    <t>971|56-5068086</t>
  </si>
  <si>
    <t>971|.</t>
  </si>
  <si>
    <t>1490-0</t>
  </si>
  <si>
    <t>JPB3VS036</t>
  </si>
  <si>
    <t>SHEIKH SOHAIL AHMAD SHEIKH JAMIL AHMED</t>
  </si>
  <si>
    <t>info@unity-realestate.com</t>
  </si>
  <si>
    <t>971|50-8503200</t>
  </si>
  <si>
    <t>971|508503200</t>
  </si>
  <si>
    <t>1491-0</t>
  </si>
  <si>
    <t>JPB3VS037</t>
  </si>
  <si>
    <t>NADAL YOUSSIF DIYA</t>
  </si>
  <si>
    <t>1492-0</t>
  </si>
  <si>
    <t>JPB3VS038</t>
  </si>
  <si>
    <t>JARAH YAHYA A ALYAHYA</t>
  </si>
  <si>
    <t>1493-0</t>
  </si>
  <si>
    <t>JPB3VS039</t>
  </si>
  <si>
    <t>ALIA ABDULRAHIM AHMED ABDULLA MERDAS</t>
  </si>
  <si>
    <t>971|507182166</t>
  </si>
  <si>
    <t>a@GMAIL.COM</t>
  </si>
  <si>
    <t>971|50-7182166</t>
  </si>
  <si>
    <t>1494-0</t>
  </si>
  <si>
    <t>JPB3VS040</t>
  </si>
  <si>
    <t>MUMTAZ SABEEH TAWFIK</t>
  </si>
  <si>
    <t>1495-0</t>
  </si>
  <si>
    <t>JPB3VS041</t>
  </si>
  <si>
    <t>CHANDAN CHAMANLAL AHUJA</t>
  </si>
  <si>
    <t>MILI CHANDAN AHUJA</t>
  </si>
  <si>
    <t>1496-0</t>
  </si>
  <si>
    <t>JPB3VS022</t>
  </si>
  <si>
    <t>AMANDA JANE HADDOW</t>
  </si>
  <si>
    <t>050-8863112</t>
  </si>
  <si>
    <t>ANDREW JAMES HADDOW</t>
  </si>
  <si>
    <t>1497-0</t>
  </si>
  <si>
    <t>JPB3VS023</t>
  </si>
  <si>
    <t>VIKAS KOUL</t>
  </si>
  <si>
    <t>971|508792074</t>
  </si>
  <si>
    <t>1498-0</t>
  </si>
  <si>
    <t>JPB3VS024</t>
  </si>
  <si>
    <t>DEEPAK ASHOK ROCHLANI</t>
  </si>
  <si>
    <t>1499-0</t>
  </si>
  <si>
    <t>JPB3VS025</t>
  </si>
  <si>
    <t>ASHISH KIRAT DESAI</t>
  </si>
  <si>
    <t>971|55-6513036</t>
  </si>
  <si>
    <t>971|0556513036</t>
  </si>
  <si>
    <t>1500-0</t>
  </si>
  <si>
    <t>JPB3VS026</t>
  </si>
  <si>
    <t>KHALED MOHAMED BESHIR</t>
  </si>
  <si>
    <t>1501-0</t>
  </si>
  <si>
    <t>JPB3VS027</t>
  </si>
  <si>
    <t>HESHAM MOHAMED ASHRAF LABIB GOHAR</t>
  </si>
  <si>
    <t>SHAIMAA MOHAMED HAFEZ ELKHARBOTLY</t>
  </si>
  <si>
    <t>1502-0</t>
  </si>
  <si>
    <t>JPB3VS028</t>
  </si>
  <si>
    <t>SARAH HELEN PINION</t>
  </si>
  <si>
    <t>1503-0</t>
  </si>
  <si>
    <t>JPB3VS029</t>
  </si>
  <si>
    <t>HANY YACOUB AWAD ABDELMALEK</t>
  </si>
  <si>
    <t>INFO@CAIROCONTRACTING.AE</t>
  </si>
  <si>
    <t>971|55-8454002</t>
  </si>
  <si>
    <t>1504-0</t>
  </si>
  <si>
    <t>JPB3VS030</t>
  </si>
  <si>
    <t>MOHAMED AMIN MOHAMED WAHBY (DXB/V5165)</t>
  </si>
  <si>
    <t>1505-0</t>
  </si>
  <si>
    <t>JPB3VS031</t>
  </si>
  <si>
    <t>CHARU KATYAL</t>
  </si>
  <si>
    <t>SHOBHIT KHANNA</t>
  </si>
  <si>
    <t>1506-0</t>
  </si>
  <si>
    <t>JPM4V007</t>
  </si>
  <si>
    <t>SHIVAM GOYAL</t>
  </si>
  <si>
    <t>971|50-5511138</t>
  </si>
  <si>
    <t>SHIPRA KHURANA</t>
  </si>
  <si>
    <t>971|50-5384302</t>
  </si>
  <si>
    <t>1507-0</t>
  </si>
  <si>
    <t>JPM4V008</t>
  </si>
  <si>
    <t>1508-0</t>
  </si>
  <si>
    <t>JPM4V009</t>
  </si>
  <si>
    <t>MOHAMMED MUNIR ISSA ALMALAIKA</t>
  </si>
  <si>
    <t>971|50-5653412</t>
  </si>
  <si>
    <t>1509-0</t>
  </si>
  <si>
    <t>JPM4V010</t>
  </si>
  <si>
    <t>RAMEESHA RAI MUHAMMAD FAYYAZ SHAFIQ</t>
  </si>
  <si>
    <t>1510-0</t>
  </si>
  <si>
    <t>JPB3VS016</t>
  </si>
  <si>
    <t>AHMED MEDHAT MAHMOUD MOKHTAR</t>
  </si>
  <si>
    <t>971|56-6852885</t>
  </si>
  <si>
    <t>1511-0</t>
  </si>
  <si>
    <t>JPB3VS017</t>
  </si>
  <si>
    <t>MONA ZGHEIB</t>
  </si>
  <si>
    <t>1512-0</t>
  </si>
  <si>
    <t>JPB3VS018</t>
  </si>
  <si>
    <t>TAGHI MOHSEN JANATYANI</t>
  </si>
  <si>
    <t>050/7758927</t>
  </si>
  <si>
    <t>1513-0</t>
  </si>
  <si>
    <t>JPB3VS019</t>
  </si>
  <si>
    <t>KHALIFA HAMDAN SALMEEN AL MANSOORI</t>
  </si>
  <si>
    <t>971|0501111636</t>
  </si>
  <si>
    <t>SKH.ALMANSOORI@GMAIL.COM</t>
  </si>
  <si>
    <t>971|50-1111636</t>
  </si>
  <si>
    <t>1514-0</t>
  </si>
  <si>
    <t>JPB3VS020</t>
  </si>
  <si>
    <t>ARCOLA ENTERPRISES LIMITED</t>
  </si>
  <si>
    <t>1515-0</t>
  </si>
  <si>
    <t>JPB3VS021</t>
  </si>
  <si>
    <t>BAN ADIL MAHMOOD HADID</t>
  </si>
  <si>
    <t>1516-0</t>
  </si>
  <si>
    <t>JPB4V026</t>
  </si>
  <si>
    <t>MUSTAFA KHAMASH</t>
  </si>
  <si>
    <t>m.k@kartdesign.net</t>
  </si>
  <si>
    <t>971|50-8966567</t>
  </si>
  <si>
    <t>1517-0</t>
  </si>
  <si>
    <t>JPB4V027</t>
  </si>
  <si>
    <t>DAOUSSA IDRISS</t>
  </si>
  <si>
    <t>Chad</t>
  </si>
  <si>
    <t>1518-0</t>
  </si>
  <si>
    <t>JPB4V028</t>
  </si>
  <si>
    <t>ZULFIQAR ALI SULAIMAN</t>
  </si>
  <si>
    <t>1520-0</t>
  </si>
  <si>
    <t>JPB5V002</t>
  </si>
  <si>
    <t>KADHOM JAWAD HUSSAIN</t>
  </si>
  <si>
    <t>1521-0</t>
  </si>
  <si>
    <t>JPB5V003</t>
  </si>
  <si>
    <t>FARIDA MURTAZA SHAHPURWALA</t>
  </si>
  <si>
    <t>3905009-04</t>
  </si>
  <si>
    <t>MURTAZA ABBAS SHAHPURWALA</t>
  </si>
  <si>
    <t>04/3905009</t>
  </si>
  <si>
    <t>mshahpur@mailme.ae</t>
  </si>
  <si>
    <t>1522-0</t>
  </si>
  <si>
    <t>JPB5V004</t>
  </si>
  <si>
    <t>1523-0</t>
  </si>
  <si>
    <t>JPB5V005</t>
  </si>
  <si>
    <t>YUSUF ALI HUSSAIN DHAMANGAMWALA</t>
  </si>
  <si>
    <t>1524-0</t>
  </si>
  <si>
    <t>JPB5V006</t>
  </si>
  <si>
    <t>SHAKHZODA ARIFDJANOVA</t>
  </si>
  <si>
    <t>971|50-4042330</t>
  </si>
  <si>
    <t>971|0000000</t>
  </si>
  <si>
    <t>Uzbekistan</t>
  </si>
  <si>
    <t>1525-0</t>
  </si>
  <si>
    <t>JPB4V016</t>
  </si>
  <si>
    <t>HASSAN HOSSEIN BABACHAHI</t>
  </si>
  <si>
    <t>2948273-04</t>
  </si>
  <si>
    <t>1526-0</t>
  </si>
  <si>
    <t>JPB4V017</t>
  </si>
  <si>
    <t>SHILPA JAIN</t>
  </si>
  <si>
    <t>1527-0</t>
  </si>
  <si>
    <t>JPB4V018</t>
  </si>
  <si>
    <t>UMER SULTAN FAZAL BASIT</t>
  </si>
  <si>
    <t>1528-0</t>
  </si>
  <si>
    <t>JPB4V019</t>
  </si>
  <si>
    <t>KUMAR HARICHANNDRAI ARJUN</t>
  </si>
  <si>
    <t>MONA ARJUN KUMAR</t>
  </si>
  <si>
    <t>1530-0</t>
  </si>
  <si>
    <t>JPB4V021</t>
  </si>
  <si>
    <t>SHIVKUMAR THIAGARAJAN IYER</t>
  </si>
  <si>
    <t>1531-0</t>
  </si>
  <si>
    <t>JPB4V022</t>
  </si>
  <si>
    <t>MONIKA RAUNIYAR</t>
  </si>
  <si>
    <t>Nepal</t>
  </si>
  <si>
    <t>1532-0</t>
  </si>
  <si>
    <t>JPB4V023</t>
  </si>
  <si>
    <t>SAADIA AMIR NIAZI</t>
  </si>
  <si>
    <t>1@gmail.com</t>
  </si>
  <si>
    <t>971|50-1637877</t>
  </si>
  <si>
    <t>971|056459866</t>
  </si>
  <si>
    <t>Netherlands</t>
  </si>
  <si>
    <t>1533-0</t>
  </si>
  <si>
    <t>JPB4V024</t>
  </si>
  <si>
    <t>POOJA MIHIR SHAH</t>
  </si>
  <si>
    <t>971|043806480</t>
  </si>
  <si>
    <t>pooja@greenhouse.ae</t>
  </si>
  <si>
    <t>1534-0</t>
  </si>
  <si>
    <t>JPB4V025</t>
  </si>
  <si>
    <t>SHAHID RASHID SOORTY</t>
  </si>
  <si>
    <t>shahid60@yahoo.com</t>
  </si>
  <si>
    <t>1535-0</t>
  </si>
  <si>
    <t>JPB4V006</t>
  </si>
  <si>
    <t>TAMARA AHMAD MOHAMMAD SHAKER</t>
  </si>
  <si>
    <t>KHALED A M SAID</t>
  </si>
  <si>
    <t>1536-0</t>
  </si>
  <si>
    <t>JPB4V007</t>
  </si>
  <si>
    <t>BLESSED INC LIMITED</t>
  </si>
  <si>
    <t>1537-0</t>
  </si>
  <si>
    <t>JPB4V008</t>
  </si>
  <si>
    <t>FARAH ALI</t>
  </si>
  <si>
    <t>farah@fineandcountry.ar</t>
  </si>
  <si>
    <t>971|56801416</t>
  </si>
  <si>
    <t>1538-0</t>
  </si>
  <si>
    <t>JPB4V009</t>
  </si>
  <si>
    <t>CHANT ISTANBOULLI</t>
  </si>
  <si>
    <t>1539-0</t>
  </si>
  <si>
    <t>JPB4V010</t>
  </si>
  <si>
    <t>DEVIKA VIRENDRA JANGLA</t>
  </si>
  <si>
    <t>vmjangle@jec-corp.com</t>
  </si>
  <si>
    <t>VIRENDRA MAGHUMAL JANGLA</t>
  </si>
  <si>
    <t>04-2267825</t>
  </si>
  <si>
    <t>1540-0</t>
  </si>
  <si>
    <t>JPB4V011</t>
  </si>
  <si>
    <t>JACQUELINE ZSUZSANNA LANTOS PAUKA</t>
  </si>
  <si>
    <t>GABOR PAUKA</t>
  </si>
  <si>
    <t>1541-0</t>
  </si>
  <si>
    <t>JPB4V012</t>
  </si>
  <si>
    <t>Jagath Chandrawansa Kariyawasam Kanattage</t>
  </si>
  <si>
    <t>--</t>
  </si>
  <si>
    <t>971-50-9400424</t>
  </si>
  <si>
    <t>1542-0</t>
  </si>
  <si>
    <t>JPB4V013</t>
  </si>
  <si>
    <t>ZEESHAN MUSHTAQ AWAN</t>
  </si>
  <si>
    <t>ahmed@tamleekpr.ae</t>
  </si>
  <si>
    <t>971|50-4534127</t>
  </si>
  <si>
    <t>1543-0</t>
  </si>
  <si>
    <t>JPB4V014</t>
  </si>
  <si>
    <t>SALEHA KHATUN</t>
  </si>
  <si>
    <t>1544-0</t>
  </si>
  <si>
    <t>JPB4V015</t>
  </si>
  <si>
    <t>TERRY GRUBB</t>
  </si>
  <si>
    <t>971|56-2143924</t>
  </si>
  <si>
    <t>971|562143924</t>
  </si>
  <si>
    <t>NITIN CHOUHAN</t>
  </si>
  <si>
    <t>971|50-9294653</t>
  </si>
  <si>
    <t>971|509294653</t>
  </si>
  <si>
    <t>1545-0</t>
  </si>
  <si>
    <t>JPF4V014</t>
  </si>
  <si>
    <t>MAHER HABIB SAAB</t>
  </si>
  <si>
    <t>971|50-6444864</t>
  </si>
  <si>
    <t>971|0501496623</t>
  </si>
  <si>
    <t>1546-0</t>
  </si>
  <si>
    <t>JPF5V019</t>
  </si>
  <si>
    <t>1547-0</t>
  </si>
  <si>
    <t>JPF5V020</t>
  </si>
  <si>
    <t>MICHAEL MANSOUR</t>
  </si>
  <si>
    <t>971|55-5577924</t>
  </si>
  <si>
    <t>971|0555577924</t>
  </si>
  <si>
    <t>1548-0</t>
  </si>
  <si>
    <t>JPF5V021</t>
  </si>
  <si>
    <t>RANDA M T EL SADIK</t>
  </si>
  <si>
    <t>1549-0</t>
  </si>
  <si>
    <t>JPF5V022</t>
  </si>
  <si>
    <t>VIVEK VOHRA</t>
  </si>
  <si>
    <t>1550-0</t>
  </si>
  <si>
    <t>JPF5V023</t>
  </si>
  <si>
    <t>RAIHA RIAZ ALI MALIK</t>
  </si>
  <si>
    <t>1551-0</t>
  </si>
  <si>
    <t>JPF5V024</t>
  </si>
  <si>
    <t>SONA RAM VOHRA</t>
  </si>
  <si>
    <t>971|0508734873</t>
  </si>
  <si>
    <t>971|50-6445931</t>
  </si>
  <si>
    <t>971|506445931</t>
  </si>
  <si>
    <t>1552-0</t>
  </si>
  <si>
    <t>JPF5V025</t>
  </si>
  <si>
    <t>FAISAL SHAIKH</t>
  </si>
  <si>
    <t>SHAZIA FAISAL FAISAL SHAIKH</t>
  </si>
  <si>
    <t>1553-0</t>
  </si>
  <si>
    <t>JPF5V026</t>
  </si>
  <si>
    <t>DINESH KUMAR GUPTA</t>
  </si>
  <si>
    <t>971|50-6243415</t>
  </si>
  <si>
    <t>971|506243415</t>
  </si>
  <si>
    <t>1554-0</t>
  </si>
  <si>
    <t>JPF5V027</t>
  </si>
  <si>
    <t>RATNESH RAVINDRA KANSAL KANSAL</t>
  </si>
  <si>
    <t>1555-0</t>
  </si>
  <si>
    <t>JPF5V028</t>
  </si>
  <si>
    <t>SEYED HAMID AHLE SAADAT</t>
  </si>
  <si>
    <t>971|506752373</t>
  </si>
  <si>
    <t>altabuameen@gmail.com</t>
  </si>
  <si>
    <t>971|56-4152632</t>
  </si>
  <si>
    <t>1556-0</t>
  </si>
  <si>
    <t>JPF5V029</t>
  </si>
  <si>
    <t>SAADAAT YAQUB BAJWA</t>
  </si>
  <si>
    <t>971|3463260</t>
  </si>
  <si>
    <t>saadaat.yaqub@gmail.com</t>
  </si>
  <si>
    <t>971|50-3463260</t>
  </si>
  <si>
    <t>1557-0</t>
  </si>
  <si>
    <t>JPF5V030</t>
  </si>
  <si>
    <t>POONAM CHOPRA</t>
  </si>
  <si>
    <t>420|0</t>
  </si>
  <si>
    <t>ATUL BRIJ</t>
  </si>
  <si>
    <t>1558-0</t>
  </si>
  <si>
    <t>JPF5V031</t>
  </si>
  <si>
    <t>MOHAMMAD ZAKI JAWED ALI</t>
  </si>
  <si>
    <t>zaki@zakidesigns.com</t>
  </si>
  <si>
    <t>971|50-6593351</t>
  </si>
  <si>
    <t>1559-0</t>
  </si>
  <si>
    <t>JPF5V032</t>
  </si>
  <si>
    <t>1560-0</t>
  </si>
  <si>
    <t>JPF5V033</t>
  </si>
  <si>
    <t>SEYED AMIR MASOUD RASOUL ZADEH HOSSEINI</t>
  </si>
  <si>
    <t>kloke.md@gmail.com</t>
  </si>
  <si>
    <t>971 55 9115577</t>
  </si>
  <si>
    <t>1561-0</t>
  </si>
  <si>
    <t>JPF5V034</t>
  </si>
  <si>
    <t>SAEED MAKKI SAEED AL BADRI</t>
  </si>
  <si>
    <t>971|555512907</t>
  </si>
  <si>
    <t>mamlaktaloud@yahoo.com</t>
  </si>
  <si>
    <t>971|50-5968403</t>
  </si>
  <si>
    <t>1562-0</t>
  </si>
  <si>
    <t>JPF5V035</t>
  </si>
  <si>
    <t>NITIN BHATNAGAR</t>
  </si>
  <si>
    <t>971|0504518198</t>
  </si>
  <si>
    <t>971|50-4518198</t>
  </si>
  <si>
    <t>1563-0</t>
  </si>
  <si>
    <t>JPF5V036</t>
  </si>
  <si>
    <t>JOSEPH THOMAS</t>
  </si>
  <si>
    <t>josephthomes129@hotmail.com</t>
  </si>
  <si>
    <t>971|50-6408316</t>
  </si>
  <si>
    <t>971|506408316</t>
  </si>
  <si>
    <t>1564-0</t>
  </si>
  <si>
    <t>JPF5V037</t>
  </si>
  <si>
    <t>PANKAJ SAVARA</t>
  </si>
  <si>
    <t>NEERA SAVARA</t>
  </si>
  <si>
    <t>1565-0</t>
  </si>
  <si>
    <t>JPF5V038</t>
  </si>
  <si>
    <t>SAMER HAMEED NASSER AL OBAIDI</t>
  </si>
  <si>
    <t>1566-0</t>
  </si>
  <si>
    <t>JPF5V039</t>
  </si>
  <si>
    <t>FAWWAZ SAADI FARAJ</t>
  </si>
  <si>
    <t>1567-0</t>
  </si>
  <si>
    <t>JPF5V040</t>
  </si>
  <si>
    <t>1568-0</t>
  </si>
  <si>
    <t>JPF5V041</t>
  </si>
  <si>
    <t>JILLA ALI ALIZADEH</t>
  </si>
  <si>
    <t>JILLA@GMAIL.COM</t>
  </si>
  <si>
    <t>971|50-8858655</t>
  </si>
  <si>
    <t>1569-0</t>
  </si>
  <si>
    <t>JPF5V042</t>
  </si>
  <si>
    <t>SINA ABDOLRAHMAN ARJOMANDI</t>
  </si>
  <si>
    <t>971|0563939334</t>
  </si>
  <si>
    <t>971|56-3939334</t>
  </si>
  <si>
    <t>1570-0</t>
  </si>
  <si>
    <t>JPF5V043</t>
  </si>
  <si>
    <t>MUSTAFA KAMEL SAEED ALWASH</t>
  </si>
  <si>
    <t>3535725-04</t>
  </si>
  <si>
    <t>1571-0</t>
  </si>
  <si>
    <t>JPF5V044</t>
  </si>
  <si>
    <t>KINDA GAHTAN A BALKHAIR</t>
  </si>
  <si>
    <t>1572-0</t>
  </si>
  <si>
    <t>JPF5V045</t>
  </si>
  <si>
    <t>AHMED GHANNAWI</t>
  </si>
  <si>
    <t>1573-0</t>
  </si>
  <si>
    <t>JPF5V046</t>
  </si>
  <si>
    <t>MUHAMMAD NASIR ZAMAN KHAN</t>
  </si>
  <si>
    <t>1574-0</t>
  </si>
  <si>
    <t>JPF4V016</t>
  </si>
  <si>
    <t>BINA MAHENDRA PANCHOLIA</t>
  </si>
  <si>
    <t>1575-0</t>
  </si>
  <si>
    <t>JPF4V017</t>
  </si>
  <si>
    <t>FATIMA IDRIS AWAN</t>
  </si>
  <si>
    <t>fatimaawan28@gmail.com</t>
  </si>
  <si>
    <t>971|50-5576354</t>
  </si>
  <si>
    <t>1576-0</t>
  </si>
  <si>
    <t>JPF4V018</t>
  </si>
  <si>
    <t>STEPHANIE MARY ROBERT</t>
  </si>
  <si>
    <t>lilsteph78@hotmail.com</t>
  </si>
  <si>
    <t>971|50-5245624</t>
  </si>
  <si>
    <t>971|5245624</t>
  </si>
  <si>
    <t>WILLIAM ROBERT</t>
  </si>
  <si>
    <t>1577-0</t>
  </si>
  <si>
    <t>JPF4V019</t>
  </si>
  <si>
    <t>DON HEE EL RASHID</t>
  </si>
  <si>
    <t>HASSAN EL RASHID</t>
  </si>
  <si>
    <t>1578-0</t>
  </si>
  <si>
    <t>JPF4V020</t>
  </si>
  <si>
    <t>RADOSUETA TZOTCHEVA FRANGOUDES</t>
  </si>
  <si>
    <t>FRANGOIDES.CR@GMAIL.COM</t>
  </si>
  <si>
    <t>971|50-5535930</t>
  </si>
  <si>
    <t>Cyprus</t>
  </si>
  <si>
    <t>CONSTANTINOS FRANGOUDES</t>
  </si>
  <si>
    <t>1579-0</t>
  </si>
  <si>
    <t>JPF4V021</t>
  </si>
  <si>
    <t>CRISTINA GENOVEVA DE TORRES GARCIA GALLO</t>
  </si>
  <si>
    <t>PABLO RODRIGUEZ VILLANUEVA GARCIA</t>
  </si>
  <si>
    <t>1580-0</t>
  </si>
  <si>
    <t>JPF4V022</t>
  </si>
  <si>
    <t>SYED ASIF RAZA</t>
  </si>
  <si>
    <t>asif.raza@jpmorgan.com</t>
  </si>
  <si>
    <t>1581-0</t>
  </si>
  <si>
    <t>JPF4V023</t>
  </si>
  <si>
    <t>ABDUKADYR KHABIBULA</t>
  </si>
  <si>
    <t>971|52-2539942</t>
  </si>
  <si>
    <t>971|0522539942</t>
  </si>
  <si>
    <t>1582-0</t>
  </si>
  <si>
    <t>JPF4V024</t>
  </si>
  <si>
    <t>SAMEER TANVEER ANSARI TANVEER ANSARI</t>
  </si>
  <si>
    <t>971|554240284</t>
  </si>
  <si>
    <t>sameer@homesandbeyond.ae</t>
  </si>
  <si>
    <t>971|55-4240284</t>
  </si>
  <si>
    <t>1583-0</t>
  </si>
  <si>
    <t>JPF4V025</t>
  </si>
  <si>
    <t>HEBA M A HAMID</t>
  </si>
  <si>
    <t>1584-0</t>
  </si>
  <si>
    <t>JPF4V026</t>
  </si>
  <si>
    <t>AHMED SAEED AHMED SALEM ALAQIDA ALSHEHHI</t>
  </si>
  <si>
    <t>1585-0</t>
  </si>
  <si>
    <t>JPF4V027</t>
  </si>
  <si>
    <t>KRISTIN KRIESEL</t>
  </si>
  <si>
    <t>1586-0</t>
  </si>
  <si>
    <t>JPF4V028</t>
  </si>
  <si>
    <t>VISWANATHAN RAMACHANDRAN</t>
  </si>
  <si>
    <t>1588-0</t>
  </si>
  <si>
    <t>JPF5V001</t>
  </si>
  <si>
    <t>NIMATOLLAH HOSSEIN ZADEH</t>
  </si>
  <si>
    <t>m_tariqiqbal@hotmail.com</t>
  </si>
  <si>
    <t>971|50-6445908</t>
  </si>
  <si>
    <t>1589-0</t>
  </si>
  <si>
    <t>JPF5V002</t>
  </si>
  <si>
    <t>JAYSHREE DEEPAK BABANI MOTWANI SAINANI</t>
  </si>
  <si>
    <t>971|50-6528770</t>
  </si>
  <si>
    <t>971|0506528770</t>
  </si>
  <si>
    <t>DEEPAK JETHANAND BABANI</t>
  </si>
  <si>
    <t>971|55-6037771</t>
  </si>
  <si>
    <t>971|0556037771</t>
  </si>
  <si>
    <t>1590-0</t>
  </si>
  <si>
    <t>JPF5V003</t>
  </si>
  <si>
    <t>SAUD AHMED KHAWAJA</t>
  </si>
  <si>
    <t>ASIYA KHAWAJA</t>
  </si>
  <si>
    <t>971|--4056569</t>
  </si>
  <si>
    <t>44|7944056569</t>
  </si>
  <si>
    <t>1591-0</t>
  </si>
  <si>
    <t>JPF5V004</t>
  </si>
  <si>
    <t>YAHYA HAMZAH DHANNOON</t>
  </si>
  <si>
    <t>ALAFAQ-CO@YAHOO.COM</t>
  </si>
  <si>
    <t>971|50-5527690</t>
  </si>
  <si>
    <t>971|5527690</t>
  </si>
  <si>
    <t>1592-0</t>
  </si>
  <si>
    <t>JPF5V005</t>
  </si>
  <si>
    <t>ABDULKAREEM EZZULDDIN MAHMOOD ALRAWI</t>
  </si>
  <si>
    <t>1593-0</t>
  </si>
  <si>
    <t>JPF5V006</t>
  </si>
  <si>
    <t>1594-0</t>
  </si>
  <si>
    <t>JPF5V007</t>
  </si>
  <si>
    <t>SUJOY KUMAR KEWAL PANDIT</t>
  </si>
  <si>
    <t>971|558845974</t>
  </si>
  <si>
    <t>JJJJJJJJ@HOTMAIL.COM</t>
  </si>
  <si>
    <t>971|55-8845974</t>
  </si>
  <si>
    <t>1595-0</t>
  </si>
  <si>
    <t>JPF5V008</t>
  </si>
  <si>
    <t>MUHAMMAD KAMRAN</t>
  </si>
  <si>
    <t>3639752-04</t>
  </si>
  <si>
    <t>050-6946708</t>
  </si>
  <si>
    <t>1596-0</t>
  </si>
  <si>
    <t>JPF5V009</t>
  </si>
  <si>
    <t>CHIRAG ROHIT PATEL</t>
  </si>
  <si>
    <t>ptcdubai@emirates.net.ae</t>
  </si>
  <si>
    <t>1597-0</t>
  </si>
  <si>
    <t>JPF5V010</t>
  </si>
  <si>
    <t>CHIRAYU ROHIT PATEL</t>
  </si>
  <si>
    <t>1598-0</t>
  </si>
  <si>
    <t>JPF5V011</t>
  </si>
  <si>
    <t>ROHIT PURSHOTTAM PATEL</t>
  </si>
  <si>
    <t>chiragrp@gmail.com</t>
  </si>
  <si>
    <t>971|50-6447982</t>
  </si>
  <si>
    <t>971|6447982</t>
  </si>
  <si>
    <t>1599-0</t>
  </si>
  <si>
    <t>JPF5V012</t>
  </si>
  <si>
    <t>CHETNA BHARATKUMAR SHAH</t>
  </si>
  <si>
    <t>BHARATKUMAR MAHENDRAKUMAR SHAH</t>
  </si>
  <si>
    <t>971|50-0506240</t>
  </si>
  <si>
    <t>971|506240107</t>
  </si>
  <si>
    <t>1600-0</t>
  </si>
  <si>
    <t>JPF5V013</t>
  </si>
  <si>
    <t>NASSER AWNI ALANSARI</t>
  </si>
  <si>
    <t>971|50-7744899</t>
  </si>
  <si>
    <t>971|507744899</t>
  </si>
  <si>
    <t>1601-0</t>
  </si>
  <si>
    <t>JPF5V014</t>
  </si>
  <si>
    <t>OSAMA HADI FATHALLA</t>
  </si>
  <si>
    <t>971|55-1080411</t>
  </si>
  <si>
    <t>971|1080411</t>
  </si>
  <si>
    <t>Denmark</t>
  </si>
  <si>
    <t>1602-0</t>
  </si>
  <si>
    <t>JPF5V015</t>
  </si>
  <si>
    <t>ISSA HASSAN A ALANSARI</t>
  </si>
  <si>
    <t>1603-0</t>
  </si>
  <si>
    <t>JPF5V016</t>
  </si>
  <si>
    <t>SUSAN MARY JOB</t>
  </si>
  <si>
    <t>susan@moryarealestate.ae</t>
  </si>
  <si>
    <t>1604-0</t>
  </si>
  <si>
    <t>JPF5V017</t>
  </si>
  <si>
    <t>ANKITA JHA</t>
  </si>
  <si>
    <t>KAMLESH RAMESH MAHTANI</t>
  </si>
  <si>
    <t>971|0559993989</t>
  </si>
  <si>
    <t>971|55-9993989</t>
  </si>
  <si>
    <t>1605-0</t>
  </si>
  <si>
    <t>JPF4V015</t>
  </si>
  <si>
    <t>JAHANGIR AZIZ MALIK</t>
  </si>
  <si>
    <t>info@fazaaalsteel.com</t>
  </si>
  <si>
    <t>1606-0</t>
  </si>
  <si>
    <t>JPL3VL001</t>
  </si>
  <si>
    <t>AMIR HUSSAIN ALWAN</t>
  </si>
  <si>
    <t>971|506137695</t>
  </si>
  <si>
    <t>1607-0</t>
  </si>
  <si>
    <t>JPL3VL002</t>
  </si>
  <si>
    <t>THAZYASSERIL RAGHAVAN VIJAYAN</t>
  </si>
  <si>
    <t>3473688-04</t>
  </si>
  <si>
    <t>1608-0</t>
  </si>
  <si>
    <t>JPL3VL003</t>
  </si>
  <si>
    <t>PAUL MICHAEL WATKINS</t>
  </si>
  <si>
    <t>971|50-5589697</t>
  </si>
  <si>
    <t>971|0505589697</t>
  </si>
  <si>
    <t>SAMANTHA JOSEPHINE WATKINS</t>
  </si>
  <si>
    <t>1609-0</t>
  </si>
  <si>
    <t>JPL3VL004</t>
  </si>
  <si>
    <t>RUKHSANA SHALLWANI</t>
  </si>
  <si>
    <t>sikandershallwani@gmail.com</t>
  </si>
  <si>
    <t>971|50-6884110</t>
  </si>
  <si>
    <t>971|506884110</t>
  </si>
  <si>
    <t>1610-0</t>
  </si>
  <si>
    <t>JPL3VL005</t>
  </si>
  <si>
    <t>SUSAMMA JOHN</t>
  </si>
  <si>
    <t>1611-0</t>
  </si>
  <si>
    <t>JPL3VL006</t>
  </si>
  <si>
    <t>LARS TRYGVE LIND</t>
  </si>
  <si>
    <t>1612-0</t>
  </si>
  <si>
    <t>JPL3VL007</t>
  </si>
  <si>
    <t>AYMAN MOURICE ATTALLA TAWADROUSE</t>
  </si>
  <si>
    <t>HANAN ANWAR SHAKER SAMAAN</t>
  </si>
  <si>
    <t>1613-0</t>
  </si>
  <si>
    <t>JPL3VL008</t>
  </si>
  <si>
    <t>SARVESH PASSI</t>
  </si>
  <si>
    <t>3340362-04</t>
  </si>
  <si>
    <t>1614-0</t>
  </si>
  <si>
    <t>JPL3VL009</t>
  </si>
  <si>
    <t>ABDOLREZA MANSOURI POUR</t>
  </si>
  <si>
    <t>971|43200001</t>
  </si>
  <si>
    <t>mansouri@freshfruits.com</t>
  </si>
  <si>
    <t>971|50-6450406</t>
  </si>
  <si>
    <t>1615-0</t>
  </si>
  <si>
    <t>JPL3VL010</t>
  </si>
  <si>
    <t>AKHTAR HUSSAIN</t>
  </si>
  <si>
    <t>NASEEM AKHTAR</t>
  </si>
  <si>
    <t>1616-0</t>
  </si>
  <si>
    <t>JPL3VL011</t>
  </si>
  <si>
    <t>YEHUDA YOUSEF OHEBSION</t>
  </si>
  <si>
    <t>1617-0</t>
  </si>
  <si>
    <t>JPL3VL012</t>
  </si>
  <si>
    <t>JIHAD A A GHOURY</t>
  </si>
  <si>
    <t>971|54-4564564</t>
  </si>
  <si>
    <t>971|4564564564</t>
  </si>
  <si>
    <t>1618-0</t>
  </si>
  <si>
    <t>JPL3VL013</t>
  </si>
  <si>
    <t>JANENDARBIR SIBIA</t>
  </si>
  <si>
    <t>1619-0</t>
  </si>
  <si>
    <t>JPL3VL014</t>
  </si>
  <si>
    <t>DIALA EL BSAT</t>
  </si>
  <si>
    <t>1620-0</t>
  </si>
  <si>
    <t>JPL3VL015</t>
  </si>
  <si>
    <t>BUSHRA MEHDI</t>
  </si>
  <si>
    <t>Luxembourg</t>
  </si>
  <si>
    <t>1621-0</t>
  </si>
  <si>
    <t>JPL3VL016</t>
  </si>
  <si>
    <t>FATMABAI MOHAMED AKBERALI</t>
  </si>
  <si>
    <t>Kenya</t>
  </si>
  <si>
    <t>MOHAMED RAZA AKBERALI</t>
  </si>
  <si>
    <t>1622-0</t>
  </si>
  <si>
    <t>JPL3VL017</t>
  </si>
  <si>
    <t>CHAFIC AHMAD NAZIH ZOYA</t>
  </si>
  <si>
    <t>SOUZAN MUSTAPHA HABLI</t>
  </si>
  <si>
    <t>1623-0</t>
  </si>
  <si>
    <t>JPL3VL018</t>
  </si>
  <si>
    <t>YOUSSEF HAIDER</t>
  </si>
  <si>
    <t>1624-0</t>
  </si>
  <si>
    <t>JPL3VL019</t>
  </si>
  <si>
    <t>NASER ABDULHUSSEIN SAEED SHABAN</t>
  </si>
  <si>
    <t>nas_1960@yahoo.com</t>
  </si>
  <si>
    <t>971|50-4553730</t>
  </si>
  <si>
    <t>971|504553730</t>
  </si>
  <si>
    <t>1625-0</t>
  </si>
  <si>
    <t>JPL3VL020</t>
  </si>
  <si>
    <t>MARWAN FOUAD BARDAWIL</t>
  </si>
  <si>
    <t>050-1522334</t>
  </si>
  <si>
    <t>1626-0</t>
  </si>
  <si>
    <t>JPL3VL021</t>
  </si>
  <si>
    <t>HANAN GASEEM O ALGASABI</t>
  </si>
  <si>
    <t>971|50-7097939</t>
  </si>
  <si>
    <t>1627-0</t>
  </si>
  <si>
    <t>JPL3VL022</t>
  </si>
  <si>
    <t>SYED MUHAMMAD IQBAL HASSAN</t>
  </si>
  <si>
    <t>IQBAL_HASSAN@YAHOO.COM</t>
  </si>
  <si>
    <t>1628-0</t>
  </si>
  <si>
    <t>JPL3VL023</t>
  </si>
  <si>
    <t>ANIS ZAINULABEDIN AKBERALI</t>
  </si>
  <si>
    <t>1629-0</t>
  </si>
  <si>
    <t>JPL3VL024</t>
  </si>
  <si>
    <t>RAJASEKHARAN RAMAKRISHNA PILLAI</t>
  </si>
  <si>
    <t>971|6515124</t>
  </si>
  <si>
    <t>MEENA@SIMPLE-UAE.COM</t>
  </si>
  <si>
    <t>971|50-6515124</t>
  </si>
  <si>
    <t>1630-0</t>
  </si>
  <si>
    <t>JPL3VL025</t>
  </si>
  <si>
    <t>MAHESH RAMAKRISHNAN SUKUMARAN RAMAKRISHNAN</t>
  </si>
  <si>
    <t>1631-0</t>
  </si>
  <si>
    <t>JPL3VL026</t>
  </si>
  <si>
    <t>FAUZAN ISMAIL SEHBAN ISMAIL</t>
  </si>
  <si>
    <t>1632-0</t>
  </si>
  <si>
    <t>JPL3VL027</t>
  </si>
  <si>
    <t>ROSHNY DEENA RAMASWAMY</t>
  </si>
  <si>
    <t>1633-0</t>
  </si>
  <si>
    <t>JPL3VL028</t>
  </si>
  <si>
    <t>PURSHOTAM LALWANI</t>
  </si>
  <si>
    <t>971|506566781</t>
  </si>
  <si>
    <t>paraslawani@hotmail.com</t>
  </si>
  <si>
    <t>971|50-6566781</t>
  </si>
  <si>
    <t>971|6566781</t>
  </si>
  <si>
    <t>JANOO PURSHOTAM LALWANI</t>
  </si>
  <si>
    <t>1634-0</t>
  </si>
  <si>
    <t>JPL3VL029</t>
  </si>
  <si>
    <t>1635-0</t>
  </si>
  <si>
    <t>JPL3VL030</t>
  </si>
  <si>
    <t>OMAR ADNAN DEBS</t>
  </si>
  <si>
    <t>1636-0</t>
  </si>
  <si>
    <t>JPL3VL031</t>
  </si>
  <si>
    <t>JITEN NANDKISHOR VYAS</t>
  </si>
  <si>
    <t>JITESHV27@GMAIL.COM</t>
  </si>
  <si>
    <t>971|55-3273850</t>
  </si>
  <si>
    <t>1637-0</t>
  </si>
  <si>
    <t>JPL3VL032</t>
  </si>
  <si>
    <t>PRABHAKAR RAGHAVENDRA RENGANATHA</t>
  </si>
  <si>
    <t>prabhakar@geminigroup.co</t>
  </si>
  <si>
    <t>971|6226425</t>
  </si>
  <si>
    <t>1638-0</t>
  </si>
  <si>
    <t>JPL3VL033</t>
  </si>
  <si>
    <t>ABHA MOHTA</t>
  </si>
  <si>
    <t>bilal.mansoor@gmail.com</t>
  </si>
  <si>
    <t>971|50-50</t>
  </si>
  <si>
    <t>1639-0</t>
  </si>
  <si>
    <t>JPL3VL034</t>
  </si>
  <si>
    <t>1640-0</t>
  </si>
  <si>
    <t>JPL3VL035</t>
  </si>
  <si>
    <t>KHALED MOUSSA ISMAIL</t>
  </si>
  <si>
    <t>1641-0</t>
  </si>
  <si>
    <t>JPL3VL036</t>
  </si>
  <si>
    <t>MAHA MOHAMAD ABOSALEH</t>
  </si>
  <si>
    <t>mmabusaleh@hotmail.com</t>
  </si>
  <si>
    <t>M.SADEK M.BACHIR ALMADANI</t>
  </si>
  <si>
    <t>sadek@binzayed.ae</t>
  </si>
  <si>
    <t>1642-0</t>
  </si>
  <si>
    <t>JPL3VL037</t>
  </si>
  <si>
    <t>ALIREZA LOTFALI MANAFZADEH</t>
  </si>
  <si>
    <t>NAZILA FARVODDIN DARGAHI</t>
  </si>
  <si>
    <t>1643-0</t>
  </si>
  <si>
    <t>JPL3VL038</t>
  </si>
  <si>
    <t>CRISTINA ESTHER CHICO ARIAS</t>
  </si>
  <si>
    <t>JUAN ENRIQUE SANCHEZ CHOVER</t>
  </si>
  <si>
    <t>1644-0</t>
  </si>
  <si>
    <t>JPL3VL039</t>
  </si>
  <si>
    <t>HASSAN BELCADI</t>
  </si>
  <si>
    <t>DOUNIA ZIAT</t>
  </si>
  <si>
    <t>1645-0</t>
  </si>
  <si>
    <t>JPL3VL040</t>
  </si>
  <si>
    <t>MOHAMMAD SLEIMAN EL ASSAAD</t>
  </si>
  <si>
    <t>1646-0</t>
  </si>
  <si>
    <t>JPL3VL041</t>
  </si>
  <si>
    <t>1647-0</t>
  </si>
  <si>
    <t>JPL3VL042</t>
  </si>
  <si>
    <t>LATIF MOHAMMED HUSSAIN</t>
  </si>
  <si>
    <t>1648-0</t>
  </si>
  <si>
    <t>JPL3VL043</t>
  </si>
  <si>
    <t>INTERNATIONAL PRIVATE GROUP LLC</t>
  </si>
  <si>
    <t>1649-0</t>
  </si>
  <si>
    <t>JPL3VL044</t>
  </si>
  <si>
    <t>1650-0</t>
  </si>
  <si>
    <t>JPL3VL045</t>
  </si>
  <si>
    <t>1651-0</t>
  </si>
  <si>
    <t>JPL3VL046</t>
  </si>
  <si>
    <t>1652-0</t>
  </si>
  <si>
    <t>JPL3VL047</t>
  </si>
  <si>
    <t>PAN DAOSHENG</t>
  </si>
  <si>
    <t>batatas@emirates.com</t>
  </si>
  <si>
    <t>971|50-8516888</t>
  </si>
  <si>
    <t>971|4545645645</t>
  </si>
  <si>
    <t>1653-0</t>
  </si>
  <si>
    <t>JPL3VL048</t>
  </si>
  <si>
    <t>MUHAMMAD SAALIK SULTAN</t>
  </si>
  <si>
    <t>1654-0</t>
  </si>
  <si>
    <t>JPL3VL049</t>
  </si>
  <si>
    <t>VIRNA IBRAHIMCHAH</t>
  </si>
  <si>
    <t>1655-0</t>
  </si>
  <si>
    <t>JPL3VL050</t>
  </si>
  <si>
    <t>OSAMA YASSIN SHIHABI</t>
  </si>
  <si>
    <t>1656-0</t>
  </si>
  <si>
    <t>JPL3VL051</t>
  </si>
  <si>
    <t>HARI KRISHNAN JANAKI RAMAN</t>
  </si>
  <si>
    <t>971|51-000000</t>
  </si>
  <si>
    <t>SHARADA SUBRAMANIAN SUBRAMANIAN RAMASWAMY</t>
  </si>
  <si>
    <t>971|0507164825</t>
  </si>
  <si>
    <t>sharada.harikrishnan@gmail.com</t>
  </si>
  <si>
    <t>971|50-2402559</t>
  </si>
  <si>
    <t>1657-0</t>
  </si>
  <si>
    <t>JPL3VL052</t>
  </si>
  <si>
    <t>RAMY GHANDOUR</t>
  </si>
  <si>
    <t>971|50-6546394</t>
  </si>
  <si>
    <t>971|506546394</t>
  </si>
  <si>
    <t>1658-0</t>
  </si>
  <si>
    <t>JPL3VL053</t>
  </si>
  <si>
    <t>A ABAALKHAILZIAD TAREK</t>
  </si>
  <si>
    <t>1659-0</t>
  </si>
  <si>
    <t>JPL3VL054</t>
  </si>
  <si>
    <t>1660-0</t>
  </si>
  <si>
    <t>JPL3VL055</t>
  </si>
  <si>
    <t>YOUSUFF HAMEED SAIT</t>
  </si>
  <si>
    <t>SHAMEEM YOUSUFF HAMEED SAIT</t>
  </si>
  <si>
    <t>1661-0</t>
  </si>
  <si>
    <t>JPL3VL056</t>
  </si>
  <si>
    <t>MOHAMMED ALI ABDELHADI TAYEM</t>
  </si>
  <si>
    <t>1662-0</t>
  </si>
  <si>
    <t>JPL3VL057</t>
  </si>
  <si>
    <t>DILIP MAGANLAL KARANI</t>
  </si>
  <si>
    <t>1663-0</t>
  </si>
  <si>
    <t>JPL3VL058</t>
  </si>
  <si>
    <t>HEENA AJAY KARANI</t>
  </si>
  <si>
    <t>1664-0</t>
  </si>
  <si>
    <t>JPL3VL059</t>
  </si>
  <si>
    <t>WALED MOHSEN ABDELWAHAB SELIM</t>
  </si>
  <si>
    <t>DORRA FAKHER FAKHFAKH</t>
  </si>
  <si>
    <t>1665-0</t>
  </si>
  <si>
    <t>JPL3VL060</t>
  </si>
  <si>
    <t>IFRAH AHMED MOHAMED</t>
  </si>
  <si>
    <t>3674661-04</t>
  </si>
  <si>
    <t>Djibouti</t>
  </si>
  <si>
    <t>MOHAMED IBRAHIM YASSIN</t>
  </si>
  <si>
    <t>m.yassin@daallo.xpress.com</t>
  </si>
  <si>
    <t>1666-0</t>
  </si>
  <si>
    <t>JPL3VL061</t>
  </si>
  <si>
    <t>FRANCISCO JAVIER MUNOA SAINZ</t>
  </si>
  <si>
    <t>1667-0</t>
  </si>
  <si>
    <t>JPL3VL062</t>
  </si>
  <si>
    <t>MOHAMMED HILILI</t>
  </si>
  <si>
    <t>1668-0</t>
  </si>
  <si>
    <t>JPL3VL063</t>
  </si>
  <si>
    <t>MARYAM ALI ABU ALHASSAN ALANSARI</t>
  </si>
  <si>
    <t>1669-0</t>
  </si>
  <si>
    <t>JPL3VL064</t>
  </si>
  <si>
    <t>FAZEELA SOHAIL GOPALANI</t>
  </si>
  <si>
    <t>971|50-0508419</t>
  </si>
  <si>
    <t>1670-0</t>
  </si>
  <si>
    <t>JPL3VL065</t>
  </si>
  <si>
    <t>ALI IMTIAZ SHAH</t>
  </si>
  <si>
    <t>1671-0</t>
  </si>
  <si>
    <t>JPL3VL066</t>
  </si>
  <si>
    <t>HABIBULRAHMAN AQA JAN</t>
  </si>
  <si>
    <t>971|55-8070234</t>
  </si>
  <si>
    <t>971|0558070234</t>
  </si>
  <si>
    <t>1672-0</t>
  </si>
  <si>
    <t>JPL3VL067</t>
  </si>
  <si>
    <t>KAPIL GOBIND AIDASANI</t>
  </si>
  <si>
    <t>SARIKA KAPIL AIDASANI</t>
  </si>
  <si>
    <t>1673-0</t>
  </si>
  <si>
    <t>JPL3VL068</t>
  </si>
  <si>
    <t>STEVEN NABIL AL ASSAD</t>
  </si>
  <si>
    <t>1674-0</t>
  </si>
  <si>
    <t>JPL3VL069</t>
  </si>
  <si>
    <t>KATRINA ABOULNAGA</t>
  </si>
  <si>
    <t>971|55-9857506</t>
  </si>
  <si>
    <t>1675-0</t>
  </si>
  <si>
    <t>JPL3VL070</t>
  </si>
  <si>
    <t>ABDULRAHMAN SAIF AHMAD ALGHURAIR</t>
  </si>
  <si>
    <t>omar.alshishani@aginvest.ae</t>
  </si>
  <si>
    <t>971|50-8145811</t>
  </si>
  <si>
    <t>1676-0</t>
  </si>
  <si>
    <t>JPG3VL072</t>
  </si>
  <si>
    <t>GOPAL MOHAN BHOJWANI</t>
  </si>
  <si>
    <t>gopalbhojwani@hotmail.com</t>
  </si>
  <si>
    <t>971|50-5850780</t>
  </si>
  <si>
    <t>971|505850780</t>
  </si>
  <si>
    <t>JPT4V072</t>
  </si>
  <si>
    <t>1677-0</t>
  </si>
  <si>
    <t>JPG3VL042</t>
  </si>
  <si>
    <t>JPT4V042</t>
  </si>
  <si>
    <t>JILA SEYEDZEINALABEDIN BELADI</t>
  </si>
  <si>
    <t>1678-0</t>
  </si>
  <si>
    <t>JPG3VL043</t>
  </si>
  <si>
    <t>SAMAR MAHMOUD SAMIR ELSAYED ELMNHRAWY</t>
  </si>
  <si>
    <t>04/8082786</t>
  </si>
  <si>
    <t>JPT4V043</t>
  </si>
  <si>
    <t>1679-0</t>
  </si>
  <si>
    <t>JPT4V044</t>
  </si>
  <si>
    <t>Amjad Imran Khan</t>
  </si>
  <si>
    <t>amjadimrankhan@hotmail.com</t>
  </si>
  <si>
    <t>JPG3VL044</t>
  </si>
  <si>
    <t>1680-0</t>
  </si>
  <si>
    <t>JPT4V045</t>
  </si>
  <si>
    <t>DHAFIR MOHAMED HASSAN ALOBAIDI</t>
  </si>
  <si>
    <t>971|509248777</t>
  </si>
  <si>
    <t>971|50-9248777</t>
  </si>
  <si>
    <t>JPG3VL045</t>
  </si>
  <si>
    <t>1681-0</t>
  </si>
  <si>
    <t>JPT4V046</t>
  </si>
  <si>
    <t>MEENA ROSE MOHAMMED ZAKI AL OBAIDI</t>
  </si>
  <si>
    <t>971|50-7888391</t>
  </si>
  <si>
    <t>971|507888391</t>
  </si>
  <si>
    <t>JPG3VL046</t>
  </si>
  <si>
    <t>1682-0</t>
  </si>
  <si>
    <t>JPG3VL047</t>
  </si>
  <si>
    <t>JPT4V047</t>
  </si>
  <si>
    <t>JAWAD ALSADI</t>
  </si>
  <si>
    <t>971|55-1079519</t>
  </si>
  <si>
    <t>971|551079519</t>
  </si>
  <si>
    <t>1683-0</t>
  </si>
  <si>
    <t>JPG3VL048</t>
  </si>
  <si>
    <t>RISHI RAJ VIG</t>
  </si>
  <si>
    <t>971|50-6584510</t>
  </si>
  <si>
    <t>971|0506584510</t>
  </si>
  <si>
    <t>JPT4V048</t>
  </si>
  <si>
    <t>1684-0</t>
  </si>
  <si>
    <t>JPT4V049</t>
  </si>
  <si>
    <t>JPG3VL049</t>
  </si>
  <si>
    <t>1685-0</t>
  </si>
  <si>
    <t>JPG3VL050</t>
  </si>
  <si>
    <t>GEORGE ADEL ANTOUN GIRGIS</t>
  </si>
  <si>
    <t>george.girgis@ae7dev.com</t>
  </si>
  <si>
    <t>971|50-6401089</t>
  </si>
  <si>
    <t>JPT4V050</t>
  </si>
  <si>
    <t>1686-0</t>
  </si>
  <si>
    <t>JPG3VL051</t>
  </si>
  <si>
    <t>ABDULLA NASSER AHMED ABDULLA HUWAILEEL ALMANSOORI</t>
  </si>
  <si>
    <t>971|50-6719979</t>
  </si>
  <si>
    <t>971|506719979</t>
  </si>
  <si>
    <t>JPT4V051</t>
  </si>
  <si>
    <t>ISAM ADEL MANSOUR</t>
  </si>
  <si>
    <t>1687-0</t>
  </si>
  <si>
    <t>JPT4V052</t>
  </si>
  <si>
    <t>PAUL GODWIN NANDWIN NADWANT</t>
  </si>
  <si>
    <t>1688-0</t>
  </si>
  <si>
    <t>JPT4V053</t>
  </si>
  <si>
    <t>JPG3VL053</t>
  </si>
  <si>
    <t>TATIANA MANLA</t>
  </si>
  <si>
    <t>tina_mm84@hotmail.com</t>
  </si>
  <si>
    <t>971|50-6590869</t>
  </si>
  <si>
    <t>Malta</t>
  </si>
  <si>
    <t>1689-0</t>
  </si>
  <si>
    <t>JPT4V054</t>
  </si>
  <si>
    <t>ALAA MUDHER IBRAHIM ALJUBOORI</t>
  </si>
  <si>
    <t>alooaljobory2004@yahoo.com</t>
  </si>
  <si>
    <t>971|56-7309926</t>
  </si>
  <si>
    <t>JPG3VL054</t>
  </si>
  <si>
    <t>LAYLA OMAR DHARI AL HARDAN</t>
  </si>
  <si>
    <t>1690-0</t>
  </si>
  <si>
    <t>JPT4V055</t>
  </si>
  <si>
    <t>JPG3VL055</t>
  </si>
  <si>
    <t>MUNIRA MOHAMEDI KATAWALLA</t>
  </si>
  <si>
    <t>1691-0</t>
  </si>
  <si>
    <t>JPT4V056</t>
  </si>
  <si>
    <t>JPG3VL056</t>
  </si>
  <si>
    <t>1692-0</t>
  </si>
  <si>
    <t>JPG3VL057</t>
  </si>
  <si>
    <t>BARINATH CERUSERI SRINIVASAN</t>
  </si>
  <si>
    <t>JPT4V057</t>
  </si>
  <si>
    <t>1693-0</t>
  </si>
  <si>
    <t>JPG3VL058</t>
  </si>
  <si>
    <t>MOHAMMED SALIH FARAJ ALQARAGLI</t>
  </si>
  <si>
    <t>abdulrahman.albudoor@nakheel.com</t>
  </si>
  <si>
    <t>971|50-4555185</t>
  </si>
  <si>
    <t>971|4555185</t>
  </si>
  <si>
    <t>JPT4V058</t>
  </si>
  <si>
    <t>1694-0</t>
  </si>
  <si>
    <t>JPT4V059</t>
  </si>
  <si>
    <t>CYNTHIA SADIKIAN</t>
  </si>
  <si>
    <t>JPG3VL059</t>
  </si>
  <si>
    <t>1695-0</t>
  </si>
  <si>
    <t>JPT4V060</t>
  </si>
  <si>
    <t>SHIPRA RAMJI MISHRA MISHRA</t>
  </si>
  <si>
    <t>JPG3VL060</t>
  </si>
  <si>
    <t>1696-0</t>
  </si>
  <si>
    <t>JPG3VL061</t>
  </si>
  <si>
    <t>JPT4V061</t>
  </si>
  <si>
    <t>1697-0</t>
  </si>
  <si>
    <t>JPT4V062</t>
  </si>
  <si>
    <t>HAIDAR ADIL SALEEM ALKASSEB</t>
  </si>
  <si>
    <t>971|50-3617740</t>
  </si>
  <si>
    <t>971|556088145</t>
  </si>
  <si>
    <t>JPG3VL062</t>
  </si>
  <si>
    <t>1698-0</t>
  </si>
  <si>
    <t>JPG3VL063</t>
  </si>
  <si>
    <t>MOHAMMAD ALI ABOUTAAM</t>
  </si>
  <si>
    <t>JPT4V063</t>
  </si>
  <si>
    <t>JYOTI VIJAY PANCHMATIA</t>
  </si>
  <si>
    <t>1699-0</t>
  </si>
  <si>
    <t>JPG3VL064</t>
  </si>
  <si>
    <t>JPT4V064</t>
  </si>
  <si>
    <t>1700-0</t>
  </si>
  <si>
    <t>JPT4V065</t>
  </si>
  <si>
    <t>ALI ALGEBORI</t>
  </si>
  <si>
    <t>FUTURESF@EMIRATES.NET.AE</t>
  </si>
  <si>
    <t>971|50-2206612</t>
  </si>
  <si>
    <t>971|1</t>
  </si>
  <si>
    <t>JPG3VL065</t>
  </si>
  <si>
    <t>1701-0</t>
  </si>
  <si>
    <t>JPT4V066</t>
  </si>
  <si>
    <t>AYMAN RAFIK AHMED ELSAWY</t>
  </si>
  <si>
    <t>aymanelsawy@bindalmouk.ae</t>
  </si>
  <si>
    <t>JPG3VL066</t>
  </si>
  <si>
    <t>MINAXI RASIKLAL DAVDA</t>
  </si>
  <si>
    <t>1702-0</t>
  </si>
  <si>
    <t>JPT4V067</t>
  </si>
  <si>
    <t>FAYYAZ ALAM ABUASSAD SULTAN ALAM</t>
  </si>
  <si>
    <t>1@GMAIL.COM</t>
  </si>
  <si>
    <t>971|50-3025615</t>
  </si>
  <si>
    <t>JPG3VL067</t>
  </si>
  <si>
    <t>QAMAR JAHAN FAYYAZ ALAM</t>
  </si>
  <si>
    <t>971|50-1440145</t>
  </si>
  <si>
    <t>1703-0</t>
  </si>
  <si>
    <t>JPG3VL068</t>
  </si>
  <si>
    <t>JPT4V068</t>
  </si>
  <si>
    <t>NAJLA ABDULAZIZ M ALSUHAIMI</t>
  </si>
  <si>
    <t>1704-0</t>
  </si>
  <si>
    <t>JPT4V069</t>
  </si>
  <si>
    <t>NOMAN MAHMOOD SULTAN MAHMOOD</t>
  </si>
  <si>
    <t>nm@elysian.com</t>
  </si>
  <si>
    <t>971|8636402</t>
  </si>
  <si>
    <t>JPG3VL069</t>
  </si>
  <si>
    <t>1705-0</t>
  </si>
  <si>
    <t>JPG3VL070</t>
  </si>
  <si>
    <t>NAN CHEN</t>
  </si>
  <si>
    <t>971|52-0521659</t>
  </si>
  <si>
    <t>JPT4V070</t>
  </si>
  <si>
    <t>1706-0</t>
  </si>
  <si>
    <t>JPG3VL071</t>
  </si>
  <si>
    <t>NOOR BANK</t>
  </si>
  <si>
    <t>ESFD@HOTMAIL.COM</t>
  </si>
  <si>
    <t>JPT4V071</t>
  </si>
  <si>
    <t>1707-0</t>
  </si>
  <si>
    <t>JPF5V018</t>
  </si>
  <si>
    <t>BHARATI RANJAN TIRLOKI NATH RANJAN</t>
  </si>
  <si>
    <t>1708-0</t>
  </si>
  <si>
    <t>JPF5V047</t>
  </si>
  <si>
    <t>1709-0</t>
  </si>
  <si>
    <t>JPF5V048</t>
  </si>
  <si>
    <t>1710-0</t>
  </si>
  <si>
    <t>JPF5V049</t>
  </si>
  <si>
    <t>PRANAV SEVANTI VORA</t>
  </si>
  <si>
    <t>KALPNA PRANAV VORA</t>
  </si>
  <si>
    <t>1711-0</t>
  </si>
  <si>
    <t>JPF5V050</t>
  </si>
  <si>
    <t>1712-0</t>
  </si>
  <si>
    <t>JPF5V051</t>
  </si>
  <si>
    <t>PREMA VISWANATHAN RAMACHANDRAN (DXB/V3819)</t>
  </si>
  <si>
    <t>1713-0</t>
  </si>
  <si>
    <t>JPF5V052</t>
  </si>
  <si>
    <t>ABDULLA A JASSIM JASSIM</t>
  </si>
  <si>
    <t>971|55-2600021</t>
  </si>
  <si>
    <t>1714-0</t>
  </si>
  <si>
    <t>JPF5V053</t>
  </si>
  <si>
    <t>EMAD AZIZ MATRY SAAD</t>
  </si>
  <si>
    <t>971|50-6442015</t>
  </si>
  <si>
    <t>NEVEEN FOUAD MIKHAIL SAAD</t>
  </si>
  <si>
    <t>1715-0</t>
  </si>
  <si>
    <t>JPF5V054</t>
  </si>
  <si>
    <t>ALI GHANAWI</t>
  </si>
  <si>
    <t>971|50-4536499</t>
  </si>
  <si>
    <t>1716-0</t>
  </si>
  <si>
    <t>JPG3VL001</t>
  </si>
  <si>
    <t>JPT4V001</t>
  </si>
  <si>
    <t>1717-0</t>
  </si>
  <si>
    <t>JPG3VL002</t>
  </si>
  <si>
    <t>ABDUL QUADIR ALIAS KAVOO PUTHIYAVEETIL</t>
  </si>
  <si>
    <t>JPT4V002</t>
  </si>
  <si>
    <t>1718-0</t>
  </si>
  <si>
    <t>JPG3VL003</t>
  </si>
  <si>
    <t>ASHA NAVIN CHANDRA SHAH</t>
  </si>
  <si>
    <t>971|50-5523260</t>
  </si>
  <si>
    <t>971|505523260</t>
  </si>
  <si>
    <t>JPT4V003</t>
  </si>
  <si>
    <t>1719-0</t>
  </si>
  <si>
    <t>JPT4V004</t>
  </si>
  <si>
    <t>ALLA KHRAPOVITSKAYA</t>
  </si>
  <si>
    <t>971|3551081</t>
  </si>
  <si>
    <t>971|54-3551081</t>
  </si>
  <si>
    <t>971|503551081</t>
  </si>
  <si>
    <t>JPG3VL004</t>
  </si>
  <si>
    <t>1720-0</t>
  </si>
  <si>
    <t>JPT4V005</t>
  </si>
  <si>
    <t>ELISABETH JACOBA CORNELIA MARIA KLEIN</t>
  </si>
  <si>
    <t>JPG3VL005</t>
  </si>
  <si>
    <t>1721-0</t>
  </si>
  <si>
    <t>JPG3VL006</t>
  </si>
  <si>
    <t>ZAFAR ALAM</t>
  </si>
  <si>
    <t>alamzafar@hotmail.com</t>
  </si>
  <si>
    <t>65|55-6078315</t>
  </si>
  <si>
    <t>971|556078315</t>
  </si>
  <si>
    <t>JPT4V006</t>
  </si>
  <si>
    <t>1722-0</t>
  </si>
  <si>
    <t>JPT4V007</t>
  </si>
  <si>
    <t>JPG3VL007</t>
  </si>
  <si>
    <t>1723-0</t>
  </si>
  <si>
    <t>JPS4VL008</t>
  </si>
  <si>
    <t>AHMAD SANKARI</t>
  </si>
  <si>
    <t>971|6189690</t>
  </si>
  <si>
    <t>aliamin@parisgroup.ae</t>
  </si>
  <si>
    <t>971|52-5000000</t>
  </si>
  <si>
    <t>Dominica</t>
  </si>
  <si>
    <t>JPF3VL008</t>
  </si>
  <si>
    <t>1724-0</t>
  </si>
  <si>
    <t>JPG3VL009</t>
  </si>
  <si>
    <t>JPT4V009</t>
  </si>
  <si>
    <t>NAQIBULLAH HAKIMZAI</t>
  </si>
  <si>
    <t>971|50-2245354</t>
  </si>
  <si>
    <t>971|502245354</t>
  </si>
  <si>
    <t>1725-0</t>
  </si>
  <si>
    <t>JPT4V010</t>
  </si>
  <si>
    <t>YOGESH DEWAN</t>
  </si>
  <si>
    <t>JPG3VL010</t>
  </si>
  <si>
    <t>1726-0</t>
  </si>
  <si>
    <t>JPG3VL011</t>
  </si>
  <si>
    <t>RIMA MALAKANI</t>
  </si>
  <si>
    <t>rmalakani@gmail.com</t>
  </si>
  <si>
    <t>971|50-2580480</t>
  </si>
  <si>
    <t>971|2580480</t>
  </si>
  <si>
    <t>JPT4V011</t>
  </si>
  <si>
    <t>RAGHID ADHAMI</t>
  </si>
  <si>
    <t>ragheed.adhami@gmail.com</t>
  </si>
  <si>
    <t>971|56-4805784</t>
  </si>
  <si>
    <t>971|4805784</t>
  </si>
  <si>
    <t>1727-0</t>
  </si>
  <si>
    <t>JPG3VL012</t>
  </si>
  <si>
    <t>IBTISAM SUBHI MUHI AL KHDHAIRI</t>
  </si>
  <si>
    <t>971|50-4695445</t>
  </si>
  <si>
    <t>971|504695445</t>
  </si>
  <si>
    <t>JPT4V012</t>
  </si>
  <si>
    <t>1728-0</t>
  </si>
  <si>
    <t>JPG3VL013</t>
  </si>
  <si>
    <t>JPT4V013</t>
  </si>
  <si>
    <t>1729-0</t>
  </si>
  <si>
    <t>JPG3VL014</t>
  </si>
  <si>
    <t>JPT4V014</t>
  </si>
  <si>
    <t>DOLORES BACQUE</t>
  </si>
  <si>
    <t>Argentina</t>
  </si>
  <si>
    <t>1730-0</t>
  </si>
  <si>
    <t>JPG3VL015</t>
  </si>
  <si>
    <t>YOUNUS EBRAHIM TINWALA</t>
  </si>
  <si>
    <t>TINWALA@EIM.AE</t>
  </si>
  <si>
    <t>971|55-0554522</t>
  </si>
  <si>
    <t>971|0554522</t>
  </si>
  <si>
    <t>JPT4V015</t>
  </si>
  <si>
    <t>1731-0</t>
  </si>
  <si>
    <t>JPT4V016</t>
  </si>
  <si>
    <t>JPG3VL016</t>
  </si>
  <si>
    <t>1732-0</t>
  </si>
  <si>
    <t>JPT4V017</t>
  </si>
  <si>
    <t>MOOSA HASSAN A ALANSSARI</t>
  </si>
  <si>
    <t>JPG3VL017</t>
  </si>
  <si>
    <t>1733-0</t>
  </si>
  <si>
    <t>JPT4V018</t>
  </si>
  <si>
    <t>JPG3VL018</t>
  </si>
  <si>
    <t>RIZWAN MUSTAFA KASSAM ALI NASSER</t>
  </si>
  <si>
    <t>rajju@dubaiwaterfront.com</t>
  </si>
  <si>
    <t>971|50-6456636</t>
  </si>
  <si>
    <t>971|7970313</t>
  </si>
  <si>
    <t>1734-0</t>
  </si>
  <si>
    <t>JPG3VL019</t>
  </si>
  <si>
    <t>GHAYED ALI ABDOLRAHMAN ESFANDNIA</t>
  </si>
  <si>
    <t>2266162-04</t>
  </si>
  <si>
    <t>JPT4V019</t>
  </si>
  <si>
    <t>1735-0</t>
  </si>
  <si>
    <t>JPG3VL020</t>
  </si>
  <si>
    <t>RAJEEV MALHOTRA</t>
  </si>
  <si>
    <t>rajeev.m28@gmail.com</t>
  </si>
  <si>
    <t>971|55-9919944</t>
  </si>
  <si>
    <t>971|0559919944</t>
  </si>
  <si>
    <t>JPT4V020</t>
  </si>
  <si>
    <t>ISMAIL HAN</t>
  </si>
  <si>
    <t>971|6581178</t>
  </si>
  <si>
    <t>ismail@hotmail.com</t>
  </si>
  <si>
    <t>971|50-6581178</t>
  </si>
  <si>
    <t>1736-0</t>
  </si>
  <si>
    <t>JPG3VL021</t>
  </si>
  <si>
    <t>JPT4V021</t>
  </si>
  <si>
    <t>CHELA RAM</t>
  </si>
  <si>
    <t>1737-0</t>
  </si>
  <si>
    <t>JPG3VL022</t>
  </si>
  <si>
    <t>JPT4V022</t>
  </si>
  <si>
    <t>1738-0</t>
  </si>
  <si>
    <t>JPG3VL023</t>
  </si>
  <si>
    <t>JPT4V023</t>
  </si>
  <si>
    <t>1739-0</t>
  </si>
  <si>
    <t>JPT4V024</t>
  </si>
  <si>
    <t>JPG3VL024</t>
  </si>
  <si>
    <t>1740-0</t>
  </si>
  <si>
    <t>JPT4V025</t>
  </si>
  <si>
    <t>FAYEZ YESLEM SALEH AHMED ALSADI</t>
  </si>
  <si>
    <t>971|0529964444</t>
  </si>
  <si>
    <t>971|50-5256777</t>
  </si>
  <si>
    <t>971|052996444</t>
  </si>
  <si>
    <t>JPG3VL025</t>
  </si>
  <si>
    <t>1741-0</t>
  </si>
  <si>
    <t>JPG3VL026</t>
  </si>
  <si>
    <t>HARESH KUMAR</t>
  </si>
  <si>
    <t>JPT4V026</t>
  </si>
  <si>
    <t>1742-0</t>
  </si>
  <si>
    <t>JPT4V027</t>
  </si>
  <si>
    <t>TEKA MAL</t>
  </si>
  <si>
    <t>JPG3VL027</t>
  </si>
  <si>
    <t>1743-0</t>
  </si>
  <si>
    <t>JPT4V028</t>
  </si>
  <si>
    <t>JPG3VL028</t>
  </si>
  <si>
    <t>AAKASH KUMAR</t>
  </si>
  <si>
    <t>1744-0</t>
  </si>
  <si>
    <t>JPG3VL029</t>
  </si>
  <si>
    <t>SALEEM MOHAMED</t>
  </si>
  <si>
    <t>saleem@albilalfoodstuffs.com</t>
  </si>
  <si>
    <t>971|50-8866688</t>
  </si>
  <si>
    <t>971|508866688</t>
  </si>
  <si>
    <t>JPT4V029</t>
  </si>
  <si>
    <t>MIRAN KUMARI</t>
  </si>
  <si>
    <t>1745-0</t>
  </si>
  <si>
    <t>JPG3VL030</t>
  </si>
  <si>
    <t>JPT4V030</t>
  </si>
  <si>
    <t>MANOJ KUMAR</t>
  </si>
  <si>
    <t>1746-0</t>
  </si>
  <si>
    <t>JPT4V031</t>
  </si>
  <si>
    <t>JPG3VL031</t>
  </si>
  <si>
    <t>1747-0</t>
  </si>
  <si>
    <t>JPT4V032</t>
  </si>
  <si>
    <t>SUBRATO SAHA</t>
  </si>
  <si>
    <t>971|566482261</t>
  </si>
  <si>
    <t>971|56-6482261</t>
  </si>
  <si>
    <t>971|5589540</t>
  </si>
  <si>
    <t>JPG3VL032</t>
  </si>
  <si>
    <t>1748-0</t>
  </si>
  <si>
    <t>JPT4V033</t>
  </si>
  <si>
    <t>NARENDRAKUMAR SAUBHAGYACHAND SHAH</t>
  </si>
  <si>
    <t>971|50-0091989</t>
  </si>
  <si>
    <t>971|0091989807</t>
  </si>
  <si>
    <t>JPG3VL033</t>
  </si>
  <si>
    <t>1749-0</t>
  </si>
  <si>
    <t>JPT4V034</t>
  </si>
  <si>
    <t>ANAND KUMAR VARADHARAJULU</t>
  </si>
  <si>
    <t>tan@gmail.com</t>
  </si>
  <si>
    <t>971|50-7495068</t>
  </si>
  <si>
    <t>971|6245813</t>
  </si>
  <si>
    <t>JPG3VL034</t>
  </si>
  <si>
    <t>1750-0</t>
  </si>
  <si>
    <t>JPT4V035</t>
  </si>
  <si>
    <t>JPG3VL035</t>
  </si>
  <si>
    <t>1751-0</t>
  </si>
  <si>
    <t>JPG3VL036</t>
  </si>
  <si>
    <t>JPT4V036</t>
  </si>
  <si>
    <t>VAQAS ANWAR</t>
  </si>
  <si>
    <t>1752-0</t>
  </si>
  <si>
    <t>JPT4V037</t>
  </si>
  <si>
    <t>JPG3VL037</t>
  </si>
  <si>
    <t>1753-0</t>
  </si>
  <si>
    <t>JPG3VL038</t>
  </si>
  <si>
    <t>AJAY ALONI</t>
  </si>
  <si>
    <t>971|50-5599824</t>
  </si>
  <si>
    <t>971|559982450</t>
  </si>
  <si>
    <t>JPT4V038</t>
  </si>
  <si>
    <t>1754-0</t>
  </si>
  <si>
    <t>JPG3VL041</t>
  </si>
  <si>
    <t>JPT4V041</t>
  </si>
  <si>
    <t>1755-0</t>
  </si>
  <si>
    <t>JPG3VL039</t>
  </si>
  <si>
    <t>JPT4V039</t>
  </si>
  <si>
    <t>1756-0</t>
  </si>
  <si>
    <t>JPG3VS019</t>
  </si>
  <si>
    <t>NISHI GOEL</t>
  </si>
  <si>
    <t>971|55-6030909</t>
  </si>
  <si>
    <t>971|556030909</t>
  </si>
  <si>
    <t>1757-0</t>
  </si>
  <si>
    <t>JPG3VS020</t>
  </si>
  <si>
    <t>SAMIR NASSER</t>
  </si>
  <si>
    <t>h.h@gmaiil.com</t>
  </si>
  <si>
    <t>971|50-3962745</t>
  </si>
  <si>
    <t>971|3962745</t>
  </si>
  <si>
    <t>1758-0</t>
  </si>
  <si>
    <t>JPG3VS021</t>
  </si>
  <si>
    <t>MUNIR NASSER</t>
  </si>
  <si>
    <t>1759-0</t>
  </si>
  <si>
    <t>JPG3VS022</t>
  </si>
  <si>
    <t>1760-0</t>
  </si>
  <si>
    <t>JPG3VS023</t>
  </si>
  <si>
    <t>SETHU MADHAVVAN MENON</t>
  </si>
  <si>
    <t>vishnums@eim.ae</t>
  </si>
  <si>
    <t>1761-0</t>
  </si>
  <si>
    <t>JPG3VS024</t>
  </si>
  <si>
    <t>ABDULRAZZAGH MOHAMMAD ZAMIN PAIMA</t>
  </si>
  <si>
    <t>971|50-6542751</t>
  </si>
  <si>
    <t>971|506542751</t>
  </si>
  <si>
    <t>RASHMI MORE CHANDRAN MORE</t>
  </si>
  <si>
    <t>1762-0</t>
  </si>
  <si>
    <t>JPG3VS025</t>
  </si>
  <si>
    <t>SHELIZA MANSURALI TEJANI</t>
  </si>
  <si>
    <t>SAJIDA MANSURALI MANJI TEJANI</t>
  </si>
  <si>
    <t>1763-0</t>
  </si>
  <si>
    <t>JPG3VS026</t>
  </si>
  <si>
    <t>ESSA SHEIKH FASIHUDDIN SHEIKH</t>
  </si>
  <si>
    <t>1764-0</t>
  </si>
  <si>
    <t>JPG3VS027</t>
  </si>
  <si>
    <t>HANSA ABRAHAM</t>
  </si>
  <si>
    <t>8029800-04</t>
  </si>
  <si>
    <t>1765-0</t>
  </si>
  <si>
    <t>JPG3VS028</t>
  </si>
  <si>
    <t>1766-0</t>
  </si>
  <si>
    <t>JPG3VS029</t>
  </si>
  <si>
    <t>GEORGE MIRTSKHULAVA</t>
  </si>
  <si>
    <t>Georgia</t>
  </si>
  <si>
    <t>1767-0</t>
  </si>
  <si>
    <t>JPG3VS030</t>
  </si>
  <si>
    <t>KARIM ABDENNADHER</t>
  </si>
  <si>
    <t>971|508129860</t>
  </si>
  <si>
    <t>1768-0</t>
  </si>
  <si>
    <t>JPG3VS031</t>
  </si>
  <si>
    <t>MANAL AHMED KAMAL ABDEL HAFIZ ROSTOM</t>
  </si>
  <si>
    <t>AHMED KAMAL ABDELHAFIEZ ROSTOM SAID</t>
  </si>
  <si>
    <t>1769-0</t>
  </si>
  <si>
    <t>JPG3VS032</t>
  </si>
  <si>
    <t>SHIRAZ ADARBAD JAMAJI</t>
  </si>
  <si>
    <t>SHIRAZ@TRINIX.AE</t>
  </si>
  <si>
    <t>1770-0</t>
  </si>
  <si>
    <t>JPG3VS033</t>
  </si>
  <si>
    <t>1771-0</t>
  </si>
  <si>
    <t>JPG3VS034</t>
  </si>
  <si>
    <t>SALEH SUFIAN SALEH ALSHAWA</t>
  </si>
  <si>
    <t>1772-0</t>
  </si>
  <si>
    <t>JPG3VS035</t>
  </si>
  <si>
    <t>HAMID FAYYAZ</t>
  </si>
  <si>
    <t>1773-0</t>
  </si>
  <si>
    <t>JPG3VS036</t>
  </si>
  <si>
    <t>THE NATIONAL BANK OF FUJAIRAH P S C</t>
  </si>
  <si>
    <t>AMJAD@GMAIL.COM</t>
  </si>
  <si>
    <t>ALI ALASHBAL</t>
  </si>
  <si>
    <t>1774-0</t>
  </si>
  <si>
    <t>JPG3VS037</t>
  </si>
  <si>
    <t>SALEM KHAMIS SABT ALSUWAIDI</t>
  </si>
  <si>
    <t>971|3986612</t>
  </si>
  <si>
    <t>a@a.com</t>
  </si>
  <si>
    <t>971|50-6538409</t>
  </si>
  <si>
    <t>1775-0</t>
  </si>
  <si>
    <t>JPG3VS038</t>
  </si>
  <si>
    <t>1776-0</t>
  </si>
  <si>
    <t>JPG3VS039</t>
  </si>
  <si>
    <t>LALIT GULRAJANI</t>
  </si>
  <si>
    <t>971|529428235</t>
  </si>
  <si>
    <t>REDA@ALRIYAMIADVOCATES.COM</t>
  </si>
  <si>
    <t>971|52-9428235</t>
  </si>
  <si>
    <t>1777-0</t>
  </si>
  <si>
    <t>JPG3VS040</t>
  </si>
  <si>
    <t>ZHENG ZHANG</t>
  </si>
  <si>
    <t>1778-0</t>
  </si>
  <si>
    <t>JPG3VS041</t>
  </si>
  <si>
    <t>BUTHINA MAHMOOD MOHAMMAD ALKHUWAILDI</t>
  </si>
  <si>
    <t>1779-0</t>
  </si>
  <si>
    <t>JPG3VS042</t>
  </si>
  <si>
    <t>1780-0</t>
  </si>
  <si>
    <t>JPG4V001</t>
  </si>
  <si>
    <t>MAGDY ELSHAFIE ABOU ELNOUR SOLIMAN</t>
  </si>
  <si>
    <t>1781-0</t>
  </si>
  <si>
    <t>JPG4V002</t>
  </si>
  <si>
    <t>ASHOK RAMCHAND HARPALANI</t>
  </si>
  <si>
    <t>971|50-6250693</t>
  </si>
  <si>
    <t>971|506250693</t>
  </si>
  <si>
    <t>1782-0</t>
  </si>
  <si>
    <t>JPG4V003</t>
  </si>
  <si>
    <t>GAREN DJERDJERIAN</t>
  </si>
  <si>
    <t>971|50-4758163</t>
  </si>
  <si>
    <t>1783-0</t>
  </si>
  <si>
    <t>JPG4V004</t>
  </si>
  <si>
    <t>ROSHNI GIRIJA SAHOO</t>
  </si>
  <si>
    <t>ABHISHEK GIRIJA SAHOO</t>
  </si>
  <si>
    <t>1784-0</t>
  </si>
  <si>
    <t>JPG4V005</t>
  </si>
  <si>
    <t>FOUAD FOWZI</t>
  </si>
  <si>
    <t>1785-0</t>
  </si>
  <si>
    <t>JPG4V006</t>
  </si>
  <si>
    <t>MANSOOR SAEED SAIF JABR ALSUWAIDI</t>
  </si>
  <si>
    <t>971|55-1895125</t>
  </si>
  <si>
    <t>971|551895125</t>
  </si>
  <si>
    <t>1786-0</t>
  </si>
  <si>
    <t>JPG4V007</t>
  </si>
  <si>
    <t>JIHAD EL HADDAD</t>
  </si>
  <si>
    <t>info@jihadelhaddad.com</t>
  </si>
  <si>
    <t>971|50-3567578</t>
  </si>
  <si>
    <t>971|3567578</t>
  </si>
  <si>
    <t>1787-0</t>
  </si>
  <si>
    <t>JPG4V008</t>
  </si>
  <si>
    <t>ANIL CHANDIRANI</t>
  </si>
  <si>
    <t>971|4</t>
  </si>
  <si>
    <t>anilmala@hotmail.com</t>
  </si>
  <si>
    <t>971|55-9544680</t>
  </si>
  <si>
    <t>971|9544680</t>
  </si>
  <si>
    <t>1788-0</t>
  </si>
  <si>
    <t>JPG4V009</t>
  </si>
  <si>
    <t>1789-0</t>
  </si>
  <si>
    <t>JPG4V010</t>
  </si>
  <si>
    <t>HOSSEIN JASSIM BABA RAHMATI</t>
  </si>
  <si>
    <t>1790-0</t>
  </si>
  <si>
    <t>JPG4V011</t>
  </si>
  <si>
    <t>EMADELDIN Y A ELGHALAYINI</t>
  </si>
  <si>
    <t>starspoly@YAHOO.COM</t>
  </si>
  <si>
    <t>971|50-6256916</t>
  </si>
  <si>
    <t>1791-0</t>
  </si>
  <si>
    <t>JPG4V012</t>
  </si>
  <si>
    <t>ERIK OSCAR ULMESTEN</t>
  </si>
  <si>
    <t>Switzerland</t>
  </si>
  <si>
    <t>1792-0</t>
  </si>
  <si>
    <t>JPG4V013</t>
  </si>
  <si>
    <t>DOMOINA SYLVANA RAZAFINTSALAMA EP LALCHANDANI</t>
  </si>
  <si>
    <t>Madagascar</t>
  </si>
  <si>
    <t>PRAKASH LALCHANDANI</t>
  </si>
  <si>
    <t>1793-0</t>
  </si>
  <si>
    <t>JPG4V014</t>
  </si>
  <si>
    <t>MUHAMMAD ALI VIRJI</t>
  </si>
  <si>
    <t>MEHJABEEN NASSER VIRJI</t>
  </si>
  <si>
    <t>1794-0</t>
  </si>
  <si>
    <t>JPG4V015</t>
  </si>
  <si>
    <t>HITESH HIMANSHU AJMERA</t>
  </si>
  <si>
    <t>971|55-7995070</t>
  </si>
  <si>
    <t>1795-0</t>
  </si>
  <si>
    <t>JPG4V016</t>
  </si>
  <si>
    <t>SAKHER SUFYAN SALEH ALSHAWWA</t>
  </si>
  <si>
    <t>INFO@ATRUST.AE</t>
  </si>
  <si>
    <t>971|50-6570097</t>
  </si>
  <si>
    <t>971|506570097</t>
  </si>
  <si>
    <t>1796-0</t>
  </si>
  <si>
    <t>JPG4V017</t>
  </si>
  <si>
    <t>MOHAMED MAGDI ELSHAFIE ABOULELNOUR</t>
  </si>
  <si>
    <t>1797-0</t>
  </si>
  <si>
    <t>JPG5V001</t>
  </si>
  <si>
    <t>NAUSHEEN AZAM MUHAMMAD SARFARAZ AZAM</t>
  </si>
  <si>
    <t>nausheen0109@gmail.com</t>
  </si>
  <si>
    <t>971|55-8899629</t>
  </si>
  <si>
    <t>971|558899629</t>
  </si>
  <si>
    <t>MUHAMMAD SARFARAZ AZAM [DXB/V2623]</t>
  </si>
  <si>
    <t>1798-0</t>
  </si>
  <si>
    <t>JPG5V002</t>
  </si>
  <si>
    <t>LAL SANMUKDAS ISRANI</t>
  </si>
  <si>
    <t>971|0097150656</t>
  </si>
  <si>
    <t>971|50-0097150</t>
  </si>
  <si>
    <t>971|506502086</t>
  </si>
  <si>
    <t>1799-0</t>
  </si>
  <si>
    <t>JPG5V003</t>
  </si>
  <si>
    <t>ALIREZA DIVANI ZADEH</t>
  </si>
  <si>
    <t>divanizadeh@yahoo.com</t>
  </si>
  <si>
    <t>971|50-6505520</t>
  </si>
  <si>
    <t>1800-0</t>
  </si>
  <si>
    <t>JPG5V004</t>
  </si>
  <si>
    <t>BASIM MOHAMMED HASAN ISSA</t>
  </si>
  <si>
    <t>971|0509713305</t>
  </si>
  <si>
    <t>hanan@almanarapt.ae</t>
  </si>
  <si>
    <t>971|50-9713305</t>
  </si>
  <si>
    <t>1801-0</t>
  </si>
  <si>
    <t>JPG5V005</t>
  </si>
  <si>
    <t>RENU MUKHI PURANCHAND</t>
  </si>
  <si>
    <t>971|506545491</t>
  </si>
  <si>
    <t>971|50-6545491</t>
  </si>
  <si>
    <t>1802-0</t>
  </si>
  <si>
    <t>JPG5V006</t>
  </si>
  <si>
    <t>ZHANG ZANZHEN</t>
  </si>
  <si>
    <t>1803-0</t>
  </si>
  <si>
    <t>JPG5V007</t>
  </si>
  <si>
    <t>LANDBANC V LIMITED</t>
  </si>
  <si>
    <t>1804-0</t>
  </si>
  <si>
    <t>JPG5V008</t>
  </si>
  <si>
    <t>MONIKA JAIN</t>
  </si>
  <si>
    <t>971|1500084</t>
  </si>
  <si>
    <t>971|50-1500084</t>
  </si>
  <si>
    <t>971|501500084</t>
  </si>
  <si>
    <t>1805-0</t>
  </si>
  <si>
    <t>JPG5V009</t>
  </si>
  <si>
    <t>JAMEELA SALEM MUSABBAH HUMAID ALMHEIRI</t>
  </si>
  <si>
    <t>971|50-6581101</t>
  </si>
  <si>
    <t>971|506581101</t>
  </si>
  <si>
    <t>1806-0</t>
  </si>
  <si>
    <t>JPG5V010</t>
  </si>
  <si>
    <t>PAYMAN ABDOLSAMAD YAZDAN PANAH</t>
  </si>
  <si>
    <t>1807-0</t>
  </si>
  <si>
    <t>JPG5V011</t>
  </si>
  <si>
    <t>ABDELLATIF GHALEB ABDELLATIF ABUQURAH</t>
  </si>
  <si>
    <t>1808-0</t>
  </si>
  <si>
    <t>JPG5V012</t>
  </si>
  <si>
    <t>MONZER AKBIK</t>
  </si>
  <si>
    <t>Grenada</t>
  </si>
  <si>
    <t>1809-0</t>
  </si>
  <si>
    <t>JPG5V013</t>
  </si>
  <si>
    <t>SALAH EDDIN OSSEIRAN</t>
  </si>
  <si>
    <t>971|50-4906361</t>
  </si>
  <si>
    <t>1810-0</t>
  </si>
  <si>
    <t>JPG5V014</t>
  </si>
  <si>
    <t>VALIYAPEEDIAKKAL ABU</t>
  </si>
  <si>
    <t>971|054-5454887</t>
  </si>
  <si>
    <t>971|5454887</t>
  </si>
  <si>
    <t>1811-0</t>
  </si>
  <si>
    <t>JPG5V015</t>
  </si>
  <si>
    <t>SALMAN ZAIDI</t>
  </si>
  <si>
    <t>1812-0</t>
  </si>
  <si>
    <t>JPG5V016</t>
  </si>
  <si>
    <t>MOHAMMAD TAIMOOR SHAHID MURTAZA MOHAMMAD SHAHID MURTAZA</t>
  </si>
  <si>
    <t>1813-0</t>
  </si>
  <si>
    <t>JPG5V017</t>
  </si>
  <si>
    <t>KHALED KAMAL HILMI</t>
  </si>
  <si>
    <t>1814-0</t>
  </si>
  <si>
    <t>JPG5V018</t>
  </si>
  <si>
    <t>NEETU GOPAL BHOJWANI</t>
  </si>
  <si>
    <t>kiran_bhojwani@hotmail.com</t>
  </si>
  <si>
    <t>971|50-9797260</t>
  </si>
  <si>
    <t>1815-0</t>
  </si>
  <si>
    <t>JPG5V019</t>
  </si>
  <si>
    <t>CHHAGAN KUMAR MANILAL HARJIBHAI PETHANI</t>
  </si>
  <si>
    <t>1816-0</t>
  </si>
  <si>
    <t>JPG5V020</t>
  </si>
  <si>
    <t>STANDARD CHARTERED BANK</t>
  </si>
  <si>
    <t>SAIFUDDIN FAKIR MOHAMMED</t>
  </si>
  <si>
    <t>971|0506447054</t>
  </si>
  <si>
    <t>saif@unitedpipinggroup.com</t>
  </si>
  <si>
    <t>971|50-6447054</t>
  </si>
  <si>
    <t>1817-0</t>
  </si>
  <si>
    <t>JPG5V021</t>
  </si>
  <si>
    <t>EMIRATES ISLAMIC BANK</t>
  </si>
  <si>
    <t>3328989-04</t>
  </si>
  <si>
    <t>EMIRATES@ISALMICBANK.AE</t>
  </si>
  <si>
    <t>MASOUD ABDOLLAH SHOKROLLAHI</t>
  </si>
  <si>
    <t>1818-0</t>
  </si>
  <si>
    <t>JPG5V022</t>
  </si>
  <si>
    <t>ARMINDRAJEET SINGH</t>
  </si>
  <si>
    <t>1819-0</t>
  </si>
  <si>
    <t>JPP3VS033</t>
  </si>
  <si>
    <t>SANA SALMAN</t>
  </si>
  <si>
    <t>971|56-1098174</t>
  </si>
  <si>
    <t>971|561098174</t>
  </si>
  <si>
    <t>1821-0</t>
  </si>
  <si>
    <t>JPQ3VL001</t>
  </si>
  <si>
    <t>MUHAMMED HUSAIN FAKHRUDDIN</t>
  </si>
  <si>
    <t>1822-0</t>
  </si>
  <si>
    <t>JPQ3VL002</t>
  </si>
  <si>
    <t>CHANGQING YE</t>
  </si>
  <si>
    <t>971|0506550428</t>
  </si>
  <si>
    <t>1823-0</t>
  </si>
  <si>
    <t>JPQ3VL003</t>
  </si>
  <si>
    <t>SOFIA UNDERABI</t>
  </si>
  <si>
    <t>971|50-4356527</t>
  </si>
  <si>
    <t>971|504356527</t>
  </si>
  <si>
    <t>sofia.underabi@cavendishmaxwell.com</t>
  </si>
  <si>
    <t>1824-0</t>
  </si>
  <si>
    <t>JPQ3VL004</t>
  </si>
  <si>
    <t>BHAVIYA MOHANDAS</t>
  </si>
  <si>
    <t>MAYURESH JAYANT WAKANKAR</t>
  </si>
  <si>
    <t>1825-0</t>
  </si>
  <si>
    <t>JPQ3VL005</t>
  </si>
  <si>
    <t>MAHESH KUMAR KISHINCHAND PAGARANI</t>
  </si>
  <si>
    <t>1826-0</t>
  </si>
  <si>
    <t>JPG3VL040</t>
  </si>
  <si>
    <t>JPT4V040</t>
  </si>
  <si>
    <t>1827-0</t>
  </si>
  <si>
    <t>JPG3VL073</t>
  </si>
  <si>
    <t>AHMED MOHAMMED KHAZAAL ALMUSAWI</t>
  </si>
  <si>
    <t>971|50-6591103</t>
  </si>
  <si>
    <t>JPT4V073</t>
  </si>
  <si>
    <t>1828-0</t>
  </si>
  <si>
    <t>JPG3VL074</t>
  </si>
  <si>
    <t>ASHLEY SUSAN ANDERSON</t>
  </si>
  <si>
    <t>971|50-6257941</t>
  </si>
  <si>
    <t>JPT4V074</t>
  </si>
  <si>
    <t>1829-0</t>
  </si>
  <si>
    <t>JPG3VL075</t>
  </si>
  <si>
    <t>REETIKA RAJPAL MANGALDAS CHANDRA</t>
  </si>
  <si>
    <t>REETIKARAJBAL@GMAIL.COM</t>
  </si>
  <si>
    <t>JPT4V075</t>
  </si>
  <si>
    <t>1830-0</t>
  </si>
  <si>
    <t>JPG3VL076</t>
  </si>
  <si>
    <t>NAVEED PATHAN</t>
  </si>
  <si>
    <t>JPT4V076</t>
  </si>
  <si>
    <t>1831-0</t>
  </si>
  <si>
    <t>JPT4V077</t>
  </si>
  <si>
    <t>ABDULAZIZ HAMAD NASSER ALMOGBEL</t>
  </si>
  <si>
    <t>WFGOMAA@YAHOO.COM</t>
  </si>
  <si>
    <t>971|52-0529798</t>
  </si>
  <si>
    <t>JPG3VL077</t>
  </si>
  <si>
    <t>1832-0</t>
  </si>
  <si>
    <t>JPG3VL078</t>
  </si>
  <si>
    <t>SHAFIQA AHMED ABDULRAZAK</t>
  </si>
  <si>
    <t>JPT4V078</t>
  </si>
  <si>
    <t>1833-0</t>
  </si>
  <si>
    <t>JPT4V079</t>
  </si>
  <si>
    <t>UMIDE TUBA SAYGI</t>
  </si>
  <si>
    <t>971|56-4142779</t>
  </si>
  <si>
    <t>JPG3VL079</t>
  </si>
  <si>
    <t>1834-0</t>
  </si>
  <si>
    <t>JPG3VL080</t>
  </si>
  <si>
    <t>ANIL GUPTA</t>
  </si>
  <si>
    <t>971|043607887</t>
  </si>
  <si>
    <t>1111@gmail.com</t>
  </si>
  <si>
    <t>971|50-0504321</t>
  </si>
  <si>
    <t>JPT4V080</t>
  </si>
  <si>
    <t>1835-0</t>
  </si>
  <si>
    <t>JPT4V081</t>
  </si>
  <si>
    <t>JPG3VL081</t>
  </si>
  <si>
    <t>1836-0</t>
  </si>
  <si>
    <t>JPG3VL082</t>
  </si>
  <si>
    <t>JPT4V082</t>
  </si>
  <si>
    <t>1837-0</t>
  </si>
  <si>
    <t>JPG3VL083</t>
  </si>
  <si>
    <t>JPT4V083</t>
  </si>
  <si>
    <t>1838-0</t>
  </si>
  <si>
    <t>JPG3VS001</t>
  </si>
  <si>
    <t>RAHIM GHOLAM HOSSEIN NILAVAR</t>
  </si>
  <si>
    <t>1839-0</t>
  </si>
  <si>
    <t>JPG3VS002</t>
  </si>
  <si>
    <t>NABEEL SHEIKH TAJAMMAL HUSSAIN TAJAMMAL</t>
  </si>
  <si>
    <t>971|50-5591183</t>
  </si>
  <si>
    <t>1840-0</t>
  </si>
  <si>
    <t>JPG3VS003</t>
  </si>
  <si>
    <t>ELLIOTT BRENNAN</t>
  </si>
  <si>
    <t>04/3314884</t>
  </si>
  <si>
    <t>elliottbrennan@hotmail.com</t>
  </si>
  <si>
    <t>1841-0</t>
  </si>
  <si>
    <t>JPG3VS004</t>
  </si>
  <si>
    <t>MALIK MUHAMMAD TANVEER MALIK MUHAMMAD SHAFI</t>
  </si>
  <si>
    <t>971|0097150659</t>
  </si>
  <si>
    <t>1842-0</t>
  </si>
  <si>
    <t>JPG3VS005</t>
  </si>
  <si>
    <t>1843-0</t>
  </si>
  <si>
    <t>JPG3VS006</t>
  </si>
  <si>
    <t>EKRAM HUSSEIN HAMDY SHEHABELDIN</t>
  </si>
  <si>
    <t>1844-0</t>
  </si>
  <si>
    <t>JPG3VS007</t>
  </si>
  <si>
    <t>PASCAL SIGGEN</t>
  </si>
  <si>
    <t>1845-0</t>
  </si>
  <si>
    <t>JPG3VS008</t>
  </si>
  <si>
    <t>NIDAL ABDULBAKI</t>
  </si>
  <si>
    <t>1846-0</t>
  </si>
  <si>
    <t>JPG3VS009</t>
  </si>
  <si>
    <t>AHMED HAMDI AL AZZAWI</t>
  </si>
  <si>
    <t>New Zealand</t>
  </si>
  <si>
    <t>NAWAR DHARI MISHHIN</t>
  </si>
  <si>
    <t>04/2996229</t>
  </si>
  <si>
    <t>1847-0</t>
  </si>
  <si>
    <t>JPG3VS010</t>
  </si>
  <si>
    <t>RAFF AYAD</t>
  </si>
  <si>
    <t>971|50-4538362</t>
  </si>
  <si>
    <t>1848-0</t>
  </si>
  <si>
    <t>JPG3VS011</t>
  </si>
  <si>
    <t>NABIL HASSAN EFFAT MOHAMED KHALIL</t>
  </si>
  <si>
    <t>1849-0</t>
  </si>
  <si>
    <t>JPG3VS012</t>
  </si>
  <si>
    <t>AMER BITAR</t>
  </si>
  <si>
    <t>1850-0</t>
  </si>
  <si>
    <t>JPG3VS013</t>
  </si>
  <si>
    <t>MAHA MOHD MOHD ABU ISSA</t>
  </si>
  <si>
    <t>1851-0</t>
  </si>
  <si>
    <t>JPG3VS014</t>
  </si>
  <si>
    <t>IBRAHIM HASSAN IBRAHIM GALADARI</t>
  </si>
  <si>
    <t>3383113-04</t>
  </si>
  <si>
    <t>galaderm@gmail.com</t>
  </si>
  <si>
    <t>050-4510021</t>
  </si>
  <si>
    <t>1852-0</t>
  </si>
  <si>
    <t>JPG3VS015</t>
  </si>
  <si>
    <t>1853-0</t>
  </si>
  <si>
    <t>JPG3VS016</t>
  </si>
  <si>
    <t>VIPUL RAMNIKLAL KOTHARI</t>
  </si>
  <si>
    <t>1854-0</t>
  </si>
  <si>
    <t>JPG3VS017</t>
  </si>
  <si>
    <t>GHULAMALI ABDOLRAHMAN ISFANDNIA</t>
  </si>
  <si>
    <t>971|50-6556797</t>
  </si>
  <si>
    <t>1855-0</t>
  </si>
  <si>
    <t>JPG3VS018</t>
  </si>
  <si>
    <t>KUMAR NANDLAL DARYANANI</t>
  </si>
  <si>
    <t>971|55-3293017</t>
  </si>
  <si>
    <t>971|553293017</t>
  </si>
  <si>
    <t>1856-0</t>
  </si>
  <si>
    <t>JPQ3VL006</t>
  </si>
  <si>
    <t>MATHEW THOMAS KALATHIPARAMPIL</t>
  </si>
  <si>
    <t>mathew.thomas@hp.com</t>
  </si>
  <si>
    <t>1857-0</t>
  </si>
  <si>
    <t>JPQ3VL007</t>
  </si>
  <si>
    <t>KARAN ARORA</t>
  </si>
  <si>
    <t>1858-0</t>
  </si>
  <si>
    <t>JPQ3VL008</t>
  </si>
  <si>
    <t>AIDA MANSOUR</t>
  </si>
  <si>
    <t>971|6238337</t>
  </si>
  <si>
    <t>971|56-6238337</t>
  </si>
  <si>
    <t>971|506141618</t>
  </si>
  <si>
    <t>1859-0</t>
  </si>
  <si>
    <t>JPQ3VL009</t>
  </si>
  <si>
    <t>HANI IBRAHIM ABDU NOOR</t>
  </si>
  <si>
    <t>1860-0</t>
  </si>
  <si>
    <t>JPQ3VL010</t>
  </si>
  <si>
    <t>1861-0</t>
  </si>
  <si>
    <t>JPQ3VL011</t>
  </si>
  <si>
    <t>1862-0</t>
  </si>
  <si>
    <t>JPQ3VL012</t>
  </si>
  <si>
    <t>OMAR CHAPPUIS</t>
  </si>
  <si>
    <t>971|5109278476</t>
  </si>
  <si>
    <t>omar@gmail.com</t>
  </si>
  <si>
    <t>971|50-9278476</t>
  </si>
  <si>
    <t>971|509278476</t>
  </si>
  <si>
    <t>1863-0</t>
  </si>
  <si>
    <t>JPQ3VL013</t>
  </si>
  <si>
    <t>1864-0</t>
  </si>
  <si>
    <t>JPQ3VL014</t>
  </si>
  <si>
    <t>1865-0</t>
  </si>
  <si>
    <t>JPQ3VL015</t>
  </si>
  <si>
    <t>ASMA JAVID</t>
  </si>
  <si>
    <t>971|50-6672650</t>
  </si>
  <si>
    <t>971|506672650</t>
  </si>
  <si>
    <t>1866-0</t>
  </si>
  <si>
    <t>JPQ3VL016</t>
  </si>
  <si>
    <t>MALCOLM D SOUZA(DXB/V4941)</t>
  </si>
  <si>
    <t>1867-0</t>
  </si>
  <si>
    <t>JPQ3VL017</t>
  </si>
  <si>
    <t>TARIQ MAJEED RAJA</t>
  </si>
  <si>
    <t>1868-0</t>
  </si>
  <si>
    <t>JPQ3VL018</t>
  </si>
  <si>
    <t>YANAL AHMAD HASAN SULIEMAN</t>
  </si>
  <si>
    <t>1869-0</t>
  </si>
  <si>
    <t>JPQ3VL019</t>
  </si>
  <si>
    <t>HANI IBRAHIM AABDIN NAQSHABANDY</t>
  </si>
  <si>
    <t>hani@hanirealestate.ae</t>
  </si>
  <si>
    <t>971|50-2660662</t>
  </si>
  <si>
    <t>971|502660662</t>
  </si>
  <si>
    <t>1870-0</t>
  </si>
  <si>
    <t>JPQ3VL020</t>
  </si>
  <si>
    <t>ABDALLAH MOHAMMAD HAMDAN ALATRASH</t>
  </si>
  <si>
    <t>971|44357355</t>
  </si>
  <si>
    <t>abdullah@eyemedia.ae</t>
  </si>
  <si>
    <t>971|50-6975110</t>
  </si>
  <si>
    <t>1871-0</t>
  </si>
  <si>
    <t>JPN4V057</t>
  </si>
  <si>
    <t>JPN3VS057</t>
  </si>
  <si>
    <t>1872-0</t>
  </si>
  <si>
    <t>JPN4V058</t>
  </si>
  <si>
    <t>HARJA MEHBOOB MERCHANT</t>
  </si>
  <si>
    <t>JPN3VS058</t>
  </si>
  <si>
    <t>1873-0</t>
  </si>
  <si>
    <t>JPN3VS059</t>
  </si>
  <si>
    <t>MOHAN GHANSHAMDAS VALRANI</t>
  </si>
  <si>
    <t>JPN4V059</t>
  </si>
  <si>
    <t>1874-0</t>
  </si>
  <si>
    <t>JPN4V060</t>
  </si>
  <si>
    <t>MOHAMMED OTHMAN O ALAMOUDI</t>
  </si>
  <si>
    <t>mkhalfan@dubailand.gov.ae</t>
  </si>
  <si>
    <t>971|50-4549690</t>
  </si>
  <si>
    <t>JPN3VS060</t>
  </si>
  <si>
    <t>1875-0</t>
  </si>
  <si>
    <t>JPN3VS061</t>
  </si>
  <si>
    <t>HALA MUSADQ ABDULJALIL MUBARAK</t>
  </si>
  <si>
    <t>971|0506247667</t>
  </si>
  <si>
    <t>hala.almubarak12@gmail.com</t>
  </si>
  <si>
    <t>971|50-5583111</t>
  </si>
  <si>
    <t>JPN4V061</t>
  </si>
  <si>
    <t>1876-0</t>
  </si>
  <si>
    <t>JPN3VS062</t>
  </si>
  <si>
    <t>HG LIVING LIMITED</t>
  </si>
  <si>
    <t>JPN4V062</t>
  </si>
  <si>
    <t>1877-0</t>
  </si>
  <si>
    <t>JPN3VS063</t>
  </si>
  <si>
    <t>ABDUSHUKUR ISMATOV</t>
  </si>
  <si>
    <t>971|50-1496049</t>
  </si>
  <si>
    <t>971|501496049</t>
  </si>
  <si>
    <t>JPN4V063</t>
  </si>
  <si>
    <t>1878-0</t>
  </si>
  <si>
    <t>JPN3VS064</t>
  </si>
  <si>
    <t>VANDANA FEROZ BHARMAL</t>
  </si>
  <si>
    <t>JPN4V064</t>
  </si>
  <si>
    <t>1879-0</t>
  </si>
  <si>
    <t>JPN3VS065</t>
  </si>
  <si>
    <t>RUTH KIRWAN</t>
  </si>
  <si>
    <t>3217855-04</t>
  </si>
  <si>
    <t>JPN4V065</t>
  </si>
  <si>
    <t>1880-0</t>
  </si>
  <si>
    <t>JPN3VS066</t>
  </si>
  <si>
    <t>ATIF MASOOD SETHI MASOOD AHMED SETHI</t>
  </si>
  <si>
    <t>JPN4V066</t>
  </si>
  <si>
    <t>1881-0</t>
  </si>
  <si>
    <t>JPN3VS067</t>
  </si>
  <si>
    <t>BELLE SEETHARAM SHETTY</t>
  </si>
  <si>
    <t>bass_onshone@yahoo.com</t>
  </si>
  <si>
    <t>971|56-9751837</t>
  </si>
  <si>
    <t>971|569751837</t>
  </si>
  <si>
    <t>JPN4V067</t>
  </si>
  <si>
    <t>1882-0</t>
  </si>
  <si>
    <t>JPN3VS068</t>
  </si>
  <si>
    <t>JPN4V068</t>
  </si>
  <si>
    <t>1883-0</t>
  </si>
  <si>
    <t>JPN4V069</t>
  </si>
  <si>
    <t>TAMWEEL PJSC</t>
  </si>
  <si>
    <t>K.A.2.7@LIVE.COM</t>
  </si>
  <si>
    <t>JPN3VS069</t>
  </si>
  <si>
    <t>1884-0</t>
  </si>
  <si>
    <t>JPN3VS070</t>
  </si>
  <si>
    <t>JPN4V070</t>
  </si>
  <si>
    <t>1885-0</t>
  </si>
  <si>
    <t>JPN3VS071</t>
  </si>
  <si>
    <t>MINAL SHAHANI</t>
  </si>
  <si>
    <t>JPN4V071</t>
  </si>
  <si>
    <t>1886-0</t>
  </si>
  <si>
    <t>JPN3VS072</t>
  </si>
  <si>
    <t>SUMEET SINGH</t>
  </si>
  <si>
    <t>JPN4V072</t>
  </si>
  <si>
    <t>1887-0</t>
  </si>
  <si>
    <t>JPN3VS073</t>
  </si>
  <si>
    <t>JPN4V073</t>
  </si>
  <si>
    <t>ALOK GUPTA</t>
  </si>
  <si>
    <t>1888-0</t>
  </si>
  <si>
    <t>JPN4V074</t>
  </si>
  <si>
    <t>MOHAMMAD USMAN S O M YUSUF</t>
  </si>
  <si>
    <t>JPN3VS074</t>
  </si>
  <si>
    <t>1889-0</t>
  </si>
  <si>
    <t>JPN3VS075</t>
  </si>
  <si>
    <t>RACHNA BUXANI MIRPURI</t>
  </si>
  <si>
    <t>aa@a.com</t>
  </si>
  <si>
    <t>971|50-0455411</t>
  </si>
  <si>
    <t>JPN4V075</t>
  </si>
  <si>
    <t>1890-0</t>
  </si>
  <si>
    <t>JPN4V076</t>
  </si>
  <si>
    <t>CHETNA VIWASVATKUMAR SHASTRI</t>
  </si>
  <si>
    <t>JPN3VS076</t>
  </si>
  <si>
    <t>1891-0</t>
  </si>
  <si>
    <t>JPN4V077</t>
  </si>
  <si>
    <t>HANISHA AJAY ALWANI</t>
  </si>
  <si>
    <t>HANISHA@hotmail.com</t>
  </si>
  <si>
    <t>971|50-1234567</t>
  </si>
  <si>
    <t>JPN3VS077</t>
  </si>
  <si>
    <t>1892-0</t>
  </si>
  <si>
    <t>JPN4V078</t>
  </si>
  <si>
    <t>RAKESH B N DESHPANDE</t>
  </si>
  <si>
    <t>JPN3VS078</t>
  </si>
  <si>
    <t>1893-0</t>
  </si>
  <si>
    <t>JPN3VS079</t>
  </si>
  <si>
    <t>RAED JAMAL ABU HIJLEH</t>
  </si>
  <si>
    <t>raed@rah.ae</t>
  </si>
  <si>
    <t>JPN4V079</t>
  </si>
  <si>
    <t>1894-0</t>
  </si>
  <si>
    <t>JPN4V080</t>
  </si>
  <si>
    <t>BLUE ROSE PROPERTY INVESTMENTS LIMITED</t>
  </si>
  <si>
    <t>asif@alshirawi.ae</t>
  </si>
  <si>
    <t>JPN3VS080</t>
  </si>
  <si>
    <t>1895-0</t>
  </si>
  <si>
    <t>JPN4V081</t>
  </si>
  <si>
    <t>MANGHNANI KAMLA MURIJMAL BHERUMAL GOPALDAS BAHIRWANI</t>
  </si>
  <si>
    <t>JPN3VS081</t>
  </si>
  <si>
    <t>MANGHNANI MURIJ JIWATRAM</t>
  </si>
  <si>
    <t>1896-0</t>
  </si>
  <si>
    <t>JPN3VS082</t>
  </si>
  <si>
    <t>JPN4V082</t>
  </si>
  <si>
    <t>1897-0</t>
  </si>
  <si>
    <t>JPN3VS083</t>
  </si>
  <si>
    <t>JPN4V083</t>
  </si>
  <si>
    <t>1898-0</t>
  </si>
  <si>
    <t>JPN4V084</t>
  </si>
  <si>
    <t>JPN3VS084</t>
  </si>
  <si>
    <t>1899-0</t>
  </si>
  <si>
    <t>JPN4V085</t>
  </si>
  <si>
    <t>JPN3VS085</t>
  </si>
  <si>
    <t>1900-0</t>
  </si>
  <si>
    <t>JPO3VL001</t>
  </si>
  <si>
    <t>MARATTUKALAM SIBY ANTONY</t>
  </si>
  <si>
    <t>971|050-6248982</t>
  </si>
  <si>
    <t>91|0</t>
  </si>
  <si>
    <t>1901-0</t>
  </si>
  <si>
    <t>JPO3VL002</t>
  </si>
  <si>
    <t>ALI KHALIL LALEHPARVAR</t>
  </si>
  <si>
    <t>1902-0</t>
  </si>
  <si>
    <t>JPO3VL003</t>
  </si>
  <si>
    <t>SAMIR KAPOOR AMAR PRAKASH CHANDRA KAPOOR</t>
  </si>
  <si>
    <t>KAREN KAPOOR</t>
  </si>
  <si>
    <t>1903-0</t>
  </si>
  <si>
    <t>JPO3VL004</t>
  </si>
  <si>
    <t>ADCB ISLAMIC BANKING DIVISION</t>
  </si>
  <si>
    <t>ZIENA ISMAT FUAD AL MASRI</t>
  </si>
  <si>
    <t>971|50-3463154</t>
  </si>
  <si>
    <t>1904-0</t>
  </si>
  <si>
    <t>JPO3VL005</t>
  </si>
  <si>
    <t>BHAVIKA GODHWANI</t>
  </si>
  <si>
    <t>BM.GODHWANI@GMAIL.COM</t>
  </si>
  <si>
    <t>1905-0</t>
  </si>
  <si>
    <t>JPO3VL006</t>
  </si>
  <si>
    <t>CATHERINE ANNE DURBEN</t>
  </si>
  <si>
    <t>1906-0</t>
  </si>
  <si>
    <t>JPO3VL007</t>
  </si>
  <si>
    <t>ZJB PROPERTY LIMITED</t>
  </si>
  <si>
    <t>1907-0</t>
  </si>
  <si>
    <t>JPO3VL008</t>
  </si>
  <si>
    <t>MARCEL CHOMIC</t>
  </si>
  <si>
    <t>marcelcho@yahoo.com</t>
  </si>
  <si>
    <t>971|55-5141732</t>
  </si>
  <si>
    <t>Slovakia</t>
  </si>
  <si>
    <t>1908-0</t>
  </si>
  <si>
    <t>JPL3VL071</t>
  </si>
  <si>
    <t>KHALED MOHAMED BESHIR ( DXB/V2215 )</t>
  </si>
  <si>
    <t>1909-0</t>
  </si>
  <si>
    <t>JPL3VL072</t>
  </si>
  <si>
    <t>BOUCHAIB HAIDAT</t>
  </si>
  <si>
    <t>1910-0</t>
  </si>
  <si>
    <t>JPL3VL073</t>
  </si>
  <si>
    <t>ISSAM AHMAD HASSAN</t>
  </si>
  <si>
    <t>Brazil</t>
  </si>
  <si>
    <t>1911-0</t>
  </si>
  <si>
    <t>JPL3VL074</t>
  </si>
  <si>
    <t>NICOLA KAREN GUNTLEY</t>
  </si>
  <si>
    <t>1912-0</t>
  </si>
  <si>
    <t>JPL3VL075</t>
  </si>
  <si>
    <t>HUSAINY FAKHRUDDIN MULLA FAKHRUDDIN</t>
  </si>
  <si>
    <t>i.hamza@fakhruddin.ae</t>
  </si>
  <si>
    <t>971|55-6004006</t>
  </si>
  <si>
    <t>971|556004006</t>
  </si>
  <si>
    <t>1913-0</t>
  </si>
  <si>
    <t>JPL3VL076</t>
  </si>
  <si>
    <t>LAING FERRIES ROBSON</t>
  </si>
  <si>
    <t>1914-0</t>
  </si>
  <si>
    <t>JPL3VL077</t>
  </si>
  <si>
    <t>WALID OKAB HNIDI</t>
  </si>
  <si>
    <t>laurent.trdco@gmail.com</t>
  </si>
  <si>
    <t>971|50-5500583</t>
  </si>
  <si>
    <t>1915-0</t>
  </si>
  <si>
    <t>JPL3VL078</t>
  </si>
  <si>
    <t>MAHBUBUL HADY FAZLE</t>
  </si>
  <si>
    <t>1916-0</t>
  </si>
  <si>
    <t>JPL3VL079</t>
  </si>
  <si>
    <t>DOMEN BOCKOR</t>
  </si>
  <si>
    <t>Slovenia</t>
  </si>
  <si>
    <t>1917-0</t>
  </si>
  <si>
    <t>JPL3VL080</t>
  </si>
  <si>
    <t>ANAS BENNANI</t>
  </si>
  <si>
    <t>bennanianas@hotmail.com</t>
  </si>
  <si>
    <t>971|50-1040699</t>
  </si>
  <si>
    <t>1918-0</t>
  </si>
  <si>
    <t>JPL3VL081</t>
  </si>
  <si>
    <t>NAILA HUSSEIN ARBID</t>
  </si>
  <si>
    <t>04/3673410</t>
  </si>
  <si>
    <t>narbid@emaar.ae</t>
  </si>
  <si>
    <t>1919-0</t>
  </si>
  <si>
    <t>JPL3VL082</t>
  </si>
  <si>
    <t>SAMER SALEEM ELHALAWANI</t>
  </si>
  <si>
    <t>1920-0</t>
  </si>
  <si>
    <t>JPL3VL083</t>
  </si>
  <si>
    <t>KHUSHI SAMEER MALANI</t>
  </si>
  <si>
    <t>1921-0</t>
  </si>
  <si>
    <t>JPL3VL084</t>
  </si>
  <si>
    <t>VISHAL SUVARNA</t>
  </si>
  <si>
    <t>1079809949@qq.com</t>
  </si>
  <si>
    <t>971|50-9555759</t>
  </si>
  <si>
    <t>1922-0</t>
  </si>
  <si>
    <t>JPL3VL085</t>
  </si>
  <si>
    <t>MOHAMMED NASSER</t>
  </si>
  <si>
    <t>1923-0</t>
  </si>
  <si>
    <t>JPL3VL086</t>
  </si>
  <si>
    <t>SALEM OMAR SALEM BALLEITH</t>
  </si>
  <si>
    <t>971|55-3909855</t>
  </si>
  <si>
    <t>Tanzania</t>
  </si>
  <si>
    <t>1924-0</t>
  </si>
  <si>
    <t>JPL3VL087</t>
  </si>
  <si>
    <t>1925-0</t>
  </si>
  <si>
    <t>JPL3VL088</t>
  </si>
  <si>
    <t>1926-0</t>
  </si>
  <si>
    <t>JPL3VL089</t>
  </si>
  <si>
    <t>GHASSAN NAKAD</t>
  </si>
  <si>
    <t>971|50-1782866</t>
  </si>
  <si>
    <t>1927-0</t>
  </si>
  <si>
    <t>JPL3VL090</t>
  </si>
  <si>
    <t>VINEET KUMAR GARG</t>
  </si>
  <si>
    <t>1928-0</t>
  </si>
  <si>
    <t>JPL3VL091</t>
  </si>
  <si>
    <t>MAHYRA ROY</t>
  </si>
  <si>
    <t>1929-0</t>
  </si>
  <si>
    <t>JPL3VL092</t>
  </si>
  <si>
    <t>HANANE KARAM CHAMOUN</t>
  </si>
  <si>
    <t>HANANECHY@HOTMAIL.COM</t>
  </si>
  <si>
    <t>971|55-5011800</t>
  </si>
  <si>
    <t>1930-0</t>
  </si>
  <si>
    <t>JPL3VL093</t>
  </si>
  <si>
    <t>PRIYA S C MEHRA KHANNA</t>
  </si>
  <si>
    <t>971|50-6527037</t>
  </si>
  <si>
    <t>1931-0</t>
  </si>
  <si>
    <t>JPK4V009</t>
  </si>
  <si>
    <t>SHABBIR HUSAIN AKBAR ALI FAKHRUDDIN</t>
  </si>
  <si>
    <t>1932-0</t>
  </si>
  <si>
    <t>JPK4V010</t>
  </si>
  <si>
    <t>VIPUL YADAV</t>
  </si>
  <si>
    <t>1933-0</t>
  </si>
  <si>
    <t>JPK4V011</t>
  </si>
  <si>
    <t>NARENDRA DOULAT PUNWANEY [DXB/V5181]</t>
  </si>
  <si>
    <t>DIVYA NARENDRA PUNWANEY</t>
  </si>
  <si>
    <t>NPUNWANEY@GMAIL.COM</t>
  </si>
  <si>
    <t>971|50-5593518</t>
  </si>
  <si>
    <t>1934-0</t>
  </si>
  <si>
    <t>JPK4V012</t>
  </si>
  <si>
    <t>MEDHAT M A S BARAKAT</t>
  </si>
  <si>
    <t>1935-0</t>
  </si>
  <si>
    <t>JPK4V013</t>
  </si>
  <si>
    <t>971-4-2280777</t>
  </si>
  <si>
    <t>samiald@tanfeeth.ae</t>
  </si>
  <si>
    <t>1936-0</t>
  </si>
  <si>
    <t>JPK4V014</t>
  </si>
  <si>
    <t>KANEEZ HASNAIN SYED</t>
  </si>
  <si>
    <t>0@0.0</t>
  </si>
  <si>
    <t>1937-0</t>
  </si>
  <si>
    <t>JPK4V015</t>
  </si>
  <si>
    <t>DEEPINDER SINGH BEDI TRILOCHAN SINGH BEDI</t>
  </si>
  <si>
    <t>RAM@SERVICE.COM</t>
  </si>
  <si>
    <t>1938-0</t>
  </si>
  <si>
    <t>JPK4V016</t>
  </si>
  <si>
    <t>BERNARD SHANE RICHARDSON</t>
  </si>
  <si>
    <t>BINDI LOUISE DRAKE</t>
  </si>
  <si>
    <t>1939-0</t>
  </si>
  <si>
    <t>JPK4V017</t>
  </si>
  <si>
    <t>AHMAD ADLI SHUKRI ABUBAKER</t>
  </si>
  <si>
    <t>1940-0</t>
  </si>
  <si>
    <t>JPK4V018</t>
  </si>
  <si>
    <t>ALI ASGHAR BAKHSHANDEH</t>
  </si>
  <si>
    <t>alibasghar@gmail.com</t>
  </si>
  <si>
    <t>971|0097150651</t>
  </si>
  <si>
    <t>1941-0</t>
  </si>
  <si>
    <t>JPK4V019</t>
  </si>
  <si>
    <t>SUHAIL AQIL MOHAMMED ALBANNA</t>
  </si>
  <si>
    <t>971|0506259177</t>
  </si>
  <si>
    <t>971|50-0506259</t>
  </si>
  <si>
    <t>1942-0</t>
  </si>
  <si>
    <t>JPK4V020</t>
  </si>
  <si>
    <t>HUSSEIN ALI ABDULHUSSEIN ALRUBAYE</t>
  </si>
  <si>
    <t>1943-0</t>
  </si>
  <si>
    <t>JPK4V021</t>
  </si>
  <si>
    <t>MD ABDUL MAJID ALI MOHAMMED MOKBUL</t>
  </si>
  <si>
    <t>971|50-6546853</t>
  </si>
  <si>
    <t>1944-0</t>
  </si>
  <si>
    <t>JPK4V022</t>
  </si>
  <si>
    <t>DONG CHUL SHIN</t>
  </si>
  <si>
    <t>1945-0</t>
  </si>
  <si>
    <t>JPK4V023</t>
  </si>
  <si>
    <t>MONA ANIS MOHAMED FAKHRY AHMED</t>
  </si>
  <si>
    <t>1946-0</t>
  </si>
  <si>
    <t>JPK4V024</t>
  </si>
  <si>
    <t>KARIM NSOULI</t>
  </si>
  <si>
    <t>1947-0</t>
  </si>
  <si>
    <t>JPK4V025</t>
  </si>
  <si>
    <t>MAHMOOD ASSADOLLAH RAHPEIMA</t>
  </si>
  <si>
    <t>1948-0</t>
  </si>
  <si>
    <t>JPK4V026</t>
  </si>
  <si>
    <t>ENAAM ABOUD</t>
  </si>
  <si>
    <t>971|50-6599804</t>
  </si>
  <si>
    <t>1949-0</t>
  </si>
  <si>
    <t>JPK4V027</t>
  </si>
  <si>
    <t>ANIL KUMAR MANGHNANI</t>
  </si>
  <si>
    <t>1950-0</t>
  </si>
  <si>
    <t>JPK4V028</t>
  </si>
  <si>
    <t>MOHAMMAD YOUNIS MOHAMMAD ABU ALHAWA</t>
  </si>
  <si>
    <t>MOHAMED.HAWA@TPMENA.COM</t>
  </si>
  <si>
    <t>971|52-9266668</t>
  </si>
  <si>
    <t>971|529266668</t>
  </si>
  <si>
    <t>1951-0</t>
  </si>
  <si>
    <t>JPK4V029</t>
  </si>
  <si>
    <t>PHILIPPE MATTA</t>
  </si>
  <si>
    <t>philip@hypermedia.ae</t>
  </si>
  <si>
    <t>1952-0</t>
  </si>
  <si>
    <t>JPK4V030</t>
  </si>
  <si>
    <t>1953-0</t>
  </si>
  <si>
    <t>JPK4V031</t>
  </si>
  <si>
    <t>MOHAMED ALI IBRAHIM MOHARRAM</t>
  </si>
  <si>
    <t>1954-0</t>
  </si>
  <si>
    <t>JPK4V032</t>
  </si>
  <si>
    <t>RAVNEET SINGH CHOWDHURY</t>
  </si>
  <si>
    <t>1955-0</t>
  </si>
  <si>
    <t>JPK4V033</t>
  </si>
  <si>
    <t>VISHAMBER MOOLCHANDANI</t>
  </si>
  <si>
    <t>1956-0</t>
  </si>
  <si>
    <t>JPK4V034</t>
  </si>
  <si>
    <t>MAJID AMEER O ALATTABI</t>
  </si>
  <si>
    <t>1957-0</t>
  </si>
  <si>
    <t>JPK4V035</t>
  </si>
  <si>
    <t>SHEETAL RAJAN MIRPURI</t>
  </si>
  <si>
    <t>1958-0</t>
  </si>
  <si>
    <t>JPK4V036</t>
  </si>
  <si>
    <t>BIBI JAMILA ACHAKZAI</t>
  </si>
  <si>
    <t>971|52-7714198</t>
  </si>
  <si>
    <t>1959-0</t>
  </si>
  <si>
    <t>JPK4V037</t>
  </si>
  <si>
    <t>1960-0</t>
  </si>
  <si>
    <t>JPK4V038</t>
  </si>
  <si>
    <t>MANISH KUMAR AGGARWAL RAMESH</t>
  </si>
  <si>
    <t>manish@netlinkin.com</t>
  </si>
  <si>
    <t>971|50-5518947</t>
  </si>
  <si>
    <t>1961-0</t>
  </si>
  <si>
    <t>JPK4V039</t>
  </si>
  <si>
    <t>1962-0</t>
  </si>
  <si>
    <t>JPK4V040</t>
  </si>
  <si>
    <t>TASNEEM KOITA</t>
  </si>
  <si>
    <t>koita22926@rediffmail.com</t>
  </si>
  <si>
    <t>1963-0</t>
  </si>
  <si>
    <t>JPK4V041</t>
  </si>
  <si>
    <t>PURSWANI NAND KUMAR NARAINDAS</t>
  </si>
  <si>
    <t>1964-0</t>
  </si>
  <si>
    <t>JPK4V042</t>
  </si>
  <si>
    <t>YASSER IBRAHIM ADEL ZEINELDIN</t>
  </si>
  <si>
    <t>971|55-2045222</t>
  </si>
  <si>
    <t>971|0552045222</t>
  </si>
  <si>
    <t>1965-0</t>
  </si>
  <si>
    <t>JPK4V043</t>
  </si>
  <si>
    <t>ALIA NAIF AZIZ ALJOMELY</t>
  </si>
  <si>
    <t>971|50-6612660</t>
  </si>
  <si>
    <t>1966-0</t>
  </si>
  <si>
    <t>JPK4V044</t>
  </si>
  <si>
    <t>SUNITA SHARMA</t>
  </si>
  <si>
    <t>sharmashakti@hotmail.com</t>
  </si>
  <si>
    <t>1967-0</t>
  </si>
  <si>
    <t>JPK4V045</t>
  </si>
  <si>
    <t>HUSSEIN FAOUR</t>
  </si>
  <si>
    <t>971|50-4468116</t>
  </si>
  <si>
    <t>971|4468116</t>
  </si>
  <si>
    <t>1968-0</t>
  </si>
  <si>
    <t>JPK4V046</t>
  </si>
  <si>
    <t>HYACINTH JEROME ARANHA</t>
  </si>
  <si>
    <t>3369681-04</t>
  </si>
  <si>
    <t>LATHITIA SHEELA ARANHA</t>
  </si>
  <si>
    <t>1969-0</t>
  </si>
  <si>
    <t>JPL3VS001</t>
  </si>
  <si>
    <t>MOORJANI SUREASH</t>
  </si>
  <si>
    <t>1970-0</t>
  </si>
  <si>
    <t>JPL3VS002</t>
  </si>
  <si>
    <t>LOAY MOHD ABDEL HALIM NASSER</t>
  </si>
  <si>
    <t>971|50-2243665</t>
  </si>
  <si>
    <t>971|0502243665</t>
  </si>
  <si>
    <t>1971-0</t>
  </si>
  <si>
    <t>JPL3VS003</t>
  </si>
  <si>
    <t>YANG ZHAO</t>
  </si>
  <si>
    <t>grace.zhao@bhomes.cim</t>
  </si>
  <si>
    <t>1972-0</t>
  </si>
  <si>
    <t>JPL3VS004</t>
  </si>
  <si>
    <t>MUNIR AHMAD</t>
  </si>
  <si>
    <t>971|528389122</t>
  </si>
  <si>
    <t>LL@HOTMAIL.COM</t>
  </si>
  <si>
    <t>971|52-8389122</t>
  </si>
  <si>
    <t>HUMA MUNIR</t>
  </si>
  <si>
    <t>971|52-6447803</t>
  </si>
  <si>
    <t>1973-0</t>
  </si>
  <si>
    <t>JPL3VS005</t>
  </si>
  <si>
    <t>LUIZ FERNANDO VIEIRA OGG</t>
  </si>
  <si>
    <t>TATIANA SUNASA TEIXEIRA OGG</t>
  </si>
  <si>
    <t>1974-0</t>
  </si>
  <si>
    <t>JPL3VS006</t>
  </si>
  <si>
    <t>RAMA HAFFAR AL CHAMI</t>
  </si>
  <si>
    <t>1975-0</t>
  </si>
  <si>
    <t>JPL3VS007</t>
  </si>
  <si>
    <t>AHMED AL KHAFAJI</t>
  </si>
  <si>
    <t>au.gi@hotmail.co.uk</t>
  </si>
  <si>
    <t>1976-0</t>
  </si>
  <si>
    <t>JPL3VS008</t>
  </si>
  <si>
    <t>RAJESH RAMA BANGERA</t>
  </si>
  <si>
    <t>1977-0</t>
  </si>
  <si>
    <t>JPL3VS009</t>
  </si>
  <si>
    <t>HOUSSAM EL DWEIRI</t>
  </si>
  <si>
    <t>1978-0</t>
  </si>
  <si>
    <t>JPL3VS010</t>
  </si>
  <si>
    <t>LESLIE JOHN D SOUZA</t>
  </si>
  <si>
    <t>971|50-6591839</t>
  </si>
  <si>
    <t>1979-0</t>
  </si>
  <si>
    <t>JPL3VS011</t>
  </si>
  <si>
    <t>FANG LI</t>
  </si>
  <si>
    <t>sunnylee1969@hotmail.com</t>
  </si>
  <si>
    <t>971|50-4542842</t>
  </si>
  <si>
    <t>1980-0</t>
  </si>
  <si>
    <t>JPL3VS012</t>
  </si>
  <si>
    <t>HAISSEM KADDOURA</t>
  </si>
  <si>
    <t>1981-0</t>
  </si>
  <si>
    <t>JPL3VS013</t>
  </si>
  <si>
    <t>KERRYANNE CARTWRIGHT</t>
  </si>
  <si>
    <t>KERRYANNEGLYNN@HOTMAIL.COM</t>
  </si>
  <si>
    <t>971|55-7179262</t>
  </si>
  <si>
    <t>971|557179262</t>
  </si>
  <si>
    <t>SIMON PETER CARTWRIGHT</t>
  </si>
  <si>
    <t>SIMON.CARTWRIGHT@WSP.COM</t>
  </si>
  <si>
    <t>971|55-3284269</t>
  </si>
  <si>
    <t>971|553284269</t>
  </si>
  <si>
    <t>1982-0</t>
  </si>
  <si>
    <t>JPL3VS014</t>
  </si>
  <si>
    <t>SALWA ABBAS F GHAZZAWI</t>
  </si>
  <si>
    <t>971|50-2110444</t>
  </si>
  <si>
    <t>971|0502110444</t>
  </si>
  <si>
    <t>1983-0</t>
  </si>
  <si>
    <t>JPL3VS015</t>
  </si>
  <si>
    <t>HAIDER ABDULRAHMAN KHEDHER AL ZAHAWI</t>
  </si>
  <si>
    <t>haiderkhader@yahoo.co.uk</t>
  </si>
  <si>
    <t>1984-0</t>
  </si>
  <si>
    <t>JPL3VS016</t>
  </si>
  <si>
    <t>NADER K A ALHAMARNA</t>
  </si>
  <si>
    <t>971|55-8030235</t>
  </si>
  <si>
    <t>971|558030235</t>
  </si>
  <si>
    <t>1985-0</t>
  </si>
  <si>
    <t>JPL3VS017</t>
  </si>
  <si>
    <t>SERGEY DIDENKO</t>
  </si>
  <si>
    <t>1986-0</t>
  </si>
  <si>
    <t>JPL3VS018</t>
  </si>
  <si>
    <t>ASHOK KUMAR BHATIA</t>
  </si>
  <si>
    <t>ashok@gmail.com</t>
  </si>
  <si>
    <t>971|55-2217736</t>
  </si>
  <si>
    <t>1987-0</t>
  </si>
  <si>
    <t>JPL4V001</t>
  </si>
  <si>
    <t>RODNEY HOWARD BARRELL</t>
  </si>
  <si>
    <t>COLLEEN MAGUIRE</t>
  </si>
  <si>
    <t>1988-0</t>
  </si>
  <si>
    <t>JPL4V002</t>
  </si>
  <si>
    <t>SIMI SAIHGAL</t>
  </si>
  <si>
    <t>SANDEEP SAIHGAL</t>
  </si>
  <si>
    <t>1989-0</t>
  </si>
  <si>
    <t>JPL4V003</t>
  </si>
  <si>
    <t>DANIEL CHIDIAC</t>
  </si>
  <si>
    <t>971|043418976</t>
  </si>
  <si>
    <t>971|050-4109181</t>
  </si>
  <si>
    <t>971|504109181</t>
  </si>
  <si>
    <t>1990-0</t>
  </si>
  <si>
    <t>JPL4V004</t>
  </si>
  <si>
    <t>NAHEDA M A M ABU HANTASH</t>
  </si>
  <si>
    <t>971|0097150455</t>
  </si>
  <si>
    <t>1991-0</t>
  </si>
  <si>
    <t>JPL4V005</t>
  </si>
  <si>
    <t>1992-0</t>
  </si>
  <si>
    <t>JPL4V006</t>
  </si>
  <si>
    <t>ALI NADER EHSAN MORSHED AKHTAR</t>
  </si>
  <si>
    <t>1993-0</t>
  </si>
  <si>
    <t>JPL4V007</t>
  </si>
  <si>
    <t>MAMOON ABDULLAH ALI OTHMAN</t>
  </si>
  <si>
    <t>MAMOONOTHMAN@YAHOO.COM</t>
  </si>
  <si>
    <t>971|50-1114114</t>
  </si>
  <si>
    <t>1994-0</t>
  </si>
  <si>
    <t>JPL4V008</t>
  </si>
  <si>
    <t>RAJESH RANGNANI</t>
  </si>
  <si>
    <t>MOHD.JALAL@FGB.AE</t>
  </si>
  <si>
    <t>971|50-6449748</t>
  </si>
  <si>
    <t>971|506449748</t>
  </si>
  <si>
    <t>CHANDER PRAKASH RANGNANI</t>
  </si>
  <si>
    <t>971|50-5065980</t>
  </si>
  <si>
    <t>971|506598058</t>
  </si>
  <si>
    <t>1995-0</t>
  </si>
  <si>
    <t>JPL4V009</t>
  </si>
  <si>
    <t>ANSHUL DILIP MEHTA DILIP VADILAL</t>
  </si>
  <si>
    <t>971|50-6408852</t>
  </si>
  <si>
    <t>1996-0</t>
  </si>
  <si>
    <t>JPL4V010</t>
  </si>
  <si>
    <t>SALMAN MUHAMMAD HASSAN</t>
  </si>
  <si>
    <t>salman_sharif73@yahoo.com</t>
  </si>
  <si>
    <t>971|50-5283934</t>
  </si>
  <si>
    <t>1997-0</t>
  </si>
  <si>
    <t>JPL4V011</t>
  </si>
  <si>
    <t>KHALED JALAL F ABBAS</t>
  </si>
  <si>
    <t>971|567443650</t>
  </si>
  <si>
    <t>kjabbas@gmail.com</t>
  </si>
  <si>
    <t>971|56-7443650</t>
  </si>
  <si>
    <t>1998-0</t>
  </si>
  <si>
    <t>JPL4V012</t>
  </si>
  <si>
    <t>IMRAN SALEEM</t>
  </si>
  <si>
    <t>971|50-0504982</t>
  </si>
  <si>
    <t>1999-0</t>
  </si>
  <si>
    <t>JPL4V013</t>
  </si>
  <si>
    <t>MUHAMED KHALED EL SHAMI</t>
  </si>
  <si>
    <t>kelchami@linseaninspection.com</t>
  </si>
  <si>
    <t>971|50-6417253</t>
  </si>
  <si>
    <t>Montenegro</t>
  </si>
  <si>
    <t>2000-0</t>
  </si>
  <si>
    <t>JPL4V014</t>
  </si>
  <si>
    <t>JAFAR BAKER HAIDARY</t>
  </si>
  <si>
    <t>971-50-9115139</t>
  </si>
  <si>
    <t>SANIA HAIDARY</t>
  </si>
  <si>
    <t>2001-0</t>
  </si>
  <si>
    <t>JPL4V015</t>
  </si>
  <si>
    <t>HAMAD RAMZAN KHAWAJA</t>
  </si>
  <si>
    <t>2002-0</t>
  </si>
  <si>
    <t>JPL4V016</t>
  </si>
  <si>
    <t>THAMBAN ELEMBILAN VEETTIL</t>
  </si>
  <si>
    <t>2003-0</t>
  </si>
  <si>
    <t>JPL4V017</t>
  </si>
  <si>
    <t>OMAR ASHFAQUE KHAN</t>
  </si>
  <si>
    <t>971|503156623</t>
  </si>
  <si>
    <t>2004-0</t>
  </si>
  <si>
    <t>JPL4V018</t>
  </si>
  <si>
    <t>SHAFFI UDDIN PERACHA(DXB/V177)</t>
  </si>
  <si>
    <t>2005-0</t>
  </si>
  <si>
    <t>JPL4V019</t>
  </si>
  <si>
    <t>SHABIR MAJID ALI MAHOMED</t>
  </si>
  <si>
    <t>usha@europackaging.co.uk</t>
  </si>
  <si>
    <t>971|50-8511007</t>
  </si>
  <si>
    <t>971|508511007</t>
  </si>
  <si>
    <t>2006-0</t>
  </si>
  <si>
    <t>JPL4V020</t>
  </si>
  <si>
    <t>2007-0</t>
  </si>
  <si>
    <t>JPL4V021</t>
  </si>
  <si>
    <t>TRACEY ANN FENTON</t>
  </si>
  <si>
    <t>2008-0</t>
  </si>
  <si>
    <t>JPL4V022</t>
  </si>
  <si>
    <t>ZIAD HASSEN ALHAJ</t>
  </si>
  <si>
    <t>ziad50@icloud.com</t>
  </si>
  <si>
    <t>971|50-4811806</t>
  </si>
  <si>
    <t>971|504811806</t>
  </si>
  <si>
    <t>2009-0</t>
  </si>
  <si>
    <t>JPL4V023</t>
  </si>
  <si>
    <t>GANY ABDOOL- KARIM</t>
  </si>
  <si>
    <t>971|56-2961463</t>
  </si>
  <si>
    <t>971|0562961463</t>
  </si>
  <si>
    <t>2010-0</t>
  </si>
  <si>
    <t>JPL4V024</t>
  </si>
  <si>
    <t>ATEF TLILI</t>
  </si>
  <si>
    <t>BOUTHEINA KZADRI</t>
  </si>
  <si>
    <t>971|51-0097155</t>
  </si>
  <si>
    <t>2011-0</t>
  </si>
  <si>
    <t>JPL4V025</t>
  </si>
  <si>
    <t>SOMAN RAMACHANDRAN</t>
  </si>
  <si>
    <t>somanrp@emirates.net.ae</t>
  </si>
  <si>
    <t>2012-0</t>
  </si>
  <si>
    <t>JPL4V026</t>
  </si>
  <si>
    <t>PRAJVAL FLORA FERNANDES</t>
  </si>
  <si>
    <t>2013-0</t>
  </si>
  <si>
    <t>JPL4V027</t>
  </si>
  <si>
    <t>MUSTAFA AKRAM MUSTAFA</t>
  </si>
  <si>
    <t>albeer_mustafa@yahoo.ca</t>
  </si>
  <si>
    <t>971|050-7986056</t>
  </si>
  <si>
    <t>971|0507986056</t>
  </si>
  <si>
    <t>2014-0</t>
  </si>
  <si>
    <t>JPL4V028</t>
  </si>
  <si>
    <t>MUHAMMAD SARFARAZ AZAM MUHAMMAD SALAR E AZAM</t>
  </si>
  <si>
    <t>saad601@icloud.com</t>
  </si>
  <si>
    <t>2015-0</t>
  </si>
  <si>
    <t>JPL4V029</t>
  </si>
  <si>
    <t>ABDUL MATEEN JALALZAI (DXB/V2457)</t>
  </si>
  <si>
    <t>2016-0</t>
  </si>
  <si>
    <t>JPL4V030</t>
  </si>
  <si>
    <t>MELLOR LIMITED</t>
  </si>
  <si>
    <t>2017-0</t>
  </si>
  <si>
    <t>JPL4V031</t>
  </si>
  <si>
    <t>MUHAMMAD OWAIS ANSARI</t>
  </si>
  <si>
    <t>2018-0</t>
  </si>
  <si>
    <t>JPL4V032</t>
  </si>
  <si>
    <t>RAKESH ARORA</t>
  </si>
  <si>
    <t>2019-0</t>
  </si>
  <si>
    <t>JPL4V033</t>
  </si>
  <si>
    <t>AMRITA CHOPRA</t>
  </si>
  <si>
    <t>2020-0</t>
  </si>
  <si>
    <t>JPL4V034</t>
  </si>
  <si>
    <t>2021-0</t>
  </si>
  <si>
    <t>JPL4V035</t>
  </si>
  <si>
    <t>NEERAJ KUMAR SRIVASTAVA</t>
  </si>
  <si>
    <t>971|55-9565725</t>
  </si>
  <si>
    <t>971|559565725</t>
  </si>
  <si>
    <t>2022-0</t>
  </si>
  <si>
    <t>JPL4V036</t>
  </si>
  <si>
    <t>NUPUR KUMAR BHOWMIK</t>
  </si>
  <si>
    <t>qw1@hotmail.com</t>
  </si>
  <si>
    <t>971|50-6263086</t>
  </si>
  <si>
    <t>2023-0</t>
  </si>
  <si>
    <t>JPL4V037</t>
  </si>
  <si>
    <t>BIBI FATIMA</t>
  </si>
  <si>
    <t>2024-0</t>
  </si>
  <si>
    <t>JPL4V038</t>
  </si>
  <si>
    <t>BANSIDHAR SAJNANI</t>
  </si>
  <si>
    <t>neeraj@granteq.com</t>
  </si>
  <si>
    <t>971|50-9884625</t>
  </si>
  <si>
    <t>2025-0</t>
  </si>
  <si>
    <t>JPL4V039</t>
  </si>
  <si>
    <t>KISHORE NARAINDAS BHAMBHANI</t>
  </si>
  <si>
    <t>2026-0</t>
  </si>
  <si>
    <t>JPL4V040</t>
  </si>
  <si>
    <t>DINESH PARSHOTTAM SAJNANI</t>
  </si>
  <si>
    <t>971|50-6256298</t>
  </si>
  <si>
    <t>971|6256298</t>
  </si>
  <si>
    <t>2027-0</t>
  </si>
  <si>
    <t>JPL4V041</t>
  </si>
  <si>
    <t>2028-0</t>
  </si>
  <si>
    <t>JPL4V042</t>
  </si>
  <si>
    <t>ZAHIEH AWAD</t>
  </si>
  <si>
    <t>MAHMOUD SALEH AWAD</t>
  </si>
  <si>
    <t>2029-0</t>
  </si>
  <si>
    <t>JPL4V043</t>
  </si>
  <si>
    <t>HARMEEK SINGH CHUGH</t>
  </si>
  <si>
    <t>2030-0</t>
  </si>
  <si>
    <t>JPL4V044</t>
  </si>
  <si>
    <t>NELLY SLEIMAN</t>
  </si>
  <si>
    <t>971|0505516326</t>
  </si>
  <si>
    <t>nelly@gmail.com</t>
  </si>
  <si>
    <t>971|50-5516326</t>
  </si>
  <si>
    <t>2031-0</t>
  </si>
  <si>
    <t>JPL4V045</t>
  </si>
  <si>
    <t>KASHIF SYED</t>
  </si>
  <si>
    <t>M.HERKES@TAYLORWESSING.COM</t>
  </si>
  <si>
    <t>971|50-9507360</t>
  </si>
  <si>
    <t>971|509507360</t>
  </si>
  <si>
    <t>2032-0</t>
  </si>
  <si>
    <t>JPL4V046</t>
  </si>
  <si>
    <t>POPATLAL TOLCHANDJI JAIN</t>
  </si>
  <si>
    <t>INDU POPATLAL JAIN</t>
  </si>
  <si>
    <t>2033-0</t>
  </si>
  <si>
    <t>JPL4V047</t>
  </si>
  <si>
    <t>NISHAIL KHIZAR EDROOS</t>
  </si>
  <si>
    <t>SHELTON XAVIER SACRAF AMILIA</t>
  </si>
  <si>
    <t>2034-0</t>
  </si>
  <si>
    <t>JPL4V048</t>
  </si>
  <si>
    <t>JAYASHREE SIVA SUBRAMANIAN</t>
  </si>
  <si>
    <t>KUNISSERY NARAYANA IYER SIVA SUBRAMANIAN</t>
  </si>
  <si>
    <t>971|55-4492021</t>
  </si>
  <si>
    <t>2035-0</t>
  </si>
  <si>
    <t>JPL4V049</t>
  </si>
  <si>
    <t>ARDALAN OMAR ALI</t>
  </si>
  <si>
    <t>2036-0</t>
  </si>
  <si>
    <t>JPM3VL001</t>
  </si>
  <si>
    <t>FRANCA PAOLA GIURI</t>
  </si>
  <si>
    <t>2037-0</t>
  </si>
  <si>
    <t>JPM3VL002</t>
  </si>
  <si>
    <t>MUSTAFA ABID</t>
  </si>
  <si>
    <t>2038-0</t>
  </si>
  <si>
    <t>JPM3VL003</t>
  </si>
  <si>
    <t>TASNEEM SHAKIL DAUD</t>
  </si>
  <si>
    <t>4203121-04</t>
  </si>
  <si>
    <t>2039-0</t>
  </si>
  <si>
    <t>JPM3VL004</t>
  </si>
  <si>
    <t>ASGAR FAKHRUDDIN FAKHRUDDIN EBRAHIMJI</t>
  </si>
  <si>
    <t>971|44527770</t>
  </si>
  <si>
    <t>customercare@fakhruddin.ae</t>
  </si>
  <si>
    <t>971|55-6002797</t>
  </si>
  <si>
    <t>2040-0</t>
  </si>
  <si>
    <t>JPM3VL005</t>
  </si>
  <si>
    <t>NALIN SINGLA</t>
  </si>
  <si>
    <t>2041-0</t>
  </si>
  <si>
    <t>JPM3VL006</t>
  </si>
  <si>
    <t>HAILEI ZHANG</t>
  </si>
  <si>
    <t>2042-0</t>
  </si>
  <si>
    <t>JPM3VL007</t>
  </si>
  <si>
    <t>AHMED MOHAMED DOCRAT</t>
  </si>
  <si>
    <t>971|50-0501888</t>
  </si>
  <si>
    <t>971|0501888093</t>
  </si>
  <si>
    <t>BHAVISHA SONI</t>
  </si>
  <si>
    <t>2043-0</t>
  </si>
  <si>
    <t>JPM3VL008</t>
  </si>
  <si>
    <t>ROGER GUY GAILLARD</t>
  </si>
  <si>
    <t>971|55-5342336</t>
  </si>
  <si>
    <t>GERALDINE NADINE YVONNE NICOLLE GAILLARD</t>
  </si>
  <si>
    <t>971|55-4636000</t>
  </si>
  <si>
    <t>41|0</t>
  </si>
  <si>
    <t>2044-0</t>
  </si>
  <si>
    <t>JPM3VL009</t>
  </si>
  <si>
    <t>PREECHA NARULA</t>
  </si>
  <si>
    <t>Thailand</t>
  </si>
  <si>
    <t>2045-0</t>
  </si>
  <si>
    <t>JPM3VL010</t>
  </si>
  <si>
    <t>ALEXANDRA BALAFA</t>
  </si>
  <si>
    <t>DSTOGIA@GMAIL.COM</t>
  </si>
  <si>
    <t>DIMOSTHENIS STOGIANNIDIS</t>
  </si>
  <si>
    <t>2046-0</t>
  </si>
  <si>
    <t>JPM3VL011</t>
  </si>
  <si>
    <t>THOMAS KARL GOMOLSKY</t>
  </si>
  <si>
    <t>971|50-5525075</t>
  </si>
  <si>
    <t>971|05525075</t>
  </si>
  <si>
    <t>2047-0</t>
  </si>
  <si>
    <t>JPM3VL012</t>
  </si>
  <si>
    <t>MARGARITA AVDEEVA</t>
  </si>
  <si>
    <t>971|0553039666</t>
  </si>
  <si>
    <t>ahmadkhoury@gmail.com</t>
  </si>
  <si>
    <t>971|55-3039666</t>
  </si>
  <si>
    <t>971|505526109</t>
  </si>
  <si>
    <t>2048-0</t>
  </si>
  <si>
    <t>JPM3VL013</t>
  </si>
  <si>
    <t>SHAKER FAREED ABDULRAHMAN ZAINAL KARMASTAJI</t>
  </si>
  <si>
    <t>971|507787789</t>
  </si>
  <si>
    <t>shakerzainal@hotmail.com</t>
  </si>
  <si>
    <t>971|50-7787789</t>
  </si>
  <si>
    <t>2049-0</t>
  </si>
  <si>
    <t>JPM3VL014</t>
  </si>
  <si>
    <t>BAHMAN ABEDINI ABKHARE</t>
  </si>
  <si>
    <t>8818918-04</t>
  </si>
  <si>
    <t>2050-0</t>
  </si>
  <si>
    <t>JPM3VL015</t>
  </si>
  <si>
    <t>MUNEEBA KAYANI</t>
  </si>
  <si>
    <t>2051-0</t>
  </si>
  <si>
    <t>JPM3VL016</t>
  </si>
  <si>
    <t>AHMAD KHALFAN KHARBASH ALMARRI</t>
  </si>
  <si>
    <t>2052-0</t>
  </si>
  <si>
    <t>JPM3VL017</t>
  </si>
  <si>
    <t>AGNEL JULIAN DSOUZA</t>
  </si>
  <si>
    <t>2053-0</t>
  </si>
  <si>
    <t>JPM3VL018</t>
  </si>
  <si>
    <t>HAMID MAZAHERI</t>
  </si>
  <si>
    <t>LEILA MAZAHERI</t>
  </si>
  <si>
    <t>2054-0</t>
  </si>
  <si>
    <t>JPM3VL019</t>
  </si>
  <si>
    <t>ANDREW JAMES DEAN</t>
  </si>
  <si>
    <t>2055-0</t>
  </si>
  <si>
    <t>JPM3VL020</t>
  </si>
  <si>
    <t>QASIM ALI ASLAM</t>
  </si>
  <si>
    <t>2056-0</t>
  </si>
  <si>
    <t>JPM3VL021</t>
  </si>
  <si>
    <t>AMMAR M SH AL TAHER</t>
  </si>
  <si>
    <t>2057-0</t>
  </si>
  <si>
    <t>JPM3VL022</t>
  </si>
  <si>
    <t>HUSSAM ELDIN SAMI BAGH</t>
  </si>
  <si>
    <t>2058-0</t>
  </si>
  <si>
    <t>JPM3VL023</t>
  </si>
  <si>
    <t>2059-0</t>
  </si>
  <si>
    <t>JPM3VL024</t>
  </si>
  <si>
    <t>CHRISTIAN BLACKALLER RETAMOZA</t>
  </si>
  <si>
    <t>Mexico</t>
  </si>
  <si>
    <t>IMAD ANTOINE CHUKRALLAH</t>
  </si>
  <si>
    <t>2060-0</t>
  </si>
  <si>
    <t>JPM3VL025</t>
  </si>
  <si>
    <t>2061-0</t>
  </si>
  <si>
    <t>JPM3VL026</t>
  </si>
  <si>
    <t>ZIAD YAGHI</t>
  </si>
  <si>
    <t>2062-0</t>
  </si>
  <si>
    <t>JPM3VL027</t>
  </si>
  <si>
    <t>HEMANT KALWANI</t>
  </si>
  <si>
    <t>FOLBORNO@HOTMAIL.COM</t>
  </si>
  <si>
    <t>971|50-0506502</t>
  </si>
  <si>
    <t>971|0506502508</t>
  </si>
  <si>
    <t>2063-0</t>
  </si>
  <si>
    <t>JPM3VL028</t>
  </si>
  <si>
    <t>RAHMAN HUSSAIN</t>
  </si>
  <si>
    <t>2064-0</t>
  </si>
  <si>
    <t>JPM3VL029</t>
  </si>
  <si>
    <t>KHALID AHMED QASEM AL KHATIB</t>
  </si>
  <si>
    <t>971|0506511983</t>
  </si>
  <si>
    <t>khalid@naffco.com</t>
  </si>
  <si>
    <t>971|50-6511983</t>
  </si>
  <si>
    <t>971|506511983</t>
  </si>
  <si>
    <t>2065-0</t>
  </si>
  <si>
    <t>JPM3VL030</t>
  </si>
  <si>
    <t>NAVAL KUMAR VOHRA</t>
  </si>
  <si>
    <t>naval.vohra@hotmail.com</t>
  </si>
  <si>
    <t>2066-0</t>
  </si>
  <si>
    <t>JPM3VL031</t>
  </si>
  <si>
    <t>ABBAS AL SAADOON</t>
  </si>
  <si>
    <t>2067-0</t>
  </si>
  <si>
    <t>JPM3VL032</t>
  </si>
  <si>
    <t>2068-0</t>
  </si>
  <si>
    <t>JPM3VL033</t>
  </si>
  <si>
    <t>OMER ELSHAIKH SID AHMED ELSHAIKH</t>
  </si>
  <si>
    <t>2069-0</t>
  </si>
  <si>
    <t>JPM3VL034</t>
  </si>
  <si>
    <t>LOUAY MOHAMMED MAHMOUD KHATIB</t>
  </si>
  <si>
    <t>lkhatib67@gmail.com</t>
  </si>
  <si>
    <t>2070-0</t>
  </si>
  <si>
    <t>JPM3VL035</t>
  </si>
  <si>
    <t>ZIAD MOHAMMED ABDO</t>
  </si>
  <si>
    <t>MIRA ABED RABBO</t>
  </si>
  <si>
    <t>2071-0</t>
  </si>
  <si>
    <t>JPM3VL036</t>
  </si>
  <si>
    <t>2072-0</t>
  </si>
  <si>
    <t>JPM3VL037</t>
  </si>
  <si>
    <t>DOUGLAS GORDON WADE</t>
  </si>
  <si>
    <t>2073-0</t>
  </si>
  <si>
    <t>JPM3VL038</t>
  </si>
  <si>
    <t>2074-0</t>
  </si>
  <si>
    <t>JPM3VL039</t>
  </si>
  <si>
    <t>EUGENE THOMAS JOSEPH LEO</t>
  </si>
  <si>
    <t>MARY JOSEPHINE SHALINI EUGENE</t>
  </si>
  <si>
    <t>2075-0</t>
  </si>
  <si>
    <t>JPM3VL040</t>
  </si>
  <si>
    <t>LOUAY GHANDOUR</t>
  </si>
  <si>
    <t>2076-0</t>
  </si>
  <si>
    <t>JPM3VL041</t>
  </si>
  <si>
    <t>RIYAS MOHAMMED KUNJI</t>
  </si>
  <si>
    <t>971|5461036</t>
  </si>
  <si>
    <t>971|55-5461036</t>
  </si>
  <si>
    <t>2077-0</t>
  </si>
  <si>
    <t>JPM3VL042</t>
  </si>
  <si>
    <t>SAMI ALI ABDEL RAHMAN ABDELSALAM</t>
  </si>
  <si>
    <t>2078-0</t>
  </si>
  <si>
    <t>JPM3VL043</t>
  </si>
  <si>
    <t>MANSOOR JOKHIO INAYATULLAH JOKHIO</t>
  </si>
  <si>
    <t>971|505566153</t>
  </si>
  <si>
    <t>2079-0</t>
  </si>
  <si>
    <t>JPM3VL044</t>
  </si>
  <si>
    <t>ABDUL RASHEED CHUGHTAI MUHAMMAD SHARIF</t>
  </si>
  <si>
    <t>971|55-7670575</t>
  </si>
  <si>
    <t>971|557670575</t>
  </si>
  <si>
    <t>2080-0</t>
  </si>
  <si>
    <t>JPM3VL045</t>
  </si>
  <si>
    <t>KAUSTUBH HARI KANADE</t>
  </si>
  <si>
    <t>971|50-6563476</t>
  </si>
  <si>
    <t>971|0506563476</t>
  </si>
  <si>
    <t>2081-0</t>
  </si>
  <si>
    <t>JPM3VL046</t>
  </si>
  <si>
    <t>2082-0</t>
  </si>
  <si>
    <t>JPM3VL047</t>
  </si>
  <si>
    <t>SABRA MAJID MOHAMMED ALI FADHIL</t>
  </si>
  <si>
    <t>2083-0</t>
  </si>
  <si>
    <t>JPM3VL048</t>
  </si>
  <si>
    <t>MEHRAN ABDOLREZA KHODADADI</t>
  </si>
  <si>
    <t>04-2276331</t>
  </si>
  <si>
    <t>050-6253475</t>
  </si>
  <si>
    <t>2084-0</t>
  </si>
  <si>
    <t>JPM3VL049</t>
  </si>
  <si>
    <t>MEHDI ABDOLREZA KHODADADI</t>
  </si>
  <si>
    <t>none</t>
  </si>
  <si>
    <t>2085-0</t>
  </si>
  <si>
    <t>JPM3VL050</t>
  </si>
  <si>
    <t>MICHEL NASSOUR</t>
  </si>
  <si>
    <t>2086-0</t>
  </si>
  <si>
    <t>JPM3VS001</t>
  </si>
  <si>
    <t>2087-0</t>
  </si>
  <si>
    <t>JPM3VS002</t>
  </si>
  <si>
    <t>PARDEEP KUMAR MITTAL</t>
  </si>
  <si>
    <t>971|50-2822792</t>
  </si>
  <si>
    <t>971|0506565175</t>
  </si>
  <si>
    <t>2088-0</t>
  </si>
  <si>
    <t>JPM3VS003</t>
  </si>
  <si>
    <t>MASOUD MOHAMMAD ZAMINPAIMA</t>
  </si>
  <si>
    <t>971|0506455091</t>
  </si>
  <si>
    <t>971|50-6455091</t>
  </si>
  <si>
    <t>971|506455091</t>
  </si>
  <si>
    <t>2089-0</t>
  </si>
  <si>
    <t>JPM3VS004</t>
  </si>
  <si>
    <t>ARINDAM CHAKRABARTY</t>
  </si>
  <si>
    <t>2090-0</t>
  </si>
  <si>
    <t>JPM3VS005</t>
  </si>
  <si>
    <t>AHMAD OMAR DAOUD ABADI</t>
  </si>
  <si>
    <t>aabbadi@emsmobile.com</t>
  </si>
  <si>
    <t>2091-0</t>
  </si>
  <si>
    <t>JPM3VS006</t>
  </si>
  <si>
    <t>ADHAM NABIL YACOUB ELSHARKAWY</t>
  </si>
  <si>
    <t>971|50-0557008</t>
  </si>
  <si>
    <t>2092-0</t>
  </si>
  <si>
    <t>JPM3VS007</t>
  </si>
  <si>
    <t>MOHAMMAD EZATOLAH ASSADI HANDJANI</t>
  </si>
  <si>
    <t>2093-0</t>
  </si>
  <si>
    <t>JPM3VS008</t>
  </si>
  <si>
    <t>NYM ASSOCIATES LIMITED</t>
  </si>
  <si>
    <t>2094-0</t>
  </si>
  <si>
    <t>JPM3VS009</t>
  </si>
  <si>
    <t>ALI AHMED ABDULRAZZAQ ALFAYADH</t>
  </si>
  <si>
    <t>af1110@hotmail.com</t>
  </si>
  <si>
    <t>2095-0</t>
  </si>
  <si>
    <t>JPM3VS010</t>
  </si>
  <si>
    <t>SADIA NAEEM MEHER</t>
  </si>
  <si>
    <t>2096-0</t>
  </si>
  <si>
    <t>JPM3VS011</t>
  </si>
  <si>
    <t>UMAIR SALEEM</t>
  </si>
  <si>
    <t>2097-0</t>
  </si>
  <si>
    <t>JPM3VS012</t>
  </si>
  <si>
    <t>SALEM ELIA SALEM ABU MANNEH</t>
  </si>
  <si>
    <t>2098-0</t>
  </si>
  <si>
    <t>JPM3VS013</t>
  </si>
  <si>
    <t>NILESH KUMAR NAWAL MEGHJI VED</t>
  </si>
  <si>
    <t>NILESH_VED@APPARELUAE.COM</t>
  </si>
  <si>
    <t>971|55-6584264</t>
  </si>
  <si>
    <t>2099-0</t>
  </si>
  <si>
    <t>JPM3VS014</t>
  </si>
  <si>
    <t>AHAMED JALALUDEEN JAHUBER KAMAL</t>
  </si>
  <si>
    <t>971|50-6255318</t>
  </si>
  <si>
    <t>971|0506255318</t>
  </si>
  <si>
    <t>2100-0</t>
  </si>
  <si>
    <t>JPM3VS015</t>
  </si>
  <si>
    <t>SAQIB HUSSAIN RAI RIAZ HUSSAIN</t>
  </si>
  <si>
    <t>971|056-5366405</t>
  </si>
  <si>
    <t>971|565366405</t>
  </si>
  <si>
    <t>2101-0</t>
  </si>
  <si>
    <t>JPM3VS016</t>
  </si>
  <si>
    <t>CHRISTIANS CRUZ</t>
  </si>
  <si>
    <t>CARLA CRISTINA JADAN BAEZA</t>
  </si>
  <si>
    <t>Ecuador</t>
  </si>
  <si>
    <t>2102-0</t>
  </si>
  <si>
    <t>JPM3VS017</t>
  </si>
  <si>
    <t>ELIAS JEAN YAACOUB</t>
  </si>
  <si>
    <t>2103-0</t>
  </si>
  <si>
    <t>JPM3VS018</t>
  </si>
  <si>
    <t>ANEESA PATEL</t>
  </si>
  <si>
    <t>rafik@gmfx.co.uk</t>
  </si>
  <si>
    <t>971|50-00000</t>
  </si>
  <si>
    <t>971|0000</t>
  </si>
  <si>
    <t>2104-0</t>
  </si>
  <si>
    <t>JPM3VS019</t>
  </si>
  <si>
    <t>ANITA SHETTY</t>
  </si>
  <si>
    <t>DAYANAND SHETTY</t>
  </si>
  <si>
    <t>2105-0</t>
  </si>
  <si>
    <t>JPM3VS020</t>
  </si>
  <si>
    <t>2106-0</t>
  </si>
  <si>
    <t>JPM3VS021</t>
  </si>
  <si>
    <t>2107-0</t>
  </si>
  <si>
    <t>JPM3VS022</t>
  </si>
  <si>
    <t>FAHIMEH ABDOLLAH ZAMIN PEYMA</t>
  </si>
  <si>
    <t>2108-0</t>
  </si>
  <si>
    <t>JPM3VS023</t>
  </si>
  <si>
    <t>PIA NAG</t>
  </si>
  <si>
    <t>PROSENJIT NAG</t>
  </si>
  <si>
    <t>2109-0</t>
  </si>
  <si>
    <t>JPM3VS024</t>
  </si>
  <si>
    <t>TALAL JONDI</t>
  </si>
  <si>
    <t>3434747-04</t>
  </si>
  <si>
    <t>2110-0</t>
  </si>
  <si>
    <t>JPM3VS025</t>
  </si>
  <si>
    <t>RASHA M DIB ABOU NAYEF</t>
  </si>
  <si>
    <t>A@HOTMAIL.COM</t>
  </si>
  <si>
    <t>971|50-5501114</t>
  </si>
  <si>
    <t>2111-0</t>
  </si>
  <si>
    <t>JPM3VS026</t>
  </si>
  <si>
    <t>MUTAZ HASSAN ALSET</t>
  </si>
  <si>
    <t>2112-0</t>
  </si>
  <si>
    <t>JPM3VS027</t>
  </si>
  <si>
    <t>HUSSAIN MUSTAFA SYED AFTAB HAIDER</t>
  </si>
  <si>
    <t>2113-0</t>
  </si>
  <si>
    <t>JPM3VS028</t>
  </si>
  <si>
    <t>ROBERT ZBIGNIEW BUCIOR</t>
  </si>
  <si>
    <t>nqumri@emaar.ae</t>
  </si>
  <si>
    <t>971|50-0504541</t>
  </si>
  <si>
    <t>Poland</t>
  </si>
  <si>
    <t>2114-0</t>
  </si>
  <si>
    <t>JPM3VS029</t>
  </si>
  <si>
    <t>MOHAMAD MUTASEM SHARAF</t>
  </si>
  <si>
    <t>2115-0</t>
  </si>
  <si>
    <t>JPM3VS030</t>
  </si>
  <si>
    <t>SANDY MOHAMMED MEHMOOD AUDI</t>
  </si>
  <si>
    <t>971|50-1154449</t>
  </si>
  <si>
    <t>2116-0</t>
  </si>
  <si>
    <t>JPM3VS031</t>
  </si>
  <si>
    <t>EL MEHDI ZIYAT</t>
  </si>
  <si>
    <t>HASNAA KEBOURI</t>
  </si>
  <si>
    <t>hasnaa.kebouri@tec.gov.ae</t>
  </si>
  <si>
    <t>971|51-0506552</t>
  </si>
  <si>
    <t>971|0044783353</t>
  </si>
  <si>
    <t>2117-0</t>
  </si>
  <si>
    <t>JPM3VS032</t>
  </si>
  <si>
    <t>SRIPRIYAA KUMARIA</t>
  </si>
  <si>
    <t>2118-0</t>
  </si>
  <si>
    <t>JPM3VS033</t>
  </si>
  <si>
    <t>RODNEY GARRY GILBODY</t>
  </si>
  <si>
    <t>2119-0</t>
  </si>
  <si>
    <t>JPM3VS034</t>
  </si>
  <si>
    <t>2120-0</t>
  </si>
  <si>
    <t>JPM3VS035</t>
  </si>
  <si>
    <t>2121-0</t>
  </si>
  <si>
    <t>JPM3VS036</t>
  </si>
  <si>
    <t>MAZDAK ZAMINPAIMA</t>
  </si>
  <si>
    <t>971|52-9251919</t>
  </si>
  <si>
    <t>971|9251919</t>
  </si>
  <si>
    <t>2122-0</t>
  </si>
  <si>
    <t>JPM3VS037</t>
  </si>
  <si>
    <t>ASIF ISMAIL RAJWANI</t>
  </si>
  <si>
    <t>2123-0</t>
  </si>
  <si>
    <t>JPM3VS038</t>
  </si>
  <si>
    <t>LOUAY IBRAHIM MARCHOUD</t>
  </si>
  <si>
    <t>HIBA HANNOUSH</t>
  </si>
  <si>
    <t>2124-0</t>
  </si>
  <si>
    <t>JPM3VS039</t>
  </si>
  <si>
    <t>ALI MOHAMMAD MALHOOZ</t>
  </si>
  <si>
    <t>2125-0</t>
  </si>
  <si>
    <t>JPM3VS040</t>
  </si>
  <si>
    <t>2126-0</t>
  </si>
  <si>
    <t>JPM3VS041</t>
  </si>
  <si>
    <t>SAYED SAJJID SADIQ</t>
  </si>
  <si>
    <t>2127-0</t>
  </si>
  <si>
    <t>JPM3VS042</t>
  </si>
  <si>
    <t>NASSER INVESTMENTS L.L.C</t>
  </si>
  <si>
    <t>971-4-4298000</t>
  </si>
  <si>
    <t>2128-0</t>
  </si>
  <si>
    <t>JPM3VS043</t>
  </si>
  <si>
    <t>ALI IMRAN MUHAMMAD ALI</t>
  </si>
  <si>
    <t>ali.imran@tamweel.ae</t>
  </si>
  <si>
    <t>971|50-4600720</t>
  </si>
  <si>
    <t>971|504600720</t>
  </si>
  <si>
    <t>2129-0</t>
  </si>
  <si>
    <t>JPM3VS044</t>
  </si>
  <si>
    <t>EMAD KAMAL MUHSIN JAWAD SAJWANI</t>
  </si>
  <si>
    <t>emad@firstavenue.ae</t>
  </si>
  <si>
    <t>971|4568288</t>
  </si>
  <si>
    <t>2130-0</t>
  </si>
  <si>
    <t>JPM3VS045</t>
  </si>
  <si>
    <t>2131-0</t>
  </si>
  <si>
    <t>JPM3VS046</t>
  </si>
  <si>
    <t>SEDIGHEH ZAINAL PIRZAD</t>
  </si>
  <si>
    <t>2132-0</t>
  </si>
  <si>
    <t>JPM3VS047</t>
  </si>
  <si>
    <t>ABDULRAHMAN MOHAMMED F ALTHEHAIBAN</t>
  </si>
  <si>
    <t>2133-0</t>
  </si>
  <si>
    <t>JPM3VS048</t>
  </si>
  <si>
    <t>KASHIF MEHMOOD CHAUDHRY ZAHIR AHMED CHAUDHRY</t>
  </si>
  <si>
    <t>123@GMAIL.COM</t>
  </si>
  <si>
    <t>2134-0</t>
  </si>
  <si>
    <t>JPM3VS049</t>
  </si>
  <si>
    <t>SHAFFI UDDIN PERACHA</t>
  </si>
  <si>
    <t>2135-0</t>
  </si>
  <si>
    <t>JPM3VS050</t>
  </si>
  <si>
    <t>MOHAMMAD IBRAHEEM KHAN</t>
  </si>
  <si>
    <t>971|50-6448439</t>
  </si>
  <si>
    <t>2136-0</t>
  </si>
  <si>
    <t>JPM3VS051</t>
  </si>
  <si>
    <t>MANOHAR MOHANLAL LAHORI</t>
  </si>
  <si>
    <t>arman@aeontrisl.com</t>
  </si>
  <si>
    <t>971|55-7455776</t>
  </si>
  <si>
    <t>971|5567683</t>
  </si>
  <si>
    <t>2137-0</t>
  </si>
  <si>
    <t>JPM3VS052</t>
  </si>
  <si>
    <t>TERENCE MARADONA CARDOZ</t>
  </si>
  <si>
    <t>2138-0</t>
  </si>
  <si>
    <t>JPM3VS053</t>
  </si>
  <si>
    <t>MINA SAYED ALEF SHAH</t>
  </si>
  <si>
    <t>971|50-5088971</t>
  </si>
  <si>
    <t>971|5088971</t>
  </si>
  <si>
    <t>2139-0</t>
  </si>
  <si>
    <t>JPM3VS054</t>
  </si>
  <si>
    <t>AQEEL MAHMOOD MAJEED AL BAYATI</t>
  </si>
  <si>
    <t>2140-0</t>
  </si>
  <si>
    <t>JPM3VS055</t>
  </si>
  <si>
    <t>SOODABEH MOHAMMADJAFAR HATAMI</t>
  </si>
  <si>
    <t>2141-0</t>
  </si>
  <si>
    <t>JPM3VS056</t>
  </si>
  <si>
    <t>ASHIMA PANDEY SHUKLA</t>
  </si>
  <si>
    <t>971|50-3957278</t>
  </si>
  <si>
    <t>971|503957278</t>
  </si>
  <si>
    <t>2142-0</t>
  </si>
  <si>
    <t>JPM3VS057</t>
  </si>
  <si>
    <t>2143-0</t>
  </si>
  <si>
    <t>JPM3VS058</t>
  </si>
  <si>
    <t>MAI MOHAMMAD FATHI SULAIMAN YOUNES ALSAABI</t>
  </si>
  <si>
    <t>971|50-6555763</t>
  </si>
  <si>
    <t>971|506555763</t>
  </si>
  <si>
    <t>2144-0</t>
  </si>
  <si>
    <t>JPM3VS059</t>
  </si>
  <si>
    <t>ZINEB CHAMI</t>
  </si>
  <si>
    <t>ANAS SRAIRI</t>
  </si>
  <si>
    <t>2145-0</t>
  </si>
  <si>
    <t>JPM3VS060</t>
  </si>
  <si>
    <t>ABBAS DANEH PASH NOSRATOLLAH</t>
  </si>
  <si>
    <t>2146-0</t>
  </si>
  <si>
    <t>JPM3VS061</t>
  </si>
  <si>
    <t>CLAUDIA PHOEBE MITCHAM</t>
  </si>
  <si>
    <t>DAVID JONATHAN MITCHAM</t>
  </si>
  <si>
    <t>2147-0</t>
  </si>
  <si>
    <t>JPM3VS062</t>
  </si>
  <si>
    <t>SUZANNE VICTORIA LUCY GANDY</t>
  </si>
  <si>
    <t>971|50-5394409</t>
  </si>
  <si>
    <t>971|505394409</t>
  </si>
  <si>
    <t>2148-0</t>
  </si>
  <si>
    <t>JPM4V001</t>
  </si>
  <si>
    <t>SUNIL HIRANAND RAMCHANDANI</t>
  </si>
  <si>
    <t>2149-0</t>
  </si>
  <si>
    <t>JPM4V002</t>
  </si>
  <si>
    <t>MOHAMMED FAYYAZ SHAFIQ RANA MUHAMMAD SHAFIQ</t>
  </si>
  <si>
    <t>971|55-6778666</t>
  </si>
  <si>
    <t>2150-0</t>
  </si>
  <si>
    <t>JPM4V003</t>
  </si>
  <si>
    <t>2151-0</t>
  </si>
  <si>
    <t>JPM4V004</t>
  </si>
  <si>
    <t>MUHAMMAD HARRIS BILAL MUHAMMAD SHAFIQUE</t>
  </si>
  <si>
    <t>971|55-5786668</t>
  </si>
  <si>
    <t>971|55786668</t>
  </si>
  <si>
    <t>2152-0</t>
  </si>
  <si>
    <t>JPM4V005</t>
  </si>
  <si>
    <t>SHUBHA CHOUDHA ANAND CHOUDHA</t>
  </si>
  <si>
    <t>ANAND CHOUDHA</t>
  </si>
  <si>
    <t>2153-0</t>
  </si>
  <si>
    <t>JPM4V006</t>
  </si>
  <si>
    <t>KISHAN GIRISHBHAI BATAVIA</t>
  </si>
  <si>
    <t>kishan@synergygroup.ae</t>
  </si>
  <si>
    <t>2158-0</t>
  </si>
  <si>
    <t>JPO3VL009</t>
  </si>
  <si>
    <t>SHERIF MOHAMED AHMED ABDEL RAZEK</t>
  </si>
  <si>
    <t>INGY MOHAMED TYSIR MOHAMED ALY ELRIFAI</t>
  </si>
  <si>
    <t>2159-0</t>
  </si>
  <si>
    <t>JPO3VL010</t>
  </si>
  <si>
    <t>MINI VALSA KUMAR KADAMBATH BALAKRISHNAN NAIR</t>
  </si>
  <si>
    <t>KUNNAMBATH VALSA KUMAR</t>
  </si>
  <si>
    <t>2160-0</t>
  </si>
  <si>
    <t>JPO3VL011</t>
  </si>
  <si>
    <t>RANA ABDUL KARIM ASKOUL</t>
  </si>
  <si>
    <t>TARIQ SHEHADEH ELTITI</t>
  </si>
  <si>
    <t>2161-0</t>
  </si>
  <si>
    <t>JPO3VL012</t>
  </si>
  <si>
    <t>MANAL ZEINEDDINE HIJAZI</t>
  </si>
  <si>
    <t>WISSAM MOHAMAD JAMAL HAWASSLI</t>
  </si>
  <si>
    <t>2162-0</t>
  </si>
  <si>
    <t>JPO3VL013</t>
  </si>
  <si>
    <t>AKHIL MAHESH</t>
  </si>
  <si>
    <t>2163-0</t>
  </si>
  <si>
    <t>JPO3VL014</t>
  </si>
  <si>
    <t>RAYAS ALI VALIYAKATH PADINJARIL</t>
  </si>
  <si>
    <t>2164-0</t>
  </si>
  <si>
    <t>JPO3VL015</t>
  </si>
  <si>
    <t>MAZIN NAJEEB MOHAMMED ALI</t>
  </si>
  <si>
    <t>971|50-2060099</t>
  </si>
  <si>
    <t>971|0502060099</t>
  </si>
  <si>
    <t>2165-0</t>
  </si>
  <si>
    <t>JPO3VL016</t>
  </si>
  <si>
    <t>MEDIYA MOHAMMAD SUROOR BIN HADI</t>
  </si>
  <si>
    <t>971|50-0507708</t>
  </si>
  <si>
    <t>2166-0</t>
  </si>
  <si>
    <t>JPO3VL017</t>
  </si>
  <si>
    <t>SHABAN TAHA ABDUL HAMED AL AHMAD</t>
  </si>
  <si>
    <t>2167-0</t>
  </si>
  <si>
    <t>JPO3VL018</t>
  </si>
  <si>
    <t>SARDOR YULDASHEV</t>
  </si>
  <si>
    <t>2168-0</t>
  </si>
  <si>
    <t>JPO3VL019</t>
  </si>
  <si>
    <t>SHEIKH MOHAMMAD ZAHID</t>
  </si>
  <si>
    <t>TAYYAB1974@GMAIL.COM</t>
  </si>
  <si>
    <t>971|50-7953436</t>
  </si>
  <si>
    <t>971|506858869</t>
  </si>
  <si>
    <t>2169-0</t>
  </si>
  <si>
    <t>JPO3VL020</t>
  </si>
  <si>
    <t>SHADAN ABDULKAREEM FARHAN</t>
  </si>
  <si>
    <t>2170-0</t>
  </si>
  <si>
    <t>JPO3VL021</t>
  </si>
  <si>
    <t>MUAWIEH A R O SAFARINI</t>
  </si>
  <si>
    <t>971|42887335</t>
  </si>
  <si>
    <t>971|50-6599593</t>
  </si>
  <si>
    <t>971|506599593</t>
  </si>
  <si>
    <t>2171-0</t>
  </si>
  <si>
    <t>JPO3VL022</t>
  </si>
  <si>
    <t>2172-0</t>
  </si>
  <si>
    <t>JPO3VL023</t>
  </si>
  <si>
    <t>VASUDEV OMPRAKASH SHARMA</t>
  </si>
  <si>
    <t>2173-0</t>
  </si>
  <si>
    <t>JPO3VL024</t>
  </si>
  <si>
    <t>2174-0</t>
  </si>
  <si>
    <t>JPO3VL025</t>
  </si>
  <si>
    <t>2175-0</t>
  </si>
  <si>
    <t>JPO3VL026</t>
  </si>
  <si>
    <t>2176-0</t>
  </si>
  <si>
    <t>JPO3VL027</t>
  </si>
  <si>
    <t>GUY GRELAUD</t>
  </si>
  <si>
    <t>2177-0</t>
  </si>
  <si>
    <t>JPO3VL028</t>
  </si>
  <si>
    <t>KHADIJEH SERAJEDDIN GHAZIZAHEDI</t>
  </si>
  <si>
    <t>2178-0</t>
  </si>
  <si>
    <t>JPO3VL029</t>
  </si>
  <si>
    <t>STEPHEN KEITH THOMPSON</t>
  </si>
  <si>
    <t>971|50-2113289</t>
  </si>
  <si>
    <t>971|502113289</t>
  </si>
  <si>
    <t>2179-0</t>
  </si>
  <si>
    <t>JPO3VL030</t>
  </si>
  <si>
    <t>SANAA TAZI MZAALEK</t>
  </si>
  <si>
    <t>HICHAM ALJ</t>
  </si>
  <si>
    <t>2180-0</t>
  </si>
  <si>
    <t>JPO3VL031</t>
  </si>
  <si>
    <t>SONAL AMIT SODHA</t>
  </si>
  <si>
    <t>2181-0</t>
  </si>
  <si>
    <t>JPO3VL032</t>
  </si>
  <si>
    <t>MARY MONIR SHAFIK GHOBRIAL</t>
  </si>
  <si>
    <t>2182-0</t>
  </si>
  <si>
    <t>JPO3VL033</t>
  </si>
  <si>
    <t>JORAWAR SINGH TIRATH SINGH</t>
  </si>
  <si>
    <t>2183-0</t>
  </si>
  <si>
    <t>JPO3VL034</t>
  </si>
  <si>
    <t>MAY MAHMOUD SAMY HAFEZ IBRAHIM</t>
  </si>
  <si>
    <t>2184-0</t>
  </si>
  <si>
    <t>JPO3VL035</t>
  </si>
  <si>
    <t>2185-0</t>
  </si>
  <si>
    <t>JPO3VL036</t>
  </si>
  <si>
    <t>AHMED NAZAR HAMEED AL HAMADANI</t>
  </si>
  <si>
    <t>2186-0</t>
  </si>
  <si>
    <t>JPO3VL037</t>
  </si>
  <si>
    <t>AFRAH N S S AL OSSAIMI</t>
  </si>
  <si>
    <t>2187-0</t>
  </si>
  <si>
    <t>JPO3VL038</t>
  </si>
  <si>
    <t>ZIA ULLAH DAR MUHAMMAD ABDULLAH DAR</t>
  </si>
  <si>
    <t>971|55-5528993</t>
  </si>
  <si>
    <t>2188-0</t>
  </si>
  <si>
    <t>JPO3VL039</t>
  </si>
  <si>
    <t>OMAR AMIN</t>
  </si>
  <si>
    <t>2189-0</t>
  </si>
  <si>
    <t>JPO3VL040</t>
  </si>
  <si>
    <t>KHALID AHMED MOHAMED ELHAG</t>
  </si>
  <si>
    <t>2190-0</t>
  </si>
  <si>
    <t>JPO3VL041</t>
  </si>
  <si>
    <t>SALAH MAHDI SANDEL AL RUBAYE</t>
  </si>
  <si>
    <t>smrubaie@emirates.net.ae</t>
  </si>
  <si>
    <t>971|50-6527020</t>
  </si>
  <si>
    <t>2191-0</t>
  </si>
  <si>
    <t>JPO3VL042</t>
  </si>
  <si>
    <t>DEEPANITA ENDOW</t>
  </si>
  <si>
    <t>2192-0</t>
  </si>
  <si>
    <t>JPO3VL043</t>
  </si>
  <si>
    <t>MEHMAN GOJAYEV</t>
  </si>
  <si>
    <t>Azerbaijan</t>
  </si>
  <si>
    <t>2193-0</t>
  </si>
  <si>
    <t>JPO3VL044</t>
  </si>
  <si>
    <t>MUHAMMAD AZHAR LIAQUAT LIAQUAT ALI</t>
  </si>
  <si>
    <t>MUHAMMADAZHAR.LIAQUAT@GE.COM</t>
  </si>
  <si>
    <t>971|52-8006239</t>
  </si>
  <si>
    <t>971|528006239</t>
  </si>
  <si>
    <t>2194-0</t>
  </si>
  <si>
    <t>JPO3VL045</t>
  </si>
  <si>
    <t>HAITHAM HADI NUMAN</t>
  </si>
  <si>
    <t>2195-0</t>
  </si>
  <si>
    <t>JPO3VL046</t>
  </si>
  <si>
    <t>SANJEEB DENIS ROSE ROSE DENIS EDWIN</t>
  </si>
  <si>
    <t>971|0097150347</t>
  </si>
  <si>
    <t>971|52-0086138</t>
  </si>
  <si>
    <t>SEEMA SANJEEB ROSE</t>
  </si>
  <si>
    <t>971|0097150831</t>
  </si>
  <si>
    <t>971|53--009715</t>
  </si>
  <si>
    <t>2196-0</t>
  </si>
  <si>
    <t>JPO3VL047</t>
  </si>
  <si>
    <t>MOHAMMED AMIN SALEM</t>
  </si>
  <si>
    <t>2197-0</t>
  </si>
  <si>
    <t>JPO3VL048</t>
  </si>
  <si>
    <t>SATISH PARSHOTTAM SAJNANI</t>
  </si>
  <si>
    <t>satish_sajnani@hotmail.com</t>
  </si>
  <si>
    <t>971|52-7793555</t>
  </si>
  <si>
    <t>971|0506257092</t>
  </si>
  <si>
    <t>2198-0</t>
  </si>
  <si>
    <t>JPO3VL049</t>
  </si>
  <si>
    <t>2199-0</t>
  </si>
  <si>
    <t>JPO3VL050</t>
  </si>
  <si>
    <t>SHAMSURAHMAN AQA JAN [DXB/V3493]</t>
  </si>
  <si>
    <t>.</t>
  </si>
  <si>
    <t>2200-0</t>
  </si>
  <si>
    <t>JPO3VL051</t>
  </si>
  <si>
    <t>HANY OMARELFAROUK ELSAID ELGOHARY</t>
  </si>
  <si>
    <t>2201-0</t>
  </si>
  <si>
    <t>JPO3VL052</t>
  </si>
  <si>
    <t>NAJMA RAFIQ</t>
  </si>
  <si>
    <t>2202-0</t>
  </si>
  <si>
    <t>JPO3VL053</t>
  </si>
  <si>
    <t>MUHAMMAD NASIR BASHIR MUHAMMAD BASHIR</t>
  </si>
  <si>
    <t>971|55-4428811</t>
  </si>
  <si>
    <t>92|6479968442</t>
  </si>
  <si>
    <t>2203-0</t>
  </si>
  <si>
    <t>JPO3VL054</t>
  </si>
  <si>
    <t>KHALIL ABDULLAH KHALIL ATIEH</t>
  </si>
  <si>
    <t>2204-0</t>
  </si>
  <si>
    <t>JPO3VL055</t>
  </si>
  <si>
    <t>JAHANGIR AHMAD</t>
  </si>
  <si>
    <t>2205-0</t>
  </si>
  <si>
    <t>JPO3VL056</t>
  </si>
  <si>
    <t>MUKHTAR MALIK HUSSAIN</t>
  </si>
  <si>
    <t>2206-0</t>
  </si>
  <si>
    <t>JPO3VL057</t>
  </si>
  <si>
    <t>SHAMAL ESTATES L.L.C</t>
  </si>
  <si>
    <t>971-4-5114700</t>
  </si>
  <si>
    <t>2207-0</t>
  </si>
  <si>
    <t>JPO3VL058</t>
  </si>
  <si>
    <t>NAZIMA SAIFUDDIN THANAWALA</t>
  </si>
  <si>
    <t>2208-0</t>
  </si>
  <si>
    <t>JPO3VL059</t>
  </si>
  <si>
    <t>2209-0</t>
  </si>
  <si>
    <t>JPO3VL060</t>
  </si>
  <si>
    <t>RAVI BIND MALI</t>
  </si>
  <si>
    <t>PRAVEEN MALI</t>
  </si>
  <si>
    <t>2210-0</t>
  </si>
  <si>
    <t>JPO3VL061</t>
  </si>
  <si>
    <t>SAMI SOBHI SAMI</t>
  </si>
  <si>
    <t>2211-0</t>
  </si>
  <si>
    <t>JPO3VL062</t>
  </si>
  <si>
    <t>LALIT SADHWANI</t>
  </si>
  <si>
    <t>a@hotmail.com</t>
  </si>
  <si>
    <t>971|50-6472001</t>
  </si>
  <si>
    <t>971|506472001</t>
  </si>
  <si>
    <t>ASHOK SADHWANI</t>
  </si>
  <si>
    <t>shanintlgen@gmail.com</t>
  </si>
  <si>
    <t>971|55-7394911</t>
  </si>
  <si>
    <t>2212-0</t>
  </si>
  <si>
    <t>JPO3VL063</t>
  </si>
  <si>
    <t>RAJESH SADHWANI</t>
  </si>
  <si>
    <t>971|50-6255819</t>
  </si>
  <si>
    <t>971|506255819</t>
  </si>
  <si>
    <t>2213-0</t>
  </si>
  <si>
    <t>JPO3VL064</t>
  </si>
  <si>
    <t>2214-0</t>
  </si>
  <si>
    <t>JPO3VL065</t>
  </si>
  <si>
    <t>SAMI ABDULRAHMAN RASHEED SAQR</t>
  </si>
  <si>
    <t>971|50-4660753</t>
  </si>
  <si>
    <t>971|0504584138</t>
  </si>
  <si>
    <t>2215-0</t>
  </si>
  <si>
    <t>JPO3VL066</t>
  </si>
  <si>
    <t>2216-0</t>
  </si>
  <si>
    <t>JPO3VL067</t>
  </si>
  <si>
    <t>SHWETA UPPAL</t>
  </si>
  <si>
    <t>2217-0</t>
  </si>
  <si>
    <t>JPO3VL068</t>
  </si>
  <si>
    <t>SHABBIR AHMAD ALI NOOR</t>
  </si>
  <si>
    <t>971|50-9108388</t>
  </si>
  <si>
    <t>971|509108388</t>
  </si>
  <si>
    <t>2218-0</t>
  </si>
  <si>
    <t>JPO3VL069</t>
  </si>
  <si>
    <t>2219-0</t>
  </si>
  <si>
    <t>JPO3VL070</t>
  </si>
  <si>
    <t>SEYED HOSSEIN SEYEDALI MIRJALILI</t>
  </si>
  <si>
    <t>mirjalilifruits@eim.com</t>
  </si>
  <si>
    <t>2220-0</t>
  </si>
  <si>
    <t>JPO3VL071</t>
  </si>
  <si>
    <t>2221-0</t>
  </si>
  <si>
    <t>JPO3VL072</t>
  </si>
  <si>
    <t>EMMANUEL COLLIAS</t>
  </si>
  <si>
    <t>PENKA ATANASSOVA COLLIAS</t>
  </si>
  <si>
    <t>2222-0</t>
  </si>
  <si>
    <t>JPO3VL073</t>
  </si>
  <si>
    <t>FEDAE SALLAM SAIMUA</t>
  </si>
  <si>
    <t>971|50-6574641</t>
  </si>
  <si>
    <t>971|0506574641</t>
  </si>
  <si>
    <t>2223-0</t>
  </si>
  <si>
    <t>JPO3VL074</t>
  </si>
  <si>
    <t>2224-0</t>
  </si>
  <si>
    <t>JPO3VL075</t>
  </si>
  <si>
    <t>IQBAL HASSAN KHANYARI GHULAM HASSAN KHANYARI</t>
  </si>
  <si>
    <t>2225-0</t>
  </si>
  <si>
    <t>JPO3VL076</t>
  </si>
  <si>
    <t>HASINA YOUSIF KAPADIA</t>
  </si>
  <si>
    <t>kapadiah@emi.ae</t>
  </si>
  <si>
    <t>971|50-4599318</t>
  </si>
  <si>
    <t>2226-0</t>
  </si>
  <si>
    <t>JPO3VL077</t>
  </si>
  <si>
    <t>SARAH NABEEL QASIM</t>
  </si>
  <si>
    <t>2227-0</t>
  </si>
  <si>
    <t>JPO3VL078</t>
  </si>
  <si>
    <t>CONRAD RAPHAEL D SOUZA</t>
  </si>
  <si>
    <t>971|0552411101</t>
  </si>
  <si>
    <t>FATMA@INJAZRT.AE</t>
  </si>
  <si>
    <t>971|50-0552411</t>
  </si>
  <si>
    <t>2228-0</t>
  </si>
  <si>
    <t>JPO3VL079</t>
  </si>
  <si>
    <t>RONNIE MOTI KARAMCHANDANI</t>
  </si>
  <si>
    <t>971|50-6462799</t>
  </si>
  <si>
    <t>971|0506462799</t>
  </si>
  <si>
    <t>2229-0</t>
  </si>
  <si>
    <t>JPO3VL080</t>
  </si>
  <si>
    <t>ELIZABETH KRIKOR SADIKIAN</t>
  </si>
  <si>
    <t>2230-0</t>
  </si>
  <si>
    <t>JPO3VL081</t>
  </si>
  <si>
    <t>WEI DEYUAN WEI CHONG</t>
  </si>
  <si>
    <t>info@eccgt.com</t>
  </si>
  <si>
    <t>971|9715028866</t>
  </si>
  <si>
    <t>2231-0</t>
  </si>
  <si>
    <t>JPO3VL082</t>
  </si>
  <si>
    <t>2232-0</t>
  </si>
  <si>
    <t>JPO3VL083</t>
  </si>
  <si>
    <t>NEGAR ABDOLSAMAD YAZDAN PANAH</t>
  </si>
  <si>
    <t>2233-0</t>
  </si>
  <si>
    <t>JPO3VL084</t>
  </si>
  <si>
    <t>2234-0</t>
  </si>
  <si>
    <t>JPO3VL085</t>
  </si>
  <si>
    <t>CRESSWELL SAVIO CORREA</t>
  </si>
  <si>
    <t>2235-0</t>
  </si>
  <si>
    <t>JPO3VL086</t>
  </si>
  <si>
    <t>2236-0</t>
  </si>
  <si>
    <t>JPO3VL087</t>
  </si>
  <si>
    <t>2237-0</t>
  </si>
  <si>
    <t>JPO3VL088</t>
  </si>
  <si>
    <t>2238-0</t>
  </si>
  <si>
    <t>JPO3VL089</t>
  </si>
  <si>
    <t>WALEED ABDELRAHMAN ABDELRAHMAN AL BAGOURY</t>
  </si>
  <si>
    <t>971|0505589971</t>
  </si>
  <si>
    <t>971|50-5589971</t>
  </si>
  <si>
    <t>971|557732404</t>
  </si>
  <si>
    <t>2239-0</t>
  </si>
  <si>
    <t>JPO3VL090</t>
  </si>
  <si>
    <t>MUHAMMAD ZAFAR ARAIN</t>
  </si>
  <si>
    <t>2240-0</t>
  </si>
  <si>
    <t>JPO3VL091</t>
  </si>
  <si>
    <t>SASIDHARAN SURENDRAN</t>
  </si>
  <si>
    <t>3619776-04</t>
  </si>
  <si>
    <t>2241-0</t>
  </si>
  <si>
    <t>JPO3VL092</t>
  </si>
  <si>
    <t>2242-0</t>
  </si>
  <si>
    <t>JPO3VL093</t>
  </si>
  <si>
    <t>RAMESH KANJANI</t>
  </si>
  <si>
    <t>2243-0</t>
  </si>
  <si>
    <t>JPO3VL094</t>
  </si>
  <si>
    <t>MOHAMMED ATIF RAJA</t>
  </si>
  <si>
    <t>2244-0</t>
  </si>
  <si>
    <t>JPO3VL095</t>
  </si>
  <si>
    <t>FARED AHMAD NASAR AHMAD</t>
  </si>
  <si>
    <t>2245-0</t>
  </si>
  <si>
    <t>JPO3VL096</t>
  </si>
  <si>
    <t>H.E. JAMAL MOHAMMED MATAR MUSABAH ALHAI</t>
  </si>
  <si>
    <t>971|509192923</t>
  </si>
  <si>
    <t>info@atrust.ae</t>
  </si>
  <si>
    <t>971|50-9192923</t>
  </si>
  <si>
    <t>2246-0</t>
  </si>
  <si>
    <t>JPO3VS001</t>
  </si>
  <si>
    <t>RUKKIAH BEEVI SIRAJ</t>
  </si>
  <si>
    <t>971|52-6720435</t>
  </si>
  <si>
    <t>971|526720435</t>
  </si>
  <si>
    <t>2247-0</t>
  </si>
  <si>
    <t>JPO3VS002</t>
  </si>
  <si>
    <t>BELAL HASSAN A JASSOMA</t>
  </si>
  <si>
    <t>JASSOMAB@HAMPTONSUAE.COM</t>
  </si>
  <si>
    <t>EVANS DEN DEKKER</t>
  </si>
  <si>
    <t>971|50-9101777</t>
  </si>
  <si>
    <t>971|0509101777</t>
  </si>
  <si>
    <t>2248-0</t>
  </si>
  <si>
    <t>JPO3VS003</t>
  </si>
  <si>
    <t>BILAL MOSBAH ELHAMOUI</t>
  </si>
  <si>
    <t>2249-0</t>
  </si>
  <si>
    <t>JPO3VS004</t>
  </si>
  <si>
    <t>MAQSOOD AHMED LATIFI (DXB/V5065)</t>
  </si>
  <si>
    <t>2250-0</t>
  </si>
  <si>
    <t>JPO3VS005</t>
  </si>
  <si>
    <t>ALI MOHD ZAID ALI MUSMAR</t>
  </si>
  <si>
    <t>alimzmusmar@gmail.com</t>
  </si>
  <si>
    <t>971|50-2410347</t>
  </si>
  <si>
    <t>2251-0</t>
  </si>
  <si>
    <t>JPO3VS006</t>
  </si>
  <si>
    <t>NADA NASER ESFANDNIA</t>
  </si>
  <si>
    <t>2252-0</t>
  </si>
  <si>
    <t>JPO3VS007</t>
  </si>
  <si>
    <t>MAHMOUD AKEEL MAHMOUD AL-KHAWAJA</t>
  </si>
  <si>
    <t>2253-0</t>
  </si>
  <si>
    <t>JPO3VS008</t>
  </si>
  <si>
    <t>PAOLO SPILUTTINI</t>
  </si>
  <si>
    <t>2254-0</t>
  </si>
  <si>
    <t>JPO3VS009</t>
  </si>
  <si>
    <t>KOKILA ALAGH</t>
  </si>
  <si>
    <t>2255-0</t>
  </si>
  <si>
    <t>JPO3VS010</t>
  </si>
  <si>
    <t>MICHEL PAUL WEEGENHAUSEN</t>
  </si>
  <si>
    <t>2256-0</t>
  </si>
  <si>
    <t>JPO3VS011</t>
  </si>
  <si>
    <t>ABDULLAH ABBAS AHMED</t>
  </si>
  <si>
    <t>971|502402382</t>
  </si>
  <si>
    <t>aaaplusproperties@yahoo.com</t>
  </si>
  <si>
    <t>971|55-7947866</t>
  </si>
  <si>
    <t>971|557947866</t>
  </si>
  <si>
    <t>2257-0</t>
  </si>
  <si>
    <t>JPO3VS012</t>
  </si>
  <si>
    <t>STEVEN JOSEPH KOSHY</t>
  </si>
  <si>
    <t>2258-0</t>
  </si>
  <si>
    <t>JPO3VS013</t>
  </si>
  <si>
    <t>SIMA GANWANI VED</t>
  </si>
  <si>
    <t>nilesh_ved@appareluae.com</t>
  </si>
  <si>
    <t>971|55-5517804</t>
  </si>
  <si>
    <t>971|055517804</t>
  </si>
  <si>
    <t>2259-0</t>
  </si>
  <si>
    <t>JPO3VS014</t>
  </si>
  <si>
    <t>JUDITH GEB HALKENHAUBER CARTWRIGHT</t>
  </si>
  <si>
    <t>2260-0</t>
  </si>
  <si>
    <t>JPO3VS015</t>
  </si>
  <si>
    <t>YASIN BAWANEY</t>
  </si>
  <si>
    <t>2261-0</t>
  </si>
  <si>
    <t>JPO3VS016</t>
  </si>
  <si>
    <t>JIMMY HADDAD</t>
  </si>
  <si>
    <t>JIMMY@HOTMAIL.COM</t>
  </si>
  <si>
    <t>971|50-8187231</t>
  </si>
  <si>
    <t>2262-0</t>
  </si>
  <si>
    <t>JPO3VS017</t>
  </si>
  <si>
    <t>MARYAM MOHAMED NOOR SHARAF</t>
  </si>
  <si>
    <t>SHARAF00@HOTMAIL.COM</t>
  </si>
  <si>
    <t>971|55-8993666</t>
  </si>
  <si>
    <t>2263-0</t>
  </si>
  <si>
    <t>JPO3VS018</t>
  </si>
  <si>
    <t>ABDULRAHMAN SALEH A ALOTAISHAN</t>
  </si>
  <si>
    <t>971|50-6888111</t>
  </si>
  <si>
    <t>2264-0</t>
  </si>
  <si>
    <t>JPO3VS019</t>
  </si>
  <si>
    <t>NAJIB SAYEGH</t>
  </si>
  <si>
    <t>2265-0</t>
  </si>
  <si>
    <t>JPO3VS020</t>
  </si>
  <si>
    <t>IAN WILLIAM GREGORY</t>
  </si>
  <si>
    <t>2266-0</t>
  </si>
  <si>
    <t>JPO3VS021</t>
  </si>
  <si>
    <t>AVATAAR SINGH DHILION</t>
  </si>
  <si>
    <t>HARMEET KAUR DO S DALIP SINGH</t>
  </si>
  <si>
    <t>2267-0</t>
  </si>
  <si>
    <t>JPO3VS022</t>
  </si>
  <si>
    <t>VLADISLAV KIRYUSHIN</t>
  </si>
  <si>
    <t>slavak13@bk.ru</t>
  </si>
  <si>
    <t>971|55-2608134</t>
  </si>
  <si>
    <t>971|552608134</t>
  </si>
  <si>
    <t>SANAE AMRI</t>
  </si>
  <si>
    <t>971|50-6520979</t>
  </si>
  <si>
    <t>2268-0</t>
  </si>
  <si>
    <t>JPO3VS023</t>
  </si>
  <si>
    <t>YE LI</t>
  </si>
  <si>
    <t>2269-0</t>
  </si>
  <si>
    <t>JPO3VS024</t>
  </si>
  <si>
    <t>MOHAMED AHMED LOTFY AHMED NASSEF</t>
  </si>
  <si>
    <t>2270-0</t>
  </si>
  <si>
    <t>JPO3VS025</t>
  </si>
  <si>
    <t>USMAN MALIK</t>
  </si>
  <si>
    <t>2271-0</t>
  </si>
  <si>
    <t>JPO3VS026</t>
  </si>
  <si>
    <t>SANJIT SINGH GILL</t>
  </si>
  <si>
    <t>2272-0</t>
  </si>
  <si>
    <t>JPO3VS027</t>
  </si>
  <si>
    <t>GAMAL FARID MOHAMED EMARA</t>
  </si>
  <si>
    <t>971|56-5503206</t>
  </si>
  <si>
    <t>971|565503206</t>
  </si>
  <si>
    <t>2273-0</t>
  </si>
  <si>
    <t>JPO3VS028</t>
  </si>
  <si>
    <t>HASSAN ALI AL KADAH</t>
  </si>
  <si>
    <t>971|50-4833293</t>
  </si>
  <si>
    <t>971|4833293</t>
  </si>
  <si>
    <t>2274-0</t>
  </si>
  <si>
    <t>JPO3VS029</t>
  </si>
  <si>
    <t>SHIBA WAHID</t>
  </si>
  <si>
    <t>2275-0</t>
  </si>
  <si>
    <t>JPO3VS030</t>
  </si>
  <si>
    <t>DEEPAK ALIAS RINKU SHARMA</t>
  </si>
  <si>
    <t>2276-0</t>
  </si>
  <si>
    <t>JPO3VS031</t>
  </si>
  <si>
    <t>MUKHAMMAD RIAZ</t>
  </si>
  <si>
    <t>2277-0</t>
  </si>
  <si>
    <t>JPO3VS032</t>
  </si>
  <si>
    <t>MANISH DILKHUSH DOSHI</t>
  </si>
  <si>
    <t>s@hotmail.com</t>
  </si>
  <si>
    <t>971|50-9027535</t>
  </si>
  <si>
    <t>971|9027535</t>
  </si>
  <si>
    <t>SAVITA MANISH DOSHI</t>
  </si>
  <si>
    <t>2278-0</t>
  </si>
  <si>
    <t>JPO3VS033</t>
  </si>
  <si>
    <t>AYESHA SUSAN ALI MAHYOOB SULTAN</t>
  </si>
  <si>
    <t>3442241-04</t>
  </si>
  <si>
    <t>2279-0</t>
  </si>
  <si>
    <t>JPO3VS034</t>
  </si>
  <si>
    <t>MUNA ALI SAIF RASHED BAKHIT ALFALASI</t>
  </si>
  <si>
    <t>2280-0</t>
  </si>
  <si>
    <t>JPO3VS035</t>
  </si>
  <si>
    <t>NAJI KHAMIS KAMEL HADDAD</t>
  </si>
  <si>
    <t>971|0504844106</t>
  </si>
  <si>
    <t>najhaddad@gmail.com</t>
  </si>
  <si>
    <t>971|50-4844106</t>
  </si>
  <si>
    <t>2281-0</t>
  </si>
  <si>
    <t>JPO3VS036</t>
  </si>
  <si>
    <t>JULIE DIANE GOLDEN</t>
  </si>
  <si>
    <t>JOHN O BRIEN</t>
  </si>
  <si>
    <t>2282-0</t>
  </si>
  <si>
    <t>JPO3VS037</t>
  </si>
  <si>
    <t>SOROYA JANMOHAMED</t>
  </si>
  <si>
    <t>2283-0</t>
  </si>
  <si>
    <t>JPO3VS038</t>
  </si>
  <si>
    <t>MUHAMMAD AHMED MUHAMMAD YOUSUF</t>
  </si>
  <si>
    <t>971|55-8704101</t>
  </si>
  <si>
    <t>971|558704101</t>
  </si>
  <si>
    <t>2284-0</t>
  </si>
  <si>
    <t>JPO3VS039</t>
  </si>
  <si>
    <t>DEBASHIS CHAKRABORTY</t>
  </si>
  <si>
    <t>2285-0</t>
  </si>
  <si>
    <t>JPP3VL001</t>
  </si>
  <si>
    <t>SAJAAD AHMED HUSSAIN</t>
  </si>
  <si>
    <t>2286-0</t>
  </si>
  <si>
    <t>JPP3VL002</t>
  </si>
  <si>
    <t>RAGY ROSHDY RAGHEB GABRA ELMASRY</t>
  </si>
  <si>
    <t>ragh-elmasry@hotmail.com</t>
  </si>
  <si>
    <t>971|50-5025056</t>
  </si>
  <si>
    <t>2287-0</t>
  </si>
  <si>
    <t>JPP3VL003</t>
  </si>
  <si>
    <t>KHALED KOLEILAT</t>
  </si>
  <si>
    <t>2288-0</t>
  </si>
  <si>
    <t>JPP3VL004</t>
  </si>
  <si>
    <t>ANAND JUVEKAR</t>
  </si>
  <si>
    <t>2289-0</t>
  </si>
  <si>
    <t>JPP3VL005</t>
  </si>
  <si>
    <t>SALONA SEEBRAN</t>
  </si>
  <si>
    <t>971|54-4354994</t>
  </si>
  <si>
    <t>971|0504354994</t>
  </si>
  <si>
    <t>2290-0</t>
  </si>
  <si>
    <t>JPP3VL006</t>
  </si>
  <si>
    <t>OMID SHOKROLLAH TOOSKI MALAYERI</t>
  </si>
  <si>
    <t>oscaropticdubai@hotmail.com</t>
  </si>
  <si>
    <t>971|52-0524508</t>
  </si>
  <si>
    <t>971|0554439439</t>
  </si>
  <si>
    <t>2291-0</t>
  </si>
  <si>
    <t>JPP3VL007</t>
  </si>
  <si>
    <t>MOHAMMED ALI Y ALHINDI</t>
  </si>
  <si>
    <t>971|9665553539</t>
  </si>
  <si>
    <t>971|51-9665553</t>
  </si>
  <si>
    <t>2292-0</t>
  </si>
  <si>
    <t>JPP3VL008</t>
  </si>
  <si>
    <t>FATEMEH ABDOLLAH ZAMIN PEIMA</t>
  </si>
  <si>
    <t>2293-0</t>
  </si>
  <si>
    <t>JPP3VL009</t>
  </si>
  <si>
    <t>UZAIR RAZI</t>
  </si>
  <si>
    <t>UZAIR.RAZI1@GMAIL.COM</t>
  </si>
  <si>
    <t>971|50-8157725</t>
  </si>
  <si>
    <t>971|50817725</t>
  </si>
  <si>
    <t>Botswana</t>
  </si>
  <si>
    <t>2294-0</t>
  </si>
  <si>
    <t>JPP3VL010</t>
  </si>
  <si>
    <t>VIPUL AGGARWAL</t>
  </si>
  <si>
    <t>2305-0</t>
  </si>
  <si>
    <t>JPN3VL001</t>
  </si>
  <si>
    <t>SAMAN JALAL MAHMOOD</t>
  </si>
  <si>
    <t>971|50-1499225</t>
  </si>
  <si>
    <t>971|501499225</t>
  </si>
  <si>
    <t>2306-0</t>
  </si>
  <si>
    <t>JPP3VL021</t>
  </si>
  <si>
    <t>2307-0</t>
  </si>
  <si>
    <t>JPP3VL022</t>
  </si>
  <si>
    <t>SANDEEP CHHABRA</t>
  </si>
  <si>
    <t>CHHABRAS@EIM.AE</t>
  </si>
  <si>
    <t>971|51-6243473</t>
  </si>
  <si>
    <t>971|506243473</t>
  </si>
  <si>
    <t>2308-0</t>
  </si>
  <si>
    <t>JPP3VL023</t>
  </si>
  <si>
    <t>LAWRENCE MICHAEL BURKE</t>
  </si>
  <si>
    <t>larry.burke@ungersteel.com</t>
  </si>
  <si>
    <t>971|56-1154421</t>
  </si>
  <si>
    <t>2309-0</t>
  </si>
  <si>
    <t>JPP3VL024</t>
  </si>
  <si>
    <t>ASIM NAVEED</t>
  </si>
  <si>
    <t>2310-0</t>
  </si>
  <si>
    <t>JPP3VL025</t>
  </si>
  <si>
    <t>MAHER MICHEL EMIL MIKHAIL</t>
  </si>
  <si>
    <t>2311-0</t>
  </si>
  <si>
    <t>JPP3VL026</t>
  </si>
  <si>
    <t>ZAINAB YOUSUF YOUSUF RAJABALLY</t>
  </si>
  <si>
    <t>971|55-6673386</t>
  </si>
  <si>
    <t>2312-0</t>
  </si>
  <si>
    <t>JPP3VL027</t>
  </si>
  <si>
    <t>ROHIT SHARMA</t>
  </si>
  <si>
    <t>2313-0</t>
  </si>
  <si>
    <t>JPP3VL028</t>
  </si>
  <si>
    <t>ADIL MOHAMED HASSAN TAQI</t>
  </si>
  <si>
    <t>2314-0</t>
  </si>
  <si>
    <t>JPP3VL029</t>
  </si>
  <si>
    <t>2315-0</t>
  </si>
  <si>
    <t>JPP3VL030</t>
  </si>
  <si>
    <t>ANITA MARIA ABUTORAB MEHRA</t>
  </si>
  <si>
    <t>971|50-7747830</t>
  </si>
  <si>
    <t>971|507747830</t>
  </si>
  <si>
    <t>2316-0</t>
  </si>
  <si>
    <t>JPP3VL031</t>
  </si>
  <si>
    <t>FADI ABDULRAHMAN ALSBINATI</t>
  </si>
  <si>
    <t>971|50-4507394</t>
  </si>
  <si>
    <t>971|504507394</t>
  </si>
  <si>
    <t>2317-0</t>
  </si>
  <si>
    <t>JPP3VL032</t>
  </si>
  <si>
    <t>SAMEER FAWZI YOUSEF AJJOUR</t>
  </si>
  <si>
    <t>sajjour@gmail.com</t>
  </si>
  <si>
    <t>966 56 5690101</t>
  </si>
  <si>
    <t>2318-0</t>
  </si>
  <si>
    <t>JPP3VL033</t>
  </si>
  <si>
    <t>2319-0</t>
  </si>
  <si>
    <t>JPP3VL034</t>
  </si>
  <si>
    <t>MUTHANNA MAHMOOD MOHAMAD AL HULLO</t>
  </si>
  <si>
    <t>971|504624419</t>
  </si>
  <si>
    <t>971|050-4624419</t>
  </si>
  <si>
    <t>2320-0</t>
  </si>
  <si>
    <t>JPP3VL035</t>
  </si>
  <si>
    <t>MOHAMED FAKHRUDDIN AJMAL AJMAL ALI ABDUL MAJID</t>
  </si>
  <si>
    <t>zafar@aredubai.com</t>
  </si>
  <si>
    <t>971|56-1745411</t>
  </si>
  <si>
    <t>971|506441366</t>
  </si>
  <si>
    <t>NAFISA FAKHRUDDIN AJMAL</t>
  </si>
  <si>
    <t>2321-0</t>
  </si>
  <si>
    <t>JPP3VL036</t>
  </si>
  <si>
    <t>MUSTAPHA KANDIL</t>
  </si>
  <si>
    <t>MUST.KAND@GMAIL.COM</t>
  </si>
  <si>
    <t>971|50-6454593</t>
  </si>
  <si>
    <t>2322-0</t>
  </si>
  <si>
    <t>JPP3VL037</t>
  </si>
  <si>
    <t>RICHA MADAN</t>
  </si>
  <si>
    <t>2323-0</t>
  </si>
  <si>
    <t>JPP3VL038</t>
  </si>
  <si>
    <t>MAHESH NARAINDAS ASWANI</t>
  </si>
  <si>
    <t>RHEA MAHESH ASWANI</t>
  </si>
  <si>
    <t>2324-0</t>
  </si>
  <si>
    <t>JPP3VL039</t>
  </si>
  <si>
    <t>SURENDRA GEHLOT</t>
  </si>
  <si>
    <t>2325-0</t>
  </si>
  <si>
    <t>JPC5V011</t>
  </si>
  <si>
    <t>RAIMA RIAZ ALI MALIK</t>
  </si>
  <si>
    <t>971|50-5500460</t>
  </si>
  <si>
    <t>2326-0</t>
  </si>
  <si>
    <t>JPC5V012</t>
  </si>
  <si>
    <t>NAJAT HUSSAIN ALI</t>
  </si>
  <si>
    <t>fardan55@emirates.net.ae</t>
  </si>
  <si>
    <t>971|50-5594080</t>
  </si>
  <si>
    <t>2327-0</t>
  </si>
  <si>
    <t>JPC5V013</t>
  </si>
  <si>
    <t>ABDULLA DARWISH</t>
  </si>
  <si>
    <t>971|50-6364655</t>
  </si>
  <si>
    <t>971|506364655</t>
  </si>
  <si>
    <t>2328-0</t>
  </si>
  <si>
    <t>JPC5V014</t>
  </si>
  <si>
    <t>NOOR MUHAMMAD</t>
  </si>
  <si>
    <t>2329-0</t>
  </si>
  <si>
    <t>JPC5V015</t>
  </si>
  <si>
    <t>YASHNA MANOJ BHOJWANI</t>
  </si>
  <si>
    <t>2330-0</t>
  </si>
  <si>
    <t>JPC5V016</t>
  </si>
  <si>
    <t>PRAVEEN SHARMA</t>
  </si>
  <si>
    <t>2331-0</t>
  </si>
  <si>
    <t>JPC5V017</t>
  </si>
  <si>
    <t>WENMING SONG</t>
  </si>
  <si>
    <t>aopiya@gmail.com</t>
  </si>
  <si>
    <t>971|50-4696866</t>
  </si>
  <si>
    <t>2332-0</t>
  </si>
  <si>
    <t>JPC5V018</t>
  </si>
  <si>
    <t>BARAT MOHAMMAD MUSSA</t>
  </si>
  <si>
    <t>971|50-4686364</t>
  </si>
  <si>
    <t>2333-0</t>
  </si>
  <si>
    <t>JPC5V019</t>
  </si>
  <si>
    <t>YOUSIF MOHAMMED ALI AL NOWAIS</t>
  </si>
  <si>
    <t>971|55-7607677</t>
  </si>
  <si>
    <t>2334-0</t>
  </si>
  <si>
    <t>JPC5V020</t>
  </si>
  <si>
    <t>GARIMA KUMARI VIKAS GUPTA</t>
  </si>
  <si>
    <t>971|55-4201866</t>
  </si>
  <si>
    <t>2335-0</t>
  </si>
  <si>
    <t>JPC5V021</t>
  </si>
  <si>
    <t>2336-0</t>
  </si>
  <si>
    <t>JPC5V022</t>
  </si>
  <si>
    <t>SHIREEN FARHAD PATEL</t>
  </si>
  <si>
    <t>2337-0</t>
  </si>
  <si>
    <t>JPC5V023</t>
  </si>
  <si>
    <t>2338-0</t>
  </si>
  <si>
    <t>JPC5V024</t>
  </si>
  <si>
    <t>HASSAN RIZWAN MUSTAFA NASSER</t>
  </si>
  <si>
    <t>971|50-2771771</t>
  </si>
  <si>
    <t>971|0502771771</t>
  </si>
  <si>
    <t>2339-0</t>
  </si>
  <si>
    <t>JPC5V025</t>
  </si>
  <si>
    <t>2340-0</t>
  </si>
  <si>
    <t>JPC5V026</t>
  </si>
  <si>
    <t>MICHAEL WILLIAM DOWD</t>
  </si>
  <si>
    <t>2341-0</t>
  </si>
  <si>
    <t>JPC5V027</t>
  </si>
  <si>
    <t>2342-0</t>
  </si>
  <si>
    <t>JPC5V028</t>
  </si>
  <si>
    <t>SHIRIN SAPAROVA</t>
  </si>
  <si>
    <t>971|55-6131122</t>
  </si>
  <si>
    <t>971|554261122</t>
  </si>
  <si>
    <t>KONELI SAPAROV</t>
  </si>
  <si>
    <t>2343-0</t>
  </si>
  <si>
    <t>JPC5V029</t>
  </si>
  <si>
    <t>2344-0</t>
  </si>
  <si>
    <t>JPC5V030</t>
  </si>
  <si>
    <t>Available For Rent</t>
  </si>
  <si>
    <t>2345-0</t>
  </si>
  <si>
    <t>JPC5V031</t>
  </si>
  <si>
    <t>MAJEDEH AMERI</t>
  </si>
  <si>
    <t>971|50-6753346</t>
  </si>
  <si>
    <t>2346-0</t>
  </si>
  <si>
    <t>JPC5V032</t>
  </si>
  <si>
    <t>REEMA FAISAL M ALSHEHAIL</t>
  </si>
  <si>
    <t>2347-0</t>
  </si>
  <si>
    <t>JPC5V033</t>
  </si>
  <si>
    <t>MOHAMED SALAH SULTAN ABDULLA ALSHAMSI</t>
  </si>
  <si>
    <t>BUGALMOOD@GMAIL.COM</t>
  </si>
  <si>
    <t>971|50-1383838</t>
  </si>
  <si>
    <t>SALAMA SALAH SULTAN ABDULLA ALSHAMSI</t>
  </si>
  <si>
    <t>2348-0</t>
  </si>
  <si>
    <t>JPC5V034</t>
  </si>
  <si>
    <t>SELINA FIFE SMYTH</t>
  </si>
  <si>
    <t>WILLIAM JOSEPH DALY</t>
  </si>
  <si>
    <t>2349-0</t>
  </si>
  <si>
    <t>JPC5V035</t>
  </si>
  <si>
    <t>RITU BAHIRWANI</t>
  </si>
  <si>
    <t>2350-0</t>
  </si>
  <si>
    <t>JPC5V036</t>
  </si>
  <si>
    <t>HASAN SATEA ABDULGHANI AL BAZZAZ</t>
  </si>
  <si>
    <t>ALBAZTEX@GMAIL.COM</t>
  </si>
  <si>
    <t>971|50-5500856</t>
  </si>
  <si>
    <t>2351-0</t>
  </si>
  <si>
    <t>JPC5V037</t>
  </si>
  <si>
    <t>RAFI AHMEDAHMAD THAMBI</t>
  </si>
  <si>
    <t>rafialkayad@yahoo.com</t>
  </si>
  <si>
    <t>971|50-4535335</t>
  </si>
  <si>
    <t>971|504535335</t>
  </si>
  <si>
    <t>DINA NAYEF ABDULLA MUTLAQ ALHERAIS</t>
  </si>
  <si>
    <t>DINA.ALHERAIS@EMIRATES.COM</t>
  </si>
  <si>
    <t>971|50-7706300</t>
  </si>
  <si>
    <t>2352-0</t>
  </si>
  <si>
    <t>JPC5V038</t>
  </si>
  <si>
    <t>M ABRAHIM HABIB YAR</t>
  </si>
  <si>
    <t>HABEEBYAR@GMAIL.COM</t>
  </si>
  <si>
    <t>971|50-9142300</t>
  </si>
  <si>
    <t>2353-0</t>
  </si>
  <si>
    <t>JPC5V039</t>
  </si>
  <si>
    <t>SAMER MOHD MOHD ABU ISSA</t>
  </si>
  <si>
    <t>2354-0</t>
  </si>
  <si>
    <t>JPD3VL001</t>
  </si>
  <si>
    <t>2355-0</t>
  </si>
  <si>
    <t>JPD3VL002</t>
  </si>
  <si>
    <t>2356-0</t>
  </si>
  <si>
    <t>JPD3VL003</t>
  </si>
  <si>
    <t>2357-0</t>
  </si>
  <si>
    <t>JPD3VL004</t>
  </si>
  <si>
    <t>2358-0</t>
  </si>
  <si>
    <t>JPD3VL005</t>
  </si>
  <si>
    <t>2359-0</t>
  </si>
  <si>
    <t>JPD3VL006</t>
  </si>
  <si>
    <t>2360-0</t>
  </si>
  <si>
    <t>JPD3VL007</t>
  </si>
  <si>
    <t>2361-0</t>
  </si>
  <si>
    <t>JPD3VL008</t>
  </si>
  <si>
    <t>2362-0</t>
  </si>
  <si>
    <t>JPD3VL009</t>
  </si>
  <si>
    <t>2363-0</t>
  </si>
  <si>
    <t>JPD3VL010</t>
  </si>
  <si>
    <t>2364-0</t>
  </si>
  <si>
    <t>JPD3VL011</t>
  </si>
  <si>
    <t>2365-0</t>
  </si>
  <si>
    <t>JPD3VL012</t>
  </si>
  <si>
    <t>2366-0</t>
  </si>
  <si>
    <t>JPD3VL013</t>
  </si>
  <si>
    <t>2367-0</t>
  </si>
  <si>
    <t>JPD3VL014</t>
  </si>
  <si>
    <t>2368-0</t>
  </si>
  <si>
    <t>JPD3VL015</t>
  </si>
  <si>
    <t>2369-0</t>
  </si>
  <si>
    <t>JPD3VL016</t>
  </si>
  <si>
    <t>2370-0</t>
  </si>
  <si>
    <t>JPD3VL017</t>
  </si>
  <si>
    <t>2371-0</t>
  </si>
  <si>
    <t>JPD3VL018</t>
  </si>
  <si>
    <t>2372-0</t>
  </si>
  <si>
    <t>JPD3VL019</t>
  </si>
  <si>
    <t>2373-0</t>
  </si>
  <si>
    <t>JPD3VL020</t>
  </si>
  <si>
    <t>2374-0</t>
  </si>
  <si>
    <t>JPD3VL021</t>
  </si>
  <si>
    <t>2375-0</t>
  </si>
  <si>
    <t>JPD3VL022</t>
  </si>
  <si>
    <t>2376-0</t>
  </si>
  <si>
    <t>JPD3VL023</t>
  </si>
  <si>
    <t>2377-0</t>
  </si>
  <si>
    <t>JPD3VL024</t>
  </si>
  <si>
    <t>2378-0</t>
  </si>
  <si>
    <t>JPD3VL025</t>
  </si>
  <si>
    <t>2379-0</t>
  </si>
  <si>
    <t>JPD3VL026</t>
  </si>
  <si>
    <t>2380-0</t>
  </si>
  <si>
    <t>JPD3VL027</t>
  </si>
  <si>
    <t>2381-0</t>
  </si>
  <si>
    <t>JPD3VL028</t>
  </si>
  <si>
    <t>FAKHRUZ ZAMAN</t>
  </si>
  <si>
    <t>971|0504211915</t>
  </si>
  <si>
    <t>info@visionavenuehomes.ae</t>
  </si>
  <si>
    <t>971|50-4211915</t>
  </si>
  <si>
    <t>971|3265168</t>
  </si>
  <si>
    <t>2382-0</t>
  </si>
  <si>
    <t>JPD3VL029</t>
  </si>
  <si>
    <t>OSAMAH KAMAL ALI</t>
  </si>
  <si>
    <t>2383-0</t>
  </si>
  <si>
    <t>JPD3VL030</t>
  </si>
  <si>
    <t>UMAR ALI KHAN NAWAB KHAN</t>
  </si>
  <si>
    <t>971|50-4601335</t>
  </si>
  <si>
    <t>2384-0</t>
  </si>
  <si>
    <t>JPD3VL031</t>
  </si>
  <si>
    <t>BALAL SODAGAR CHOWDRY SODAGAR KHAN</t>
  </si>
  <si>
    <t>balalchowdry@gmail.com</t>
  </si>
  <si>
    <t>971|50-1495461</t>
  </si>
  <si>
    <t>971|581495461</t>
  </si>
  <si>
    <t>2385-0</t>
  </si>
  <si>
    <t>JPD3VL032</t>
  </si>
  <si>
    <t>JACOB MATHEW</t>
  </si>
  <si>
    <t>2386-0</t>
  </si>
  <si>
    <t>JPD3VL033</t>
  </si>
  <si>
    <t>JUBRAN ABDULRAHMAN JUBRAN AJAJ</t>
  </si>
  <si>
    <t>2387-0</t>
  </si>
  <si>
    <t>JPD3VL034</t>
  </si>
  <si>
    <t>LARA NAIM ABDELRAHMAN ALFATAFTA</t>
  </si>
  <si>
    <t>2388-0</t>
  </si>
  <si>
    <t>JPD3VL035</t>
  </si>
  <si>
    <t>MUFEED OTHMAN HASAN HASAN</t>
  </si>
  <si>
    <t>971|52211838</t>
  </si>
  <si>
    <t>mufeed_11@yahoo.com</t>
  </si>
  <si>
    <t>971|55-2211838</t>
  </si>
  <si>
    <t>2389-0</t>
  </si>
  <si>
    <t>JPD3VL036</t>
  </si>
  <si>
    <t>2390-0</t>
  </si>
  <si>
    <t>JPD3VL037</t>
  </si>
  <si>
    <t>HALA KABBARA</t>
  </si>
  <si>
    <t>hala_kabbara@hotmail.com</t>
  </si>
  <si>
    <t>971 50 8366220</t>
  </si>
  <si>
    <t>2391-0</t>
  </si>
  <si>
    <t>JPD3VL038</t>
  </si>
  <si>
    <t>MUHAMMAD IQBAL AHMED</t>
  </si>
  <si>
    <t>2266485-04</t>
  </si>
  <si>
    <t>iqbalahmed@artisticfabric.mills.com</t>
  </si>
  <si>
    <t>2392-0</t>
  </si>
  <si>
    <t>JPD3VL039</t>
  </si>
  <si>
    <t>MOHAMMED ALI ABDULLA MUHSEN ALKHEMEIRI</t>
  </si>
  <si>
    <t>971|50-0557595</t>
  </si>
  <si>
    <t>2393-0</t>
  </si>
  <si>
    <t>JPD3VL040</t>
  </si>
  <si>
    <t>ZEEN RASHID</t>
  </si>
  <si>
    <t>2394-0</t>
  </si>
  <si>
    <t>JPD3VL041</t>
  </si>
  <si>
    <t>RAFIK ZIANE</t>
  </si>
  <si>
    <t>213|4531195555</t>
  </si>
  <si>
    <t>2395-0</t>
  </si>
  <si>
    <t>JPD4V010</t>
  </si>
  <si>
    <t>KUMAR JEEVATRAM CHANGANI</t>
  </si>
  <si>
    <t>2396-0</t>
  </si>
  <si>
    <t>JPD4V009</t>
  </si>
  <si>
    <t>EIMAN ALI SAIF ALMEHAIRBI</t>
  </si>
  <si>
    <t>2397-0</t>
  </si>
  <si>
    <t>JPD4V008</t>
  </si>
  <si>
    <t>SYEDA AMBREEN FATIMA KAZMI SYED HASAN AKBAR KAZMI</t>
  </si>
  <si>
    <t>SYED HASAN AKBAR KAZMI SYED HASAN ASLAM KAZMI</t>
  </si>
  <si>
    <t>2398-0</t>
  </si>
  <si>
    <t>JPD4V007</t>
  </si>
  <si>
    <t>FAYCAL BOUDGHENE STAMBOULI</t>
  </si>
  <si>
    <t>2399-0</t>
  </si>
  <si>
    <t>JPD4V006</t>
  </si>
  <si>
    <t>JANINA PRISCILLA MAHRENHOLZ</t>
  </si>
  <si>
    <t>2400-0</t>
  </si>
  <si>
    <t>JPD4V005</t>
  </si>
  <si>
    <t>MONA IMRAN IMRAN</t>
  </si>
  <si>
    <t>2401-0</t>
  </si>
  <si>
    <t>JPD4V004</t>
  </si>
  <si>
    <t>2402-0</t>
  </si>
  <si>
    <t>JPD4V003</t>
  </si>
  <si>
    <t>RASHID AFIF RASHID ALKHAWAJA</t>
  </si>
  <si>
    <t>2403-0</t>
  </si>
  <si>
    <t>JPD4V002</t>
  </si>
  <si>
    <t>HATEM BASEM S ALSHIHABI</t>
  </si>
  <si>
    <t>2404-0</t>
  </si>
  <si>
    <t>JPD4V001</t>
  </si>
  <si>
    <t>RAOUF MOHSEN MASHAYEKH</t>
  </si>
  <si>
    <t>MD@IITC.AE</t>
  </si>
  <si>
    <t>971|50-6593390</t>
  </si>
  <si>
    <t>2405-0</t>
  </si>
  <si>
    <t>JPD3VS019</t>
  </si>
  <si>
    <t>SULAIMAN ALI SHAHID KHAN</t>
  </si>
  <si>
    <t>2406-0</t>
  </si>
  <si>
    <t>JPD3VS018</t>
  </si>
  <si>
    <t>FAEGH GHASEM FOWZI</t>
  </si>
  <si>
    <t>2952876-04</t>
  </si>
  <si>
    <t>2407-0</t>
  </si>
  <si>
    <t>JPD3VS017</t>
  </si>
  <si>
    <t>2408-0</t>
  </si>
  <si>
    <t>JPD3VS016</t>
  </si>
  <si>
    <t>BASIM HUSSAIN S AL KHALIFA</t>
  </si>
  <si>
    <t>2409-0</t>
  </si>
  <si>
    <t>JPD3VS015</t>
  </si>
  <si>
    <t>FAWAZ ABDULQADER ABDULMANNAN ABDULMANNAN</t>
  </si>
  <si>
    <t>SALWA ABDULLAH SALEH ALSHABA</t>
  </si>
  <si>
    <t>2410-0</t>
  </si>
  <si>
    <t>JPD3VS014</t>
  </si>
  <si>
    <t>LAITH MAKKI HUMMADI AL MASARI</t>
  </si>
  <si>
    <t>971|50-000000</t>
  </si>
  <si>
    <t>LAITH MAKKI HUMMADI ALMASARI</t>
  </si>
  <si>
    <t>laithhummadi@gmail.com</t>
  </si>
  <si>
    <t>2411-0</t>
  </si>
  <si>
    <t>JPD3VS013</t>
  </si>
  <si>
    <t>ROGER FRANCIS</t>
  </si>
  <si>
    <t>971|0552000312</t>
  </si>
  <si>
    <t>971|55-2000312</t>
  </si>
  <si>
    <t>2412-0</t>
  </si>
  <si>
    <t>JPD3VS012</t>
  </si>
  <si>
    <t>2413-0</t>
  </si>
  <si>
    <t>JPD3VS011</t>
  </si>
  <si>
    <t>SUMEET GILL</t>
  </si>
  <si>
    <t>2414-0</t>
  </si>
  <si>
    <t>JPD3VS010</t>
  </si>
  <si>
    <t>2415-0</t>
  </si>
  <si>
    <t>JPD3VS009</t>
  </si>
  <si>
    <t>VIVIAN SAMI HASAN AL OBAIDI</t>
  </si>
  <si>
    <t>WAFAA SAMI HASAN</t>
  </si>
  <si>
    <t>2416-0</t>
  </si>
  <si>
    <t>JPD3VS008</t>
  </si>
  <si>
    <t>TARIK KHALED ABDELAZIZ GHANIM</t>
  </si>
  <si>
    <t>055-9532530</t>
  </si>
  <si>
    <t>2417-0</t>
  </si>
  <si>
    <t>JPD3VS007</t>
  </si>
  <si>
    <t>RAWYA KHAIRI HMAIM LAFI</t>
  </si>
  <si>
    <t>ornets@eim.ae</t>
  </si>
  <si>
    <t>050-2253397</t>
  </si>
  <si>
    <t>2418-0</t>
  </si>
  <si>
    <t>JPD3VS006</t>
  </si>
  <si>
    <t>AHMED &amp; ISMAIL GADIT INVESTMENTS LIMITED</t>
  </si>
  <si>
    <t>INFO@ALDAR.COM</t>
  </si>
  <si>
    <t>2419-0</t>
  </si>
  <si>
    <t>JPD3VS005</t>
  </si>
  <si>
    <t>2420-0</t>
  </si>
  <si>
    <t>JPD3VS004</t>
  </si>
  <si>
    <t>ABIR ALI H BALLAN</t>
  </si>
  <si>
    <t>2421-0</t>
  </si>
  <si>
    <t>JPD3VS003</t>
  </si>
  <si>
    <t>OSAMA MAKRAM WAHBY GUIRGUIS</t>
  </si>
  <si>
    <t>OMWAHBY@HOTMAIL.COM</t>
  </si>
  <si>
    <t>971|50-3418431</t>
  </si>
  <si>
    <t>2422-0</t>
  </si>
  <si>
    <t>JPD3VS002</t>
  </si>
  <si>
    <t>PARTAB RELUMAL RAICHANDANI</t>
  </si>
  <si>
    <t>profile@eim.ae</t>
  </si>
  <si>
    <t>JAYA PARTAB RAICHANDANI</t>
  </si>
  <si>
    <t>2423-0</t>
  </si>
  <si>
    <t>JPD3VS001</t>
  </si>
  <si>
    <t>SAHBA KAMAL KELBASI</t>
  </si>
  <si>
    <t>971|55-4439439</t>
  </si>
  <si>
    <t>2424-0</t>
  </si>
  <si>
    <t>JPD3VL058</t>
  </si>
  <si>
    <t>2425-0</t>
  </si>
  <si>
    <t>JPD3VL057</t>
  </si>
  <si>
    <t>2426-0</t>
  </si>
  <si>
    <t>JPD3VL056</t>
  </si>
  <si>
    <t>2427-0</t>
  </si>
  <si>
    <t>JPD3VL055</t>
  </si>
  <si>
    <t>2428-0</t>
  </si>
  <si>
    <t>JPD3VL054</t>
  </si>
  <si>
    <t>2429-0</t>
  </si>
  <si>
    <t>JPD3VL053</t>
  </si>
  <si>
    <t>2430-0</t>
  </si>
  <si>
    <t>JPD3VL052</t>
  </si>
  <si>
    <t>2431-0</t>
  </si>
  <si>
    <t>JPD3VL051</t>
  </si>
  <si>
    <t>2432-0</t>
  </si>
  <si>
    <t>JPD3VL050</t>
  </si>
  <si>
    <t>2433-0</t>
  </si>
  <si>
    <t>JPD3VL049</t>
  </si>
  <si>
    <t>2434-0</t>
  </si>
  <si>
    <t>JPD3VL048</t>
  </si>
  <si>
    <t>2435-0</t>
  </si>
  <si>
    <t>JPD3VL047</t>
  </si>
  <si>
    <t>2436-0</t>
  </si>
  <si>
    <t>JPD3VL046</t>
  </si>
  <si>
    <t>02-6437979</t>
  </si>
  <si>
    <t>2437-0</t>
  </si>
  <si>
    <t>JPD3VL045</t>
  </si>
  <si>
    <t>2438-0</t>
  </si>
  <si>
    <t>JPD3VL044</t>
  </si>
  <si>
    <t>2439-0</t>
  </si>
  <si>
    <t>JPD3VL043</t>
  </si>
  <si>
    <t>2440-0</t>
  </si>
  <si>
    <t>JPD3VL042</t>
  </si>
  <si>
    <t>MUHAMMAD SABEEH KHAWAJA</t>
  </si>
  <si>
    <t>SEEMA MONEM MUHAMMAD SABEEH</t>
  </si>
  <si>
    <t>2441-0</t>
  </si>
  <si>
    <t>JPD4V034</t>
  </si>
  <si>
    <t>FARRUKH SAEED MUHAMMAD (DXB/V678</t>
  </si>
  <si>
    <t>2442-0</t>
  </si>
  <si>
    <t>JPD4V033</t>
  </si>
  <si>
    <t>SHAHEDA CHAND</t>
  </si>
  <si>
    <t>shaheda.chand@damanhealth.ae</t>
  </si>
  <si>
    <t>2443-0</t>
  </si>
  <si>
    <t>JPD4V032</t>
  </si>
  <si>
    <t>MOHAMAD KHALED SEF EDDEN HAJ YOUNES</t>
  </si>
  <si>
    <t>khaled.younes@gmail.com</t>
  </si>
  <si>
    <t>971|55-2222977</t>
  </si>
  <si>
    <t>971|552222977</t>
  </si>
  <si>
    <t>2444-0</t>
  </si>
  <si>
    <t>JPD4V031</t>
  </si>
  <si>
    <t>DORIS PHILIP BIBAWY</t>
  </si>
  <si>
    <t>2445-0</t>
  </si>
  <si>
    <t>JPD4V030</t>
  </si>
  <si>
    <t>VINOD RAMABHADRAN</t>
  </si>
  <si>
    <t>2446-0</t>
  </si>
  <si>
    <t>JPD4V029</t>
  </si>
  <si>
    <t>MALIHA SHEHZAD HAMEED SHEHZAD FAISAL HAMEED</t>
  </si>
  <si>
    <t>2447-0</t>
  </si>
  <si>
    <t>JPD4V028</t>
  </si>
  <si>
    <t>ADNAN SALEH O KAZLI</t>
  </si>
  <si>
    <t>2448-0</t>
  </si>
  <si>
    <t>JPD4V027</t>
  </si>
  <si>
    <t>HOSSEIN VALIOLLAH SHOJAEDDIN</t>
  </si>
  <si>
    <t>971|50-2177272</t>
  </si>
  <si>
    <t>971|502177272</t>
  </si>
  <si>
    <t>2449-0</t>
  </si>
  <si>
    <t>JPD4V026</t>
  </si>
  <si>
    <t>BASHAR IZZIDDIN ABDELMUHSEN FARSAKH</t>
  </si>
  <si>
    <t>BASH@GMAIL.COM</t>
  </si>
  <si>
    <t>2450-0</t>
  </si>
  <si>
    <t>JPD4V025</t>
  </si>
  <si>
    <t>SIRINE FRAIJE</t>
  </si>
  <si>
    <t>2451-0</t>
  </si>
  <si>
    <t>JPD4V024</t>
  </si>
  <si>
    <t>MANISHA KUMAR KHATANHAR</t>
  </si>
  <si>
    <t>chhabrags@gmail.com</t>
  </si>
  <si>
    <t>GURCHARAN SINGH CHHABRA</t>
  </si>
  <si>
    <t>2452-0</t>
  </si>
  <si>
    <t>JPD4V023</t>
  </si>
  <si>
    <t>NASSER ASMATULLAH PARACHA</t>
  </si>
  <si>
    <t>nasserparacha@gmail.com</t>
  </si>
  <si>
    <t>971|50-4546316</t>
  </si>
  <si>
    <t>2453-0</t>
  </si>
  <si>
    <t>JPD4V022</t>
  </si>
  <si>
    <t>BUNTY KAPUR</t>
  </si>
  <si>
    <t>971|0506580485</t>
  </si>
  <si>
    <t>971|050-6580</t>
  </si>
  <si>
    <t>2454-0</t>
  </si>
  <si>
    <t>JPD4V021</t>
  </si>
  <si>
    <t>RAMAN KUMAR SHANI</t>
  </si>
  <si>
    <t>ggfg@gfgf.GG</t>
  </si>
  <si>
    <t>971|52-0000000</t>
  </si>
  <si>
    <t>2455-0</t>
  </si>
  <si>
    <t>JPD4V020</t>
  </si>
  <si>
    <t>SHAIKH SUHAIL MAKTOUM JUMA AL MAKTOUM</t>
  </si>
  <si>
    <t>pro2a2002@yahoo.com</t>
  </si>
  <si>
    <t>971|50-5025555</t>
  </si>
  <si>
    <t>971|502555544</t>
  </si>
  <si>
    <t>2456-0</t>
  </si>
  <si>
    <t>JPD4V019</t>
  </si>
  <si>
    <t>SHAKEEL HUSSAIN</t>
  </si>
  <si>
    <t>2457-0</t>
  </si>
  <si>
    <t>JPD4V018</t>
  </si>
  <si>
    <t>MAHMOUD NIMER</t>
  </si>
  <si>
    <t>Nidal@starlinkme.net</t>
  </si>
  <si>
    <t>971|50-7276582</t>
  </si>
  <si>
    <t>2458-0</t>
  </si>
  <si>
    <t>JPD4V017</t>
  </si>
  <si>
    <t>MOHAMMED SALEEM QASSIM</t>
  </si>
  <si>
    <t>2953000-04</t>
  </si>
  <si>
    <t>HUMERA QASSIM</t>
  </si>
  <si>
    <t>2459-0</t>
  </si>
  <si>
    <t>JPD4V016</t>
  </si>
  <si>
    <t>2460-0</t>
  </si>
  <si>
    <t>JPD4V015</t>
  </si>
  <si>
    <t>2461-0</t>
  </si>
  <si>
    <t>JPD4V014</t>
  </si>
  <si>
    <t>PATRICIA SOARES DE AMORIM</t>
  </si>
  <si>
    <t>2462-0</t>
  </si>
  <si>
    <t>JPD4V013</t>
  </si>
  <si>
    <t>YASIR SABRI ABDULRAOOF M RADHI</t>
  </si>
  <si>
    <t>MohammadWaseem@adcb.com</t>
  </si>
  <si>
    <t>971|50-6459290</t>
  </si>
  <si>
    <t>2463-0</t>
  </si>
  <si>
    <t>JPD4V012</t>
  </si>
  <si>
    <t>MUSTAFA SAAID</t>
  </si>
  <si>
    <t>3683786-04</t>
  </si>
  <si>
    <t>2464-0</t>
  </si>
  <si>
    <t>JPD4V011</t>
  </si>
  <si>
    <t>SUBHADRA SATAPATHY RAGHUNATH</t>
  </si>
  <si>
    <t>971|50-6513640</t>
  </si>
  <si>
    <t>2465-0</t>
  </si>
  <si>
    <t>JPD4V049</t>
  </si>
  <si>
    <t>KATHRYN PATRICIA HARRIS</t>
  </si>
  <si>
    <t>2466-0</t>
  </si>
  <si>
    <t>JPD4V048</t>
  </si>
  <si>
    <t>SANJAY SINHA</t>
  </si>
  <si>
    <t>ROMSHI SINHA</t>
  </si>
  <si>
    <t>00971-55-4648383</t>
  </si>
  <si>
    <t>2467-0</t>
  </si>
  <si>
    <t>JPD4V047</t>
  </si>
  <si>
    <t>IREM BALTACI YAZLAR</t>
  </si>
  <si>
    <t>971|50-5586675</t>
  </si>
  <si>
    <t>OKTAY YAZLAR</t>
  </si>
  <si>
    <t>2468-0</t>
  </si>
  <si>
    <t>JPD4V046</t>
  </si>
  <si>
    <t>SHIRAZ GULAM HUSSEIN HAMIRANI</t>
  </si>
  <si>
    <t>amirani@papchase.com</t>
  </si>
  <si>
    <t>2469-0</t>
  </si>
  <si>
    <t>JPD4V045</t>
  </si>
  <si>
    <t>YASSIEN SHANSHAL</t>
  </si>
  <si>
    <t>971|50-3471767</t>
  </si>
  <si>
    <t>971|0503471767</t>
  </si>
  <si>
    <t>2470-0</t>
  </si>
  <si>
    <t>JPD4V044</t>
  </si>
  <si>
    <t>2471-0</t>
  </si>
  <si>
    <t>JPD4V043</t>
  </si>
  <si>
    <t>2472-0</t>
  </si>
  <si>
    <t>JPD4V042</t>
  </si>
  <si>
    <t>NEETA SHYAMDAS PAGARANI</t>
  </si>
  <si>
    <t>2473-0</t>
  </si>
  <si>
    <t>JPD4V041</t>
  </si>
  <si>
    <t>MANOHAR KUMAR KATEJA</t>
  </si>
  <si>
    <t>971|55-2239699</t>
  </si>
  <si>
    <t>971|552000230</t>
  </si>
  <si>
    <t>2474-0</t>
  </si>
  <si>
    <t>JPD4V040</t>
  </si>
  <si>
    <t>SUHAIL GONDAL</t>
  </si>
  <si>
    <t>2475-0</t>
  </si>
  <si>
    <t>JPD4V039</t>
  </si>
  <si>
    <t>NARINEH BADROS DIRATZOUIAN</t>
  </si>
  <si>
    <t>2476-0</t>
  </si>
  <si>
    <t>JPD4V038</t>
  </si>
  <si>
    <t>FAHMIDA R NASER</t>
  </si>
  <si>
    <t>971|50-1586548</t>
  </si>
  <si>
    <t>971|501586548</t>
  </si>
  <si>
    <t>2477-0</t>
  </si>
  <si>
    <t>JPD4V037</t>
  </si>
  <si>
    <t>KHUSHBOO SAI MANOHAR GANDHI</t>
  </si>
  <si>
    <t>saigandhi@hotmail.com</t>
  </si>
  <si>
    <t>971|50-5500868</t>
  </si>
  <si>
    <t>SAI MANOHAR GUL GANDHI</t>
  </si>
  <si>
    <t>2478-0</t>
  </si>
  <si>
    <t>JPD4V036</t>
  </si>
  <si>
    <t>DONDIE MICHELE BECKER</t>
  </si>
  <si>
    <t>goobs_92101@yahoo.com</t>
  </si>
  <si>
    <t>971|55-9160231</t>
  </si>
  <si>
    <t>971|559160231</t>
  </si>
  <si>
    <t>2479-0</t>
  </si>
  <si>
    <t>JPD4V035</t>
  </si>
  <si>
    <t>MAHOMED FIROZ YAKUB ISMAIL</t>
  </si>
  <si>
    <t>entrustee@entrusttitle.com</t>
  </si>
  <si>
    <t>971|50-8068192</t>
  </si>
  <si>
    <t>2480-0</t>
  </si>
  <si>
    <t>JPD5V019</t>
  </si>
  <si>
    <t>PAWANDEEP GALLA</t>
  </si>
  <si>
    <t>2481-0</t>
  </si>
  <si>
    <t>JPD5V018</t>
  </si>
  <si>
    <t>MASOUD MANLA</t>
  </si>
  <si>
    <t>2482-0</t>
  </si>
  <si>
    <t>JPD5V017</t>
  </si>
  <si>
    <t>PAUL GODWIN NANDWANI</t>
  </si>
  <si>
    <t>3432322-04</t>
  </si>
  <si>
    <t>2483-0</t>
  </si>
  <si>
    <t>JPD5V016</t>
  </si>
  <si>
    <t>2484-0</t>
  </si>
  <si>
    <t>JPD5V015</t>
  </si>
  <si>
    <t>2485-0</t>
  </si>
  <si>
    <t>JPD5V014</t>
  </si>
  <si>
    <t>2486-0</t>
  </si>
  <si>
    <t>JPD5V013</t>
  </si>
  <si>
    <t>HAMAD ABDULSALAM AHMED AL ALI</t>
  </si>
  <si>
    <t>FAHAD ADNAN MOHAMED SEDDEEQI</t>
  </si>
  <si>
    <t>2487-0</t>
  </si>
  <si>
    <t>JPD5V012</t>
  </si>
  <si>
    <t>MONA MILAD ALAMIL</t>
  </si>
  <si>
    <t>2488-0</t>
  </si>
  <si>
    <t>JPD5V011</t>
  </si>
  <si>
    <t>MHD WALID MHD ALI ALAKAWI</t>
  </si>
  <si>
    <t>IQBALDENA@YAHOO.COM</t>
  </si>
  <si>
    <t>971|50-7863356</t>
  </si>
  <si>
    <t>2489-0</t>
  </si>
  <si>
    <t>JPD5V010</t>
  </si>
  <si>
    <t>2490-0</t>
  </si>
  <si>
    <t>JPD5V009</t>
  </si>
  <si>
    <t>MUHAMMAD SHEHVER SULTAN MUHAMMAD SIKANDER SULTAN</t>
  </si>
  <si>
    <t>2491-0</t>
  </si>
  <si>
    <t>JPD5V008</t>
  </si>
  <si>
    <t>JOHANNES DANIEL SCHREUDERS</t>
  </si>
  <si>
    <t>2492-0</t>
  </si>
  <si>
    <t>JPD5V007</t>
  </si>
  <si>
    <t>ALI MOHAMED AII MUBARAK</t>
  </si>
  <si>
    <t>2493-0</t>
  </si>
  <si>
    <t>JPD5V006</t>
  </si>
  <si>
    <t>FIRAS NAFEA WADEEA</t>
  </si>
  <si>
    <t>971|55-0555551</t>
  </si>
  <si>
    <t>2494-0</t>
  </si>
  <si>
    <t>JPD5V005</t>
  </si>
  <si>
    <t>MOHAMMAD HASAN METLA</t>
  </si>
  <si>
    <t>NADIA HUSSAIN</t>
  </si>
  <si>
    <t>2495-0</t>
  </si>
  <si>
    <t>JPD5V004</t>
  </si>
  <si>
    <t>ZEENATH ABDUL GAFAR HAJI GAFFAR SHAKUR</t>
  </si>
  <si>
    <t>2496-0</t>
  </si>
  <si>
    <t>JPD5V003</t>
  </si>
  <si>
    <t>HOSSEIN EHSANOLLAH SOUFIPOUREMAM</t>
  </si>
  <si>
    <t>h.soufi@eworldco.cc</t>
  </si>
  <si>
    <t>2497-0</t>
  </si>
  <si>
    <t>JPD5V002</t>
  </si>
  <si>
    <t>DILMEET SINGH SAHNEY</t>
  </si>
  <si>
    <t>dilmeet@safcointl.com</t>
  </si>
  <si>
    <t>971|50-4524940</t>
  </si>
  <si>
    <t>971|0504524940</t>
  </si>
  <si>
    <t>2498-0</t>
  </si>
  <si>
    <t>JPD5V001</t>
  </si>
  <si>
    <t>AHMED HASSAN M ASSERI</t>
  </si>
  <si>
    <t>2499-0</t>
  </si>
  <si>
    <t>JPD4V050</t>
  </si>
  <si>
    <t>SURESH TARACHAND KHANCHANDANI</t>
  </si>
  <si>
    <t>971|52-7777850</t>
  </si>
  <si>
    <t>VIDYA SURESH KHAN CHANDANI</t>
  </si>
  <si>
    <t>971|0506516918</t>
  </si>
  <si>
    <t>SURESH.KHANCHANDANI@GMAIL.COM</t>
  </si>
  <si>
    <t>971|55-2238918</t>
  </si>
  <si>
    <t>971|506516918</t>
  </si>
  <si>
    <t>2500-0</t>
  </si>
  <si>
    <t>JPD5V020</t>
  </si>
  <si>
    <t>HANI SAMMAN</t>
  </si>
  <si>
    <t>hanisamman73@gmail.com</t>
  </si>
  <si>
    <t>971|50-4577755</t>
  </si>
  <si>
    <t>971|504577755</t>
  </si>
  <si>
    <t>2501-0</t>
  </si>
  <si>
    <t>JPD5V021</t>
  </si>
  <si>
    <t>VICTORIA RUSSO</t>
  </si>
  <si>
    <t>JOEL MATTHEW RUSSO</t>
  </si>
  <si>
    <t>2502-0</t>
  </si>
  <si>
    <t>JPD5V022</t>
  </si>
  <si>
    <t>NEETA THAKUR</t>
  </si>
  <si>
    <t>H@HOTMAIL.COM</t>
  </si>
  <si>
    <t>971|50-4414488</t>
  </si>
  <si>
    <t>971|50-9715649</t>
  </si>
  <si>
    <t>971|9715649420</t>
  </si>
  <si>
    <t>2503-0</t>
  </si>
  <si>
    <t>JPD5V023</t>
  </si>
  <si>
    <t>SHOIEB AHMAD KHAN</t>
  </si>
  <si>
    <t>971|0504589925</t>
  </si>
  <si>
    <t>971|51-0504589</t>
  </si>
  <si>
    <t>NAZIA KHAN</t>
  </si>
  <si>
    <t>971|50-5517478</t>
  </si>
  <si>
    <t>971|0504141881</t>
  </si>
  <si>
    <t>2504-0</t>
  </si>
  <si>
    <t>JPD5V024</t>
  </si>
  <si>
    <t>ZAFAR ADAMJEE</t>
  </si>
  <si>
    <t>2505-0</t>
  </si>
  <si>
    <t>JPD5V025</t>
  </si>
  <si>
    <t>JASPREET SINGH SAWHNEY</t>
  </si>
  <si>
    <t>00@000.com</t>
  </si>
  <si>
    <t>971|50-2814522</t>
  </si>
  <si>
    <t>971|502814522</t>
  </si>
  <si>
    <t>2506-0</t>
  </si>
  <si>
    <t>JPD5V026</t>
  </si>
  <si>
    <t>SALWA HAMMAMI</t>
  </si>
  <si>
    <t>2507-0</t>
  </si>
  <si>
    <t>JPD5V027</t>
  </si>
  <si>
    <t>2508-0</t>
  </si>
  <si>
    <t>JPD5V028</t>
  </si>
  <si>
    <t>ASEM SALEH QASEM AL KHATIB</t>
  </si>
  <si>
    <t>2509-0</t>
  </si>
  <si>
    <t>JPD5V029</t>
  </si>
  <si>
    <t>AMNA SHAHID QURESHI SHAHID MEHMOOD</t>
  </si>
  <si>
    <t>971|0563687611</t>
  </si>
  <si>
    <t>AMNA@YAHOO.COM</t>
  </si>
  <si>
    <t>971|56-3687611</t>
  </si>
  <si>
    <t>2510-0</t>
  </si>
  <si>
    <t>JPD5V030</t>
  </si>
  <si>
    <t>FETEEN AYMEN BASSALAH</t>
  </si>
  <si>
    <t>971|0505823971</t>
  </si>
  <si>
    <t>971|50-5823971</t>
  </si>
  <si>
    <t>2511-0</t>
  </si>
  <si>
    <t>JPD5V031</t>
  </si>
  <si>
    <t>2512-0</t>
  </si>
  <si>
    <t>JPD5V032</t>
  </si>
  <si>
    <t>SHWAN MUSTAFA SAIEED</t>
  </si>
  <si>
    <t>971|50-2522059</t>
  </si>
  <si>
    <t>971|50252205</t>
  </si>
  <si>
    <t>2513-0</t>
  </si>
  <si>
    <t>JPD5V033</t>
  </si>
  <si>
    <t>ALI REZA NEMATI</t>
  </si>
  <si>
    <t>anemati@gmail.com</t>
  </si>
  <si>
    <t>971|50-6463222</t>
  </si>
  <si>
    <t>NADINE FARRA</t>
  </si>
  <si>
    <t>2514-0</t>
  </si>
  <si>
    <t>JPD5V034</t>
  </si>
  <si>
    <t>SADAF JAMIL</t>
  </si>
  <si>
    <t>971|50-5582530</t>
  </si>
  <si>
    <t>971|505582530</t>
  </si>
  <si>
    <t>KHURAM MAQSOOD ARIF MAQSOOD</t>
  </si>
  <si>
    <t>2515-0</t>
  </si>
  <si>
    <t>JPD5V035</t>
  </si>
  <si>
    <t>GAHTAN ABDULLAH O BALKHAIR</t>
  </si>
  <si>
    <t>2516-0</t>
  </si>
  <si>
    <t>JPD5V036</t>
  </si>
  <si>
    <t>PANKAJ MOHANDAS KARAMCHANDANI</t>
  </si>
  <si>
    <t>2517-0</t>
  </si>
  <si>
    <t>JPD5V037</t>
  </si>
  <si>
    <t>RAMIN ARMAN</t>
  </si>
  <si>
    <t>2518-0</t>
  </si>
  <si>
    <t>JPD5V038</t>
  </si>
  <si>
    <t>PARVEZ AHMAD</t>
  </si>
  <si>
    <t>TANVEER CHAMAN</t>
  </si>
  <si>
    <t>2519-0</t>
  </si>
  <si>
    <t>JPD5V039</t>
  </si>
  <si>
    <t>2520-0</t>
  </si>
  <si>
    <t>JPD5V040</t>
  </si>
  <si>
    <t>2521-0</t>
  </si>
  <si>
    <t>JPE3VL001</t>
  </si>
  <si>
    <t>JARNA SURAJ NAIK</t>
  </si>
  <si>
    <t>971|0528344040</t>
  </si>
  <si>
    <t>jarna11@yahoo.com</t>
  </si>
  <si>
    <t>971|52-8344040</t>
  </si>
  <si>
    <t>971|8344040</t>
  </si>
  <si>
    <t>2522-0</t>
  </si>
  <si>
    <t>JPE3VL002</t>
  </si>
  <si>
    <t>VAJAHAT HUSSAIN</t>
  </si>
  <si>
    <t>971|50-2917355</t>
  </si>
  <si>
    <t>971|504587679</t>
  </si>
  <si>
    <t>2523-0</t>
  </si>
  <si>
    <t>JPE3VL003</t>
  </si>
  <si>
    <t>NITIN AGARWAL</t>
  </si>
  <si>
    <t>VINIE BANSAL JAGTESHWAR</t>
  </si>
  <si>
    <t>2524-0</t>
  </si>
  <si>
    <t>JPE3VL004</t>
  </si>
  <si>
    <t>NOMAN GHAFFAR</t>
  </si>
  <si>
    <t>2525-0</t>
  </si>
  <si>
    <t>JPE3VL005</t>
  </si>
  <si>
    <t>RAJEEV KUMAR BULANI</t>
  </si>
  <si>
    <t>2526-0</t>
  </si>
  <si>
    <t>JPE3VL006</t>
  </si>
  <si>
    <t>REGINALD SAM THOMPSON</t>
  </si>
  <si>
    <t>2527-0</t>
  </si>
  <si>
    <t>JPE3VL007</t>
  </si>
  <si>
    <t>ARUN SINGH</t>
  </si>
  <si>
    <t>ARUNSJSINGH@YAHOO.COM</t>
  </si>
  <si>
    <t>971|56-4847356</t>
  </si>
  <si>
    <t>971|564847356</t>
  </si>
  <si>
    <t>2528-0</t>
  </si>
  <si>
    <t>JPE3VL008</t>
  </si>
  <si>
    <t>TANIA SALEM H EL YACOUBI</t>
  </si>
  <si>
    <t>2529-0</t>
  </si>
  <si>
    <t>JPE3VL009</t>
  </si>
  <si>
    <t>NAEEM FAKHRI BANDUKWALA</t>
  </si>
  <si>
    <t>2530-0</t>
  </si>
  <si>
    <t>JPE3VL010</t>
  </si>
  <si>
    <t>MOHAMMAD SALMAN AL ASWAD</t>
  </si>
  <si>
    <t>MASWAD@INGR.AE</t>
  </si>
  <si>
    <t>971|50-4478282</t>
  </si>
  <si>
    <t>JI SHENFENG</t>
  </si>
  <si>
    <t>2531-0</t>
  </si>
  <si>
    <t>JPE3VL011</t>
  </si>
  <si>
    <t>OUROUBA AL SAHIR</t>
  </si>
  <si>
    <t>971|50-4762069</t>
  </si>
  <si>
    <t>971|504762069</t>
  </si>
  <si>
    <t>2532-0</t>
  </si>
  <si>
    <t>JPE3VL012</t>
  </si>
  <si>
    <t>RAJESH KHANEJA</t>
  </si>
  <si>
    <t>2533-0</t>
  </si>
  <si>
    <t>JPE3VL013</t>
  </si>
  <si>
    <t>DEEPAK KUMAR LAL</t>
  </si>
  <si>
    <t>2534-0</t>
  </si>
  <si>
    <t>JPE3VL014</t>
  </si>
  <si>
    <t>HOSSEIN ALI NAGHI DOOST MOHAMMADY</t>
  </si>
  <si>
    <t>2535-0</t>
  </si>
  <si>
    <t>JPE3VL015</t>
  </si>
  <si>
    <t>JOE NICOLAS</t>
  </si>
  <si>
    <t>nicolas.joe@gmail.com</t>
  </si>
  <si>
    <t>971|50-9188390</t>
  </si>
  <si>
    <t>971|0509188390</t>
  </si>
  <si>
    <t>2536-0</t>
  </si>
  <si>
    <t>JPE3VL016</t>
  </si>
  <si>
    <t>AMRO KHALIL</t>
  </si>
  <si>
    <t>2537-0</t>
  </si>
  <si>
    <t>JPE3VL017</t>
  </si>
  <si>
    <t>SARAH MAHMOUD ABDEL QADER ALKHATEEB</t>
  </si>
  <si>
    <t>SHADI M I I W DAJANI</t>
  </si>
  <si>
    <t>2538-0</t>
  </si>
  <si>
    <t>JPE3VL018</t>
  </si>
  <si>
    <t>SAMER ABU LTAIF</t>
  </si>
  <si>
    <t>2539-0</t>
  </si>
  <si>
    <t>JPE3VL019</t>
  </si>
  <si>
    <t>MANPREET SINGH</t>
  </si>
  <si>
    <t>JASLEEN KAUR SALUJA</t>
  </si>
  <si>
    <t>2540-0</t>
  </si>
  <si>
    <t>JPE3VL020</t>
  </si>
  <si>
    <t>GIRISHCHIMAN DARYANI</t>
  </si>
  <si>
    <t>2541-0</t>
  </si>
  <si>
    <t>JPE3VL021</t>
  </si>
  <si>
    <t>MARWAN AKRAM SALAM</t>
  </si>
  <si>
    <t>971|56-7987756</t>
  </si>
  <si>
    <t>ROLA JAWAD SALAM</t>
  </si>
  <si>
    <t>2542-0</t>
  </si>
  <si>
    <t>JPE3VL022</t>
  </si>
  <si>
    <t>MARC EDWARDS</t>
  </si>
  <si>
    <t>971|50-5530414</t>
  </si>
  <si>
    <t>971|8809832</t>
  </si>
  <si>
    <t>2543-0</t>
  </si>
  <si>
    <t>JPE3VL023</t>
  </si>
  <si>
    <t>JORG HANS PETER MEYER</t>
  </si>
  <si>
    <t>2544-0</t>
  </si>
  <si>
    <t>JPE3VL024</t>
  </si>
  <si>
    <t>HABIB YAZBECK</t>
  </si>
  <si>
    <t>JESSY PETER ABDUL NOUR</t>
  </si>
  <si>
    <t>2545-0</t>
  </si>
  <si>
    <t>JPE3VL025</t>
  </si>
  <si>
    <t>2546-0</t>
  </si>
  <si>
    <t>JPE3VL026</t>
  </si>
  <si>
    <t>RAMI MUSTAFA ALSALEEM</t>
  </si>
  <si>
    <t>971|50-1488557</t>
  </si>
  <si>
    <t>971|501488557</t>
  </si>
  <si>
    <t>2547-0</t>
  </si>
  <si>
    <t>JPE3VL027</t>
  </si>
  <si>
    <t>EBADOLLAH MOHAMMAD KAZEM AHMADI LARI</t>
  </si>
  <si>
    <t>2852222-04</t>
  </si>
  <si>
    <t>2548-0</t>
  </si>
  <si>
    <t>JPE3VL028</t>
  </si>
  <si>
    <t>NITABEN MARU MARU</t>
  </si>
  <si>
    <t>971|56-5501025</t>
  </si>
  <si>
    <t>971|7755300</t>
  </si>
  <si>
    <t>2549-0</t>
  </si>
  <si>
    <t>JPE3VL029</t>
  </si>
  <si>
    <t>YASIR IQBAL</t>
  </si>
  <si>
    <t>971|55-9393911</t>
  </si>
  <si>
    <t>2550-0</t>
  </si>
  <si>
    <t>JPE3VL030</t>
  </si>
  <si>
    <t>ABHAY KRISHNAKUMAR WADE</t>
  </si>
  <si>
    <t>2551-0</t>
  </si>
  <si>
    <t>JPE3VL031</t>
  </si>
  <si>
    <t>OMER FAROOQ NAHI ALNAHI</t>
  </si>
  <si>
    <t>971|50-9861840</t>
  </si>
  <si>
    <t>971|509861840</t>
  </si>
  <si>
    <t>2552-0</t>
  </si>
  <si>
    <t>JPE3VL032</t>
  </si>
  <si>
    <t>LEILA BAHMAN DOLATSHAHI</t>
  </si>
  <si>
    <t>2553-0</t>
  </si>
  <si>
    <t>JPE3VL033</t>
  </si>
  <si>
    <t>ANUJ BHARGAVA</t>
  </si>
  <si>
    <t>2554-0</t>
  </si>
  <si>
    <t>JPE3VL034</t>
  </si>
  <si>
    <t>SHERIF HASSAN RIAD MOHAMED RIAD (DXB/V3255)</t>
  </si>
  <si>
    <t>2555-0</t>
  </si>
  <si>
    <t>JPE3VL035</t>
  </si>
  <si>
    <t>SHARIF LOUTFI AHMED MAZHAR MOHAMED AHMED</t>
  </si>
  <si>
    <t>2556-0</t>
  </si>
  <si>
    <t>JPE3VL036</t>
  </si>
  <si>
    <t>RAJESH ARORA</t>
  </si>
  <si>
    <t>Rajesh.Arora@unb.ae</t>
  </si>
  <si>
    <t>2557-0</t>
  </si>
  <si>
    <t>JPE3VL037</t>
  </si>
  <si>
    <t>EIMEAR CHRISTINA MARY MC ELROY</t>
  </si>
  <si>
    <t>2558-0</t>
  </si>
  <si>
    <t>JPE3VL038</t>
  </si>
  <si>
    <t>SAMIR AYOUB</t>
  </si>
  <si>
    <t>2559-0</t>
  </si>
  <si>
    <t>JPE3VL039</t>
  </si>
  <si>
    <t>2560-0</t>
  </si>
  <si>
    <t>JPE3VL040</t>
  </si>
  <si>
    <t>ADEL HASAN A ALDAKHEEL</t>
  </si>
  <si>
    <t>2561-0</t>
  </si>
  <si>
    <t>JPE3VL041</t>
  </si>
  <si>
    <t>VIKRANT BRIJ BHUSHAN GUPTA JINDAL</t>
  </si>
  <si>
    <t>971|50-6448839</t>
  </si>
  <si>
    <t>971|506448839</t>
  </si>
  <si>
    <t>2562-0</t>
  </si>
  <si>
    <t>JPE3VL042</t>
  </si>
  <si>
    <t>MOHAMMED MOSTAFA SIDDIK ULLAH</t>
  </si>
  <si>
    <t>mostafa.siddq@yahoo.com</t>
  </si>
  <si>
    <t>971|50-5083131</t>
  </si>
  <si>
    <t>971|5083131</t>
  </si>
  <si>
    <t>2563-0</t>
  </si>
  <si>
    <t>JPE3VL043</t>
  </si>
  <si>
    <t>2564-0</t>
  </si>
  <si>
    <t>JPE3VL044</t>
  </si>
  <si>
    <t>2565-0</t>
  </si>
  <si>
    <t>JPE3VL045</t>
  </si>
  <si>
    <t>MICHELLE JANE CANDEGGI</t>
  </si>
  <si>
    <t>2566-0</t>
  </si>
  <si>
    <t>JPE3VL046</t>
  </si>
  <si>
    <t>SEYED ALI JALALI</t>
  </si>
  <si>
    <t>971|506755069</t>
  </si>
  <si>
    <t>971|50-6755069</t>
  </si>
  <si>
    <t>JAVAD AKBAR AMIRI</t>
  </si>
  <si>
    <t>2567-0</t>
  </si>
  <si>
    <t>JPE3VL047</t>
  </si>
  <si>
    <t>HUIQI JI</t>
  </si>
  <si>
    <t>2568-0</t>
  </si>
  <si>
    <t>JPE3VL048</t>
  </si>
  <si>
    <t>FADI RAHIF BABA</t>
  </si>
  <si>
    <t>2569-0</t>
  </si>
  <si>
    <t>JPE3VL049</t>
  </si>
  <si>
    <t>MOHAMMADHOSSEIN ELAH ZAREI</t>
  </si>
  <si>
    <t>2570-0</t>
  </si>
  <si>
    <t>JPE3VL050</t>
  </si>
  <si>
    <t>SUNANDA THAROOR</t>
  </si>
  <si>
    <t>2571-0</t>
  </si>
  <si>
    <t>JPE3VL051</t>
  </si>
  <si>
    <t>BEJAN ROOHI</t>
  </si>
  <si>
    <t>2572-0</t>
  </si>
  <si>
    <t>JPE3VL052</t>
  </si>
  <si>
    <t>JAMAL ZOUBI</t>
  </si>
  <si>
    <t>971|50-4662259</t>
  </si>
  <si>
    <t>2573-0</t>
  </si>
  <si>
    <t>JPE3VL053</t>
  </si>
  <si>
    <t>GIRDHARBHAI HARIBHAI GAJERA</t>
  </si>
  <si>
    <t>971|5848632</t>
  </si>
  <si>
    <t>dmcclaxmi@gmail.com</t>
  </si>
  <si>
    <t>971|50-5848632</t>
  </si>
  <si>
    <t>971|555848632</t>
  </si>
  <si>
    <t>2574-0</t>
  </si>
  <si>
    <t>JPE3VS001</t>
  </si>
  <si>
    <t>CONCEPCION RODRIGUEZ REINA</t>
  </si>
  <si>
    <t>971|50-1111111</t>
  </si>
  <si>
    <t>2575-0</t>
  </si>
  <si>
    <t>JPE3VS002</t>
  </si>
  <si>
    <t>2576-0</t>
  </si>
  <si>
    <t>JPE3VS003</t>
  </si>
  <si>
    <t>ABDOLRAHIM SHEIKH MOHAMMAD SAEID FAGHIHI</t>
  </si>
  <si>
    <t>faghiho@emirates.net.ae</t>
  </si>
  <si>
    <t>971|6445228</t>
  </si>
  <si>
    <t>2577-0</t>
  </si>
  <si>
    <t>JPE3VS004</t>
  </si>
  <si>
    <t>2578-0</t>
  </si>
  <si>
    <t>JPE3VS005</t>
  </si>
  <si>
    <t>2579-0</t>
  </si>
  <si>
    <t>JPE3VS006</t>
  </si>
  <si>
    <t>ALEXANDER JAMES MARR</t>
  </si>
  <si>
    <t>2580-0</t>
  </si>
  <si>
    <t>JPE3VS007</t>
  </si>
  <si>
    <t>SAMEER SUNIL CHOPRA</t>
  </si>
  <si>
    <t>971|55-5591102</t>
  </si>
  <si>
    <t>971|555591102</t>
  </si>
  <si>
    <t>2581-0</t>
  </si>
  <si>
    <t>JPE3VS008</t>
  </si>
  <si>
    <t>ALI ABBAS MESFOROOSH</t>
  </si>
  <si>
    <t>AGHAREZA ABOLGHASEM MOTTAHEDAN</t>
  </si>
  <si>
    <t>971|50-6531232</t>
  </si>
  <si>
    <t>2582-0</t>
  </si>
  <si>
    <t>JPE3VS009</t>
  </si>
  <si>
    <t>SAMARIA HOLDINGS LIMITED</t>
  </si>
  <si>
    <t>2583-0</t>
  </si>
  <si>
    <t>JPE3VS010</t>
  </si>
  <si>
    <t>NAVIN RAMESH MIRPURI</t>
  </si>
  <si>
    <t>2584-0</t>
  </si>
  <si>
    <t>JPE3VS011</t>
  </si>
  <si>
    <t>HUSSAM BAHIJ FARIS KANAAN</t>
  </si>
  <si>
    <t>2585-0</t>
  </si>
  <si>
    <t>JPE3VS012</t>
  </si>
  <si>
    <t>SANA MOHAMAD AL SIRHI</t>
  </si>
  <si>
    <t>2586-0</t>
  </si>
  <si>
    <t>JPE3VS013</t>
  </si>
  <si>
    <t>ABIR MOHAMAD AL SARHI</t>
  </si>
  <si>
    <t>2587-0</t>
  </si>
  <si>
    <t>JPE3VS014</t>
  </si>
  <si>
    <t>2588-0</t>
  </si>
  <si>
    <t>JPE3VS015</t>
  </si>
  <si>
    <t>SHIBU PANAYALLY RAMACHANDAN</t>
  </si>
  <si>
    <t>raj@dynamicdubai.com</t>
  </si>
  <si>
    <t>2589-0</t>
  </si>
  <si>
    <t>JPE3VS016</t>
  </si>
  <si>
    <t>MANISH GOEL</t>
  </si>
  <si>
    <t>971|55-1335588</t>
  </si>
  <si>
    <t>971|0551335588</t>
  </si>
  <si>
    <t>2590-0</t>
  </si>
  <si>
    <t>JPE3VS017</t>
  </si>
  <si>
    <t>JAMAL MOHAMAD AL SIRHI</t>
  </si>
  <si>
    <t>Seychelles</t>
  </si>
  <si>
    <t>2591-0</t>
  </si>
  <si>
    <t>JPE3VS018</t>
  </si>
  <si>
    <t>FADWA MOHAMMAD ALSIRHI [DXB/V5280]</t>
  </si>
  <si>
    <t>2592-0</t>
  </si>
  <si>
    <t>JPE3VS019</t>
  </si>
  <si>
    <t>JANTI MARWAN RASHID BIYOUK</t>
  </si>
  <si>
    <t>2593-0</t>
  </si>
  <si>
    <t>JPE4V001</t>
  </si>
  <si>
    <t>KHALED JIHAD OTHMAN ATWAN</t>
  </si>
  <si>
    <t>2594-0</t>
  </si>
  <si>
    <t>JPE4V002</t>
  </si>
  <si>
    <t>HUDA GHALIB ABDUL MUTALIB [DXB/V2903]</t>
  </si>
  <si>
    <t>2595-0</t>
  </si>
  <si>
    <t>JPE4V003</t>
  </si>
  <si>
    <t>ROSEMIN FIROZ ISMAIL</t>
  </si>
  <si>
    <t>FIROZ1956@YAHOO.COM</t>
  </si>
  <si>
    <t>2596-0</t>
  </si>
  <si>
    <t>JPE4V004</t>
  </si>
  <si>
    <t>AMITABH SWARUP</t>
  </si>
  <si>
    <t>000@hotmail.com</t>
  </si>
  <si>
    <t>971|55-4710151</t>
  </si>
  <si>
    <t>2597-0</t>
  </si>
  <si>
    <t>JPE4V005</t>
  </si>
  <si>
    <t>HURSH AGRAWAL</t>
  </si>
  <si>
    <t>2598-0</t>
  </si>
  <si>
    <t>JPE4V006</t>
  </si>
  <si>
    <t>JERRY DAVID PARKS</t>
  </si>
  <si>
    <t>MARIANNE PARKS</t>
  </si>
  <si>
    <t>2601-0</t>
  </si>
  <si>
    <t>JPG5V023</t>
  </si>
  <si>
    <t>OMER HASSAN ELAMIN ELSHEIKH</t>
  </si>
  <si>
    <t>2602-0</t>
  </si>
  <si>
    <t>JPG5V024</t>
  </si>
  <si>
    <t>RANA ZEESHAN SALEEM</t>
  </si>
  <si>
    <t>2606-0</t>
  </si>
  <si>
    <t>JPG5V028</t>
  </si>
  <si>
    <t>JNKD HOLDING LIMITED</t>
  </si>
  <si>
    <t>new500man@outlook.com</t>
  </si>
  <si>
    <t>2607-0</t>
  </si>
  <si>
    <t>JPG5V029</t>
  </si>
  <si>
    <t>JOHARATUSSHARAF MOOSABHOY</t>
  </si>
  <si>
    <t>2608-0</t>
  </si>
  <si>
    <t>JPG5V030</t>
  </si>
  <si>
    <t>2609-0</t>
  </si>
  <si>
    <t>JPG5V031</t>
  </si>
  <si>
    <t>RAJA KUMAR GANDHI</t>
  </si>
  <si>
    <t>2610-0</t>
  </si>
  <si>
    <t>JPG5V032</t>
  </si>
  <si>
    <t>MUNA SARI ADEL AWEIDAH</t>
  </si>
  <si>
    <t>majd@newmatic.ae</t>
  </si>
  <si>
    <t>MAJED ABOU LABAN</t>
  </si>
  <si>
    <t>2611-0</t>
  </si>
  <si>
    <t>JPG5V033</t>
  </si>
  <si>
    <t>LYNETTE JULIAN LOBO</t>
  </si>
  <si>
    <t>clarencejlobo@yahoo.com</t>
  </si>
  <si>
    <t>971|50-9022747</t>
  </si>
  <si>
    <t>971|504539303</t>
  </si>
  <si>
    <t>2612-0</t>
  </si>
  <si>
    <t>JPG5V034</t>
  </si>
  <si>
    <t>KATIE LUCY VEIRA</t>
  </si>
  <si>
    <t>971|50-6210388</t>
  </si>
  <si>
    <t>971|506210388</t>
  </si>
  <si>
    <t>2613-0</t>
  </si>
  <si>
    <t>JPG5V035</t>
  </si>
  <si>
    <t>IBRAHIM HISSEIN BOURMA</t>
  </si>
  <si>
    <t>2614-0</t>
  </si>
  <si>
    <t>JPG5V036</t>
  </si>
  <si>
    <t>HANA ABDULKAREEM S ALZAMEL</t>
  </si>
  <si>
    <t>hana@alzamelrealestate.com</t>
  </si>
  <si>
    <t>2615-0</t>
  </si>
  <si>
    <t>JPG5V037</t>
  </si>
  <si>
    <t>MENNATTALLA IBRAHIM MOHAMED AMIN ABDELRAHMAN</t>
  </si>
  <si>
    <t>2616-0</t>
  </si>
  <si>
    <t>JPG5V038</t>
  </si>
  <si>
    <t>RAHAF MOHAMAD ALDAROUICH</t>
  </si>
  <si>
    <t>samer@tanamiproperties.ae</t>
  </si>
  <si>
    <t>971|50-9846626</t>
  </si>
  <si>
    <t>971|509846626</t>
  </si>
  <si>
    <t>2617-0</t>
  </si>
  <si>
    <t>JPG5V039</t>
  </si>
  <si>
    <t>MOHAMMADSHAFIQ ABDUL RAZIQ</t>
  </si>
  <si>
    <t>971|504828110</t>
  </si>
  <si>
    <t>971|50-4828110</t>
  </si>
  <si>
    <t>2618-0</t>
  </si>
  <si>
    <t>JPG5V040</t>
  </si>
  <si>
    <t>2619-0</t>
  </si>
  <si>
    <t>JPG5V041</t>
  </si>
  <si>
    <t>ABULAITI MAIMAITI</t>
  </si>
  <si>
    <t>971|0528883777</t>
  </si>
  <si>
    <t>ABULAITI@GMAIL.COM</t>
  </si>
  <si>
    <t>971|52-8883777</t>
  </si>
  <si>
    <t>2620-0</t>
  </si>
  <si>
    <t>JPG5V042</t>
  </si>
  <si>
    <t>MOHAMMED SAJJADUL HOQUE</t>
  </si>
  <si>
    <t>SAJJAD@LIVEDUBAI.CO.UK</t>
  </si>
  <si>
    <t>2621-0</t>
  </si>
  <si>
    <t>JPG5V043</t>
  </si>
  <si>
    <t>SAMUEL AUGUSTUS SCHUBERT KINCH</t>
  </si>
  <si>
    <t>2622-0</t>
  </si>
  <si>
    <t>JPG5V044</t>
  </si>
  <si>
    <t>KASHIM MUSA TUMSAH</t>
  </si>
  <si>
    <t>2623-0</t>
  </si>
  <si>
    <t>JPG5V045</t>
  </si>
  <si>
    <t>SAAD KAZIM KAMAL ELDDIN ARAFAT</t>
  </si>
  <si>
    <t>2624-0</t>
  </si>
  <si>
    <t>JPG5V046</t>
  </si>
  <si>
    <t>RAMAN VAKKALANKA</t>
  </si>
  <si>
    <t>971|55-5509411</t>
  </si>
  <si>
    <t>2625-0</t>
  </si>
  <si>
    <t>JPG5V047</t>
  </si>
  <si>
    <t>MAHOMED FIROZ YAKUB ISMAIL (DXB/V2957)</t>
  </si>
  <si>
    <t>2626-0</t>
  </si>
  <si>
    <t>JPG5V048</t>
  </si>
  <si>
    <t>JAMAL MAJED KHALFAN BIN THENIYAH</t>
  </si>
  <si>
    <t>971|0506251222</t>
  </si>
  <si>
    <t>mohammed.hussain@dpworld.com</t>
  </si>
  <si>
    <t>971|50-6251222</t>
  </si>
  <si>
    <t>2627-0</t>
  </si>
  <si>
    <t>JPG5V049</t>
  </si>
  <si>
    <t>GELAS AHMED ALI</t>
  </si>
  <si>
    <t>as@as.com</t>
  </si>
  <si>
    <t>971|505896325</t>
  </si>
  <si>
    <t>2628-0</t>
  </si>
  <si>
    <t>JPG5V050</t>
  </si>
  <si>
    <t>2629-0</t>
  </si>
  <si>
    <t>JPG5V051</t>
  </si>
  <si>
    <t>HANA ZAFER TAHER MASRI</t>
  </si>
  <si>
    <t>3652807-04</t>
  </si>
  <si>
    <t>2630-0</t>
  </si>
  <si>
    <t>JPU4VL001</t>
  </si>
  <si>
    <t>HESHAM R A ALHATABEH</t>
  </si>
  <si>
    <t>hhatabeh@hhm-contracting.com</t>
  </si>
  <si>
    <t>971|50-1881754</t>
  </si>
  <si>
    <t>JPH3VL001</t>
  </si>
  <si>
    <t>2631-0</t>
  </si>
  <si>
    <t>JPH3VL002</t>
  </si>
  <si>
    <t>JAMAL ABDULLA RASHED MOHAMMED LOOTAH</t>
  </si>
  <si>
    <t>971|048128888</t>
  </si>
  <si>
    <t>jl@eim.ae</t>
  </si>
  <si>
    <t>971|50-6241624</t>
  </si>
  <si>
    <t>971|6241624</t>
  </si>
  <si>
    <t>JPU4VL002</t>
  </si>
  <si>
    <t>SALEH ABDULLA RASHED MOHAMMED LOOTAH</t>
  </si>
  <si>
    <t>jsjsjjdhh@gmail.com.net</t>
  </si>
  <si>
    <t>971|56-2245512</t>
  </si>
  <si>
    <t>971|562245512</t>
  </si>
  <si>
    <t>2632-0</t>
  </si>
  <si>
    <t>JPU4VL003</t>
  </si>
  <si>
    <t>SHAKIR MAHMOOD ABDULLA AL KUBAISI</t>
  </si>
  <si>
    <t>971|58-8858802</t>
  </si>
  <si>
    <t>971|588858802</t>
  </si>
  <si>
    <t>JPH3VL003</t>
  </si>
  <si>
    <t>2633-0</t>
  </si>
  <si>
    <t>JPU4VL004</t>
  </si>
  <si>
    <t>JPH3VL004</t>
  </si>
  <si>
    <t>2634-0</t>
  </si>
  <si>
    <t>JPH3VL005</t>
  </si>
  <si>
    <t>JPU4VL005</t>
  </si>
  <si>
    <t>2635-0</t>
  </si>
  <si>
    <t>JPU4VL006</t>
  </si>
  <si>
    <t>JPH3VL006</t>
  </si>
  <si>
    <t>2636-0</t>
  </si>
  <si>
    <t>JPH3VL007</t>
  </si>
  <si>
    <t>SAYED TAWAB SHAH KAZEMI</t>
  </si>
  <si>
    <t>971|50-0505018</t>
  </si>
  <si>
    <t>JPU4VL007</t>
  </si>
  <si>
    <t>FARZANA KAUSER KAZEMI</t>
  </si>
  <si>
    <t>971|51-0436222</t>
  </si>
  <si>
    <t>2637-0</t>
  </si>
  <si>
    <t>JPH3VL008</t>
  </si>
  <si>
    <t>MARCUS G GEORGE</t>
  </si>
  <si>
    <t>04 2830770</t>
  </si>
  <si>
    <t>mgeorge1@eim.ae</t>
  </si>
  <si>
    <t>050 6510625</t>
  </si>
  <si>
    <t>JPU4VL008</t>
  </si>
  <si>
    <t>2638-0</t>
  </si>
  <si>
    <t>JPU4VL009</t>
  </si>
  <si>
    <t>MOHIT KHUSHI KHATWANI</t>
  </si>
  <si>
    <t>3442415-04</t>
  </si>
  <si>
    <t>2639-0</t>
  </si>
  <si>
    <t>JPH3VL010</t>
  </si>
  <si>
    <t>JPU4VL010</t>
  </si>
  <si>
    <t>RAJESH VRAJLAL MEHTA</t>
  </si>
  <si>
    <t>971|50-5687296</t>
  </si>
  <si>
    <t>971|505687296</t>
  </si>
  <si>
    <t>2640-0</t>
  </si>
  <si>
    <t>JPH3VL011</t>
  </si>
  <si>
    <t>WEI HUANG GRELAUD</t>
  </si>
  <si>
    <t>971|50-6177640</t>
  </si>
  <si>
    <t>JPU4VL011</t>
  </si>
  <si>
    <t>2641-0</t>
  </si>
  <si>
    <t>JPH3VL012</t>
  </si>
  <si>
    <t>JPU4VL012</t>
  </si>
  <si>
    <t>ABDELLATIF BOUZIANI</t>
  </si>
  <si>
    <t>2642-0</t>
  </si>
  <si>
    <t>JPH3VL013</t>
  </si>
  <si>
    <t>BOWEN LIU</t>
  </si>
  <si>
    <t>971|52-8123888</t>
  </si>
  <si>
    <t>JPU4VL013</t>
  </si>
  <si>
    <t>2643-0</t>
  </si>
  <si>
    <t>JPH3VL014</t>
  </si>
  <si>
    <t>GIRISH KISHAN CHANDNANI</t>
  </si>
  <si>
    <t>971|50-6454267</t>
  </si>
  <si>
    <t>971|0506454267</t>
  </si>
  <si>
    <t>JPU4VL014</t>
  </si>
  <si>
    <t>2644-0</t>
  </si>
  <si>
    <t>JPH3VL015</t>
  </si>
  <si>
    <t>MUHAMMAD ALI HASHMAT ALI</t>
  </si>
  <si>
    <t>quintro@gmail.com</t>
  </si>
  <si>
    <t>971|56-1131725</t>
  </si>
  <si>
    <t>971|1131725</t>
  </si>
  <si>
    <t>JPU4VL015</t>
  </si>
  <si>
    <t>2645-0</t>
  </si>
  <si>
    <t>JPH3VL016</t>
  </si>
  <si>
    <t>JPU4VL016</t>
  </si>
  <si>
    <t>2646-0</t>
  </si>
  <si>
    <t>JPH3VL017</t>
  </si>
  <si>
    <t>MEHRDAD ALIASHRAF GHAYOOR BAVAND POUR</t>
  </si>
  <si>
    <t>JPU4VL017</t>
  </si>
  <si>
    <t>2647-0</t>
  </si>
  <si>
    <t>JPU4VL018</t>
  </si>
  <si>
    <t>BHAGWAN MANWANI</t>
  </si>
  <si>
    <t>971|50-5487878</t>
  </si>
  <si>
    <t>971|5487878</t>
  </si>
  <si>
    <t>JPH3VL018</t>
  </si>
  <si>
    <t>2648-0</t>
  </si>
  <si>
    <t>JPH3VL019</t>
  </si>
  <si>
    <t>FAROOQ OMAR DHARI AL HARDAN</t>
  </si>
  <si>
    <t>JPU4VL019</t>
  </si>
  <si>
    <t>2649-0</t>
  </si>
  <si>
    <t>JPH3VL020</t>
  </si>
  <si>
    <t>JPU4VL020</t>
  </si>
  <si>
    <t>2650-0</t>
  </si>
  <si>
    <t>JPU4VL021</t>
  </si>
  <si>
    <t>JPH3VL021</t>
  </si>
  <si>
    <t>2651-0</t>
  </si>
  <si>
    <t>JPU4VL022</t>
  </si>
  <si>
    <t>SAMARE SOPHIE KATIRAI</t>
  </si>
  <si>
    <t>971|506221449</t>
  </si>
  <si>
    <t>971|50-7555710</t>
  </si>
  <si>
    <t>JPH3VL022</t>
  </si>
  <si>
    <t>2652-0</t>
  </si>
  <si>
    <t>JPU4VL023</t>
  </si>
  <si>
    <t>RANIA MOHAMED ABDELHAFIZ ISMAIL</t>
  </si>
  <si>
    <t>971|50-6408475</t>
  </si>
  <si>
    <t>971|506408475</t>
  </si>
  <si>
    <t>JPH3VL023</t>
  </si>
  <si>
    <t>2653-0</t>
  </si>
  <si>
    <t>JPH3VL024</t>
  </si>
  <si>
    <t>JPU4VL024</t>
  </si>
  <si>
    <t>ABDOLLAH AHMED ZAMIN PEYMA</t>
  </si>
  <si>
    <t>971|50-6558830</t>
  </si>
  <si>
    <t>2654-0</t>
  </si>
  <si>
    <t>JPU4VL025</t>
  </si>
  <si>
    <t>MUHAMMAD AZAM MUHAMMAD NAZIR</t>
  </si>
  <si>
    <t>JPH3VL025</t>
  </si>
  <si>
    <t>2655-0</t>
  </si>
  <si>
    <t>JPH3VL026</t>
  </si>
  <si>
    <t>JPU4VL026</t>
  </si>
  <si>
    <t>2656-0</t>
  </si>
  <si>
    <t>JPH3VL027</t>
  </si>
  <si>
    <t>MOHAMMAD NAJE ALI ALROBIA</t>
  </si>
  <si>
    <t>971|043262951</t>
  </si>
  <si>
    <t>ribeeicoo@yahoo.com</t>
  </si>
  <si>
    <t>971|50-6584192</t>
  </si>
  <si>
    <t>971|506584192</t>
  </si>
  <si>
    <t>JPU4VL027</t>
  </si>
  <si>
    <t>2657-0</t>
  </si>
  <si>
    <t>JPU4V028</t>
  </si>
  <si>
    <t>ABDELAZIZ MOHAMED ABDELAZIZ MOHAMED</t>
  </si>
  <si>
    <t>JPH3VL028</t>
  </si>
  <si>
    <t>2658-0</t>
  </si>
  <si>
    <t>JPH3VL029</t>
  </si>
  <si>
    <t>JPU4V029</t>
  </si>
  <si>
    <t>ALI ABDULLA ALI YATEEM</t>
  </si>
  <si>
    <t>971|043285373</t>
  </si>
  <si>
    <t>yaco@emirates.net.ae</t>
  </si>
  <si>
    <t>971|50-57556</t>
  </si>
  <si>
    <t>2659-0</t>
  </si>
  <si>
    <t>JPH3VL030</t>
  </si>
  <si>
    <t>ZAHEERUDDIN AHMED</t>
  </si>
  <si>
    <t>971|55-9997883</t>
  </si>
  <si>
    <t>92|1111111111</t>
  </si>
  <si>
    <t>JPU4V030</t>
  </si>
  <si>
    <t>RACHA AL KHAWAJA</t>
  </si>
  <si>
    <t>971|50-8559004</t>
  </si>
  <si>
    <t>2660-0</t>
  </si>
  <si>
    <t>JPU4V031</t>
  </si>
  <si>
    <t>LAKSHMAN AMARASINGHE KAMMALGODA MUDALIGE DON</t>
  </si>
  <si>
    <t>971|50-5599978</t>
  </si>
  <si>
    <t>971|559997883</t>
  </si>
  <si>
    <t>JPH3VL031</t>
  </si>
  <si>
    <t>2661-0</t>
  </si>
  <si>
    <t>JPU4V032</t>
  </si>
  <si>
    <t>MOHSAN PARVEZ</t>
  </si>
  <si>
    <t>971|50-5596476</t>
  </si>
  <si>
    <t>971|5596476</t>
  </si>
  <si>
    <t>JPH3VL032</t>
  </si>
  <si>
    <t>2662-0</t>
  </si>
  <si>
    <t>JPU4V033</t>
  </si>
  <si>
    <t>DMITRY GUBAREV</t>
  </si>
  <si>
    <t>971|50-1578373</t>
  </si>
  <si>
    <t>971|1578373</t>
  </si>
  <si>
    <t>JPH3VL033</t>
  </si>
  <si>
    <t>2663-0</t>
  </si>
  <si>
    <t>JPU4V034</t>
  </si>
  <si>
    <t>YASIR ELSAYED ALI HASHIM ABDALLA</t>
  </si>
  <si>
    <t>971|0561024981</t>
  </si>
  <si>
    <t>Heard and McDonald Is.</t>
  </si>
  <si>
    <t>JPH3VL034</t>
  </si>
  <si>
    <t>2664-0</t>
  </si>
  <si>
    <t>JPU4V035</t>
  </si>
  <si>
    <t>GEORGE MOKBEL SOURIAL</t>
  </si>
  <si>
    <t>971|6134374</t>
  </si>
  <si>
    <t>971|50-6134374</t>
  </si>
  <si>
    <t>JPH3VL035</t>
  </si>
  <si>
    <t>2665-0</t>
  </si>
  <si>
    <t>JPU4V036</t>
  </si>
  <si>
    <t>HEATHER NIX</t>
  </si>
  <si>
    <t>971|50-8553800</t>
  </si>
  <si>
    <t>JPH3VL036</t>
  </si>
  <si>
    <t>FADI HUSSEIN REZEK</t>
  </si>
  <si>
    <t>2666-0</t>
  </si>
  <si>
    <t>JPH3VL037</t>
  </si>
  <si>
    <t>MAZEN ABDELAZIZ</t>
  </si>
  <si>
    <t>mazen1.alsad@hotmail.com</t>
  </si>
  <si>
    <t>971|50-4522154</t>
  </si>
  <si>
    <t>JPU4V037</t>
  </si>
  <si>
    <t>2667-0</t>
  </si>
  <si>
    <t>JPH3VL038</t>
  </si>
  <si>
    <t>JPU4V038</t>
  </si>
  <si>
    <t>2668-0</t>
  </si>
  <si>
    <t>JPH3VL039</t>
  </si>
  <si>
    <t>FARRUKH SOHAIL SALEEM IQBAL</t>
  </si>
  <si>
    <t>naghmeh_sh2001@yahoo.com</t>
  </si>
  <si>
    <t>971|50-3378100</t>
  </si>
  <si>
    <t>971|503378100</t>
  </si>
  <si>
    <t>JPU4V039</t>
  </si>
  <si>
    <t>2669-0</t>
  </si>
  <si>
    <t>JPU4V040</t>
  </si>
  <si>
    <t>ALREEM SAEED SALEM ALDEREI</t>
  </si>
  <si>
    <t>971|50-6660222</t>
  </si>
  <si>
    <t>JPH3VL040</t>
  </si>
  <si>
    <t>2670-0</t>
  </si>
  <si>
    <t>JPH3VL041</t>
  </si>
  <si>
    <t>ARDELAN ABDOLLAH ZAMINPEYMA</t>
  </si>
  <si>
    <t>971|50112804</t>
  </si>
  <si>
    <t>971|50-112804</t>
  </si>
  <si>
    <t>JPU4V041</t>
  </si>
  <si>
    <t>MAHMOOD MOHAMMED KHAZAL KHAZAL</t>
  </si>
  <si>
    <t>971|0551960</t>
  </si>
  <si>
    <t>2671-0</t>
  </si>
  <si>
    <t>JPU4V042</t>
  </si>
  <si>
    <t>JPH3VL042</t>
  </si>
  <si>
    <t>2672-0</t>
  </si>
  <si>
    <t>JPH3VL043</t>
  </si>
  <si>
    <t>ABDULLAH DAULATZAI</t>
  </si>
  <si>
    <t>JPU4V043</t>
  </si>
  <si>
    <t>2673-0</t>
  </si>
  <si>
    <t>JPU4V044</t>
  </si>
  <si>
    <t>JPH3VL044</t>
  </si>
  <si>
    <t>AJMAL DAULATZAI</t>
  </si>
  <si>
    <t>2674-0</t>
  </si>
  <si>
    <t>JPH3VL045</t>
  </si>
  <si>
    <t>SANJAY BAKHTAWAR SIROYA</t>
  </si>
  <si>
    <t>971|0506544363</t>
  </si>
  <si>
    <t>S@GMAIL.COM</t>
  </si>
  <si>
    <t>971|50-6544363</t>
  </si>
  <si>
    <t>JPU4V045</t>
  </si>
  <si>
    <t>2675-0</t>
  </si>
  <si>
    <t>JPH3VL046</t>
  </si>
  <si>
    <t>KAROL FARYS HIJAZ</t>
  </si>
  <si>
    <t>JPU4V046</t>
  </si>
  <si>
    <t>2676-0</t>
  </si>
  <si>
    <t>JPH3VL047</t>
  </si>
  <si>
    <t>ABDUL BASIT TAHIR ASHFAQ</t>
  </si>
  <si>
    <t>971|50-5026636</t>
  </si>
  <si>
    <t>JPU4V047</t>
  </si>
  <si>
    <t>2677-0</t>
  </si>
  <si>
    <t>JPU4V048</t>
  </si>
  <si>
    <t>JPH3VL048</t>
  </si>
  <si>
    <t>ADEEB MOHAMED YASIN ABDULGHAFOOR</t>
  </si>
  <si>
    <t>971|50-0504530</t>
  </si>
  <si>
    <t>2678-0</t>
  </si>
  <si>
    <t>JPU4V049</t>
  </si>
  <si>
    <t>MUHAMMAD ASHRAF QADRI ABDUL HAKEEM QURESHI</t>
  </si>
  <si>
    <t>971|52-9999056</t>
  </si>
  <si>
    <t>971|529999056</t>
  </si>
  <si>
    <t>JPH3VL049</t>
  </si>
  <si>
    <t>2679-0</t>
  </si>
  <si>
    <t>JPU4V050</t>
  </si>
  <si>
    <t>YOUSSEF OSSEILY</t>
  </si>
  <si>
    <t>JPH3VL050</t>
  </si>
  <si>
    <t>FARIBA PARVIN MILANI</t>
  </si>
  <si>
    <t>971|50-5584772</t>
  </si>
  <si>
    <t>1|4848500</t>
  </si>
  <si>
    <t>2680-0</t>
  </si>
  <si>
    <t>JPK3VS012</t>
  </si>
  <si>
    <t>HAMAD SALEH HASAN MOHAMED ALDHUFAIR ALDHEFAIRI</t>
  </si>
  <si>
    <t>H.ALDHEFAIRI@GMAIL.COM</t>
  </si>
  <si>
    <t>971|55-5611441</t>
  </si>
  <si>
    <t>971|555611441</t>
  </si>
  <si>
    <t>HAMAD SALEH HASAN ALDHUFAIR AL DHUFAIR</t>
  </si>
  <si>
    <t>2681-0</t>
  </si>
  <si>
    <t>JPK3VS013</t>
  </si>
  <si>
    <t>INAS SOPHIA ALSAFI</t>
  </si>
  <si>
    <t>YOUSIF AL SAFI</t>
  </si>
  <si>
    <t>2682-0</t>
  </si>
  <si>
    <t>JPK3VS014</t>
  </si>
  <si>
    <t>ESMAEIL HEIDAR TALEE</t>
  </si>
  <si>
    <t>2683-0</t>
  </si>
  <si>
    <t>JPK3VS015</t>
  </si>
  <si>
    <t>SUBBA MADHAV RAO</t>
  </si>
  <si>
    <t>2684-0</t>
  </si>
  <si>
    <t>JPK3VS016</t>
  </si>
  <si>
    <t>POLAD JABRAYILZADE</t>
  </si>
  <si>
    <t>2685-0</t>
  </si>
  <si>
    <t>JPK3VS017</t>
  </si>
  <si>
    <t>KARUPPIAH GOPALAN</t>
  </si>
  <si>
    <t>2686-0</t>
  </si>
  <si>
    <t>JPK3VS018</t>
  </si>
  <si>
    <t>SALEH GHAZAL</t>
  </si>
  <si>
    <t>SALEH.GHA7AL@AMD.COM</t>
  </si>
  <si>
    <t>971|55-4150319</t>
  </si>
  <si>
    <t>971|554150319</t>
  </si>
  <si>
    <t>2687-0</t>
  </si>
  <si>
    <t>JPK3VS019</t>
  </si>
  <si>
    <t>2688-0</t>
  </si>
  <si>
    <t>JPK3VS020</t>
  </si>
  <si>
    <t>IQBAL ANJUM</t>
  </si>
  <si>
    <t>2689-0</t>
  </si>
  <si>
    <t>JPK3VS021</t>
  </si>
  <si>
    <t>MAYURDHWAJ SINGH</t>
  </si>
  <si>
    <t>SUNIL MADNANI</t>
  </si>
  <si>
    <t>2690-0</t>
  </si>
  <si>
    <t>JPK3VS022</t>
  </si>
  <si>
    <t>PRIYADARSHINI LAMBA</t>
  </si>
  <si>
    <t>971|506457835</t>
  </si>
  <si>
    <t>971|50-6457835</t>
  </si>
  <si>
    <t>2691-0</t>
  </si>
  <si>
    <t>JPK3VS023</t>
  </si>
  <si>
    <t>SAKHIE JEAN YAACOUB</t>
  </si>
  <si>
    <t>971|50-519272</t>
  </si>
  <si>
    <t>2692-0</t>
  </si>
  <si>
    <t>JPK3VS024</t>
  </si>
  <si>
    <t>EYAD MAHMOUD MOHAMMAD ABDEL NABI</t>
  </si>
  <si>
    <t>e.abdulnabi@hotmail.com</t>
  </si>
  <si>
    <t>2693-0</t>
  </si>
  <si>
    <t>JPK3VS025</t>
  </si>
  <si>
    <t>RAFI AHMED KASIM MULLA</t>
  </si>
  <si>
    <t>2694-0</t>
  </si>
  <si>
    <t>JPK3VS026</t>
  </si>
  <si>
    <t>OMAR QAYS AHMEDSHKRE ALJADIR</t>
  </si>
  <si>
    <t>2695-0</t>
  </si>
  <si>
    <t>JPK3VS027</t>
  </si>
  <si>
    <t>MASOUMEH SOLEYMAN GHAREH DAGHI</t>
  </si>
  <si>
    <t>2696-0</t>
  </si>
  <si>
    <t>JPK3VS028</t>
  </si>
  <si>
    <t>ADNAN SHAHID BHUTTA</t>
  </si>
  <si>
    <t>2697-0</t>
  </si>
  <si>
    <t>JPK3VS029</t>
  </si>
  <si>
    <t>MUHAMMAD AWAIS ABDUL RAHEEM</t>
  </si>
  <si>
    <t>awais@btinvestments.com</t>
  </si>
  <si>
    <t>971|505500460</t>
  </si>
  <si>
    <t>2698-0</t>
  </si>
  <si>
    <t>JPK3VS030</t>
  </si>
  <si>
    <t>2699-0</t>
  </si>
  <si>
    <t>JPK3VS031</t>
  </si>
  <si>
    <t>SHAHZAD IQBAL</t>
  </si>
  <si>
    <t>2700-0</t>
  </si>
  <si>
    <t>JPK3VS032</t>
  </si>
  <si>
    <t>MANISH AGARWAL</t>
  </si>
  <si>
    <t>2701-0</t>
  </si>
  <si>
    <t>JPK3VS033</t>
  </si>
  <si>
    <t>MANU INDER MOHAN GUPTA</t>
  </si>
  <si>
    <t>2702-0</t>
  </si>
  <si>
    <t>JPK3VS034</t>
  </si>
  <si>
    <t>JAI RAJ BATRA</t>
  </si>
  <si>
    <t>2703-0</t>
  </si>
  <si>
    <t>JPK3VS035</t>
  </si>
  <si>
    <t>2704-0</t>
  </si>
  <si>
    <t>JPK3VS036</t>
  </si>
  <si>
    <t>AIMAN AHMED OMAR BASHEER</t>
  </si>
  <si>
    <t>971|50-9207409</t>
  </si>
  <si>
    <t>971|0509207409</t>
  </si>
  <si>
    <t>2705-0</t>
  </si>
  <si>
    <t>JPK3VS037</t>
  </si>
  <si>
    <t>2706-0</t>
  </si>
  <si>
    <t>JPK3VS038</t>
  </si>
  <si>
    <t>2707-0</t>
  </si>
  <si>
    <t>JPK3VS039</t>
  </si>
  <si>
    <t>FREDERIC JOSEPH MARTIN BAURAIND</t>
  </si>
  <si>
    <t>FBEUREIND@HOTMAIL.COM</t>
  </si>
  <si>
    <t>971|50-2591552</t>
  </si>
  <si>
    <t>971|502591552</t>
  </si>
  <si>
    <t>2708-0</t>
  </si>
  <si>
    <t>JPK3VS040</t>
  </si>
  <si>
    <t>MANOJ KUMAR KHANNA</t>
  </si>
  <si>
    <t>2709-0</t>
  </si>
  <si>
    <t>JPK3VS041</t>
  </si>
  <si>
    <t>OMAR ZUHAIR YOUSUF AL ZUHAIR</t>
  </si>
  <si>
    <t>0.0@gmail.com</t>
  </si>
  <si>
    <t>971|50-5349256</t>
  </si>
  <si>
    <t>2710-0</t>
  </si>
  <si>
    <t>JPK3VS042</t>
  </si>
  <si>
    <t>JAMES MARCUS OWEN</t>
  </si>
  <si>
    <t>2711-0</t>
  </si>
  <si>
    <t>JPK3VS043</t>
  </si>
  <si>
    <t>2712-0</t>
  </si>
  <si>
    <t>JPK3VS044</t>
  </si>
  <si>
    <t>MOHAMED HUSSEIN BASHAT MOHAMED BASHAT</t>
  </si>
  <si>
    <t>2713-0</t>
  </si>
  <si>
    <t>JPK4V001</t>
  </si>
  <si>
    <t>FARIS MAHMOOD JUBOORI</t>
  </si>
  <si>
    <t>2714-0</t>
  </si>
  <si>
    <t>JPK4V002</t>
  </si>
  <si>
    <t>APEKSHA LULLA</t>
  </si>
  <si>
    <t>APEKSHALULLA@GMAIL.COM</t>
  </si>
  <si>
    <t>971|50-7958756</t>
  </si>
  <si>
    <t>971|0509784584</t>
  </si>
  <si>
    <t>2715-0</t>
  </si>
  <si>
    <t>JPK4V003</t>
  </si>
  <si>
    <t>SADHNA PRADIPKUMAR SHAH</t>
  </si>
  <si>
    <t>mpshah@eim.ae</t>
  </si>
  <si>
    <t>2716-0</t>
  </si>
  <si>
    <t>JPK4V004</t>
  </si>
  <si>
    <t>MOHAMMAD ABDUL SALEEM MOHAMMAD ABDUL AZIZ</t>
  </si>
  <si>
    <t>6778221-02</t>
  </si>
  <si>
    <t>2717-0</t>
  </si>
  <si>
    <t>JPK4V005</t>
  </si>
  <si>
    <t>JIHAN EL ZAKHEM</t>
  </si>
  <si>
    <t>971|55-9119114</t>
  </si>
  <si>
    <t>961|0</t>
  </si>
  <si>
    <t>2718-0</t>
  </si>
  <si>
    <t>JPK4V006</t>
  </si>
  <si>
    <t>ZUHAIR MUDAWI</t>
  </si>
  <si>
    <t>zuhais.basakiat@gmail.com</t>
  </si>
  <si>
    <t>971|50-6561589</t>
  </si>
  <si>
    <t>971|506561589</t>
  </si>
  <si>
    <t>2719-0</t>
  </si>
  <si>
    <t>JPK4V007</t>
  </si>
  <si>
    <t>MEHDI SALEM</t>
  </si>
  <si>
    <t>ouerdyasalem@gmail.com</t>
  </si>
  <si>
    <t>971|50-6521088</t>
  </si>
  <si>
    <t>971|506521088</t>
  </si>
  <si>
    <t>SAFIA SALEM</t>
  </si>
  <si>
    <t>2720-0</t>
  </si>
  <si>
    <t>JPK4V008</t>
  </si>
  <si>
    <t>BADREYA MOHD S AL MEHEMID</t>
  </si>
  <si>
    <t>971|55-4325122</t>
  </si>
  <si>
    <t>971|4325122</t>
  </si>
  <si>
    <t>Qatar</t>
  </si>
  <si>
    <t>2721-0</t>
  </si>
  <si>
    <t>JPI3VL001</t>
  </si>
  <si>
    <t>JPV4VL001</t>
  </si>
  <si>
    <t>2722-0</t>
  </si>
  <si>
    <t>JPV4VL002</t>
  </si>
  <si>
    <t>DEEPAK PREMCHAND BHOJWANI</t>
  </si>
  <si>
    <t>Iceland</t>
  </si>
  <si>
    <t>JPI3VL002</t>
  </si>
  <si>
    <t>2723-0</t>
  </si>
  <si>
    <t>JPV4VL003</t>
  </si>
  <si>
    <t>JPI3VL003</t>
  </si>
  <si>
    <t>2724-0</t>
  </si>
  <si>
    <t>JPI3VL004</t>
  </si>
  <si>
    <t>JPV4VL004</t>
  </si>
  <si>
    <t>ABDUL MALEK MOHAMMAD SANI BAGHDADI</t>
  </si>
  <si>
    <t>amalik_t@yahoo.com</t>
  </si>
  <si>
    <t>971|50-6430342</t>
  </si>
  <si>
    <t>2725-0</t>
  </si>
  <si>
    <t>JPV4VL005</t>
  </si>
  <si>
    <t>PAWAN ASHOK SAJNANI</t>
  </si>
  <si>
    <t>971|55-4572452</t>
  </si>
  <si>
    <t>971|554572452</t>
  </si>
  <si>
    <t>JPI3VL005</t>
  </si>
  <si>
    <t>2726-0</t>
  </si>
  <si>
    <t>JPI3VL006</t>
  </si>
  <si>
    <t>JPV4VL006</t>
  </si>
  <si>
    <t>2727-0</t>
  </si>
  <si>
    <t>JPI3VL007</t>
  </si>
  <si>
    <t>SABNAM A KAPADIA</t>
  </si>
  <si>
    <t>971|50-3663923</t>
  </si>
  <si>
    <t>JPV4VL007</t>
  </si>
  <si>
    <t>2728-0</t>
  </si>
  <si>
    <t>JPI3VL008</t>
  </si>
  <si>
    <t>JPV4VL008</t>
  </si>
  <si>
    <t>SHOAIB MIR HASHIM AHMED ALKHOORY</t>
  </si>
  <si>
    <t>971|0561662755</t>
  </si>
  <si>
    <t>SHOAIB@MHK.AE</t>
  </si>
  <si>
    <t>971|56-1662755</t>
  </si>
  <si>
    <t>971|505456555</t>
  </si>
  <si>
    <t>2729-0</t>
  </si>
  <si>
    <t>JPI3VL009</t>
  </si>
  <si>
    <t>JPV4VL009</t>
  </si>
  <si>
    <t>2730-0</t>
  </si>
  <si>
    <t>JPI3VL010</t>
  </si>
  <si>
    <t>JPV4VL010</t>
  </si>
  <si>
    <t>2731-0</t>
  </si>
  <si>
    <t>JPI3VL021</t>
  </si>
  <si>
    <t>KRATI JAIN RAJESH JAIN</t>
  </si>
  <si>
    <t>JPV4V021</t>
  </si>
  <si>
    <t>2732-0</t>
  </si>
  <si>
    <t>JPI3VL022</t>
  </si>
  <si>
    <t>GUNEET KAUR</t>
  </si>
  <si>
    <t>JPV4V022</t>
  </si>
  <si>
    <t>2733-0</t>
  </si>
  <si>
    <t>JPI3VS001</t>
  </si>
  <si>
    <t>JASIM MOHAMMED ABBAS ALRUBAYE</t>
  </si>
  <si>
    <t>971|50-8907549</t>
  </si>
  <si>
    <t>971|56415074</t>
  </si>
  <si>
    <t>2734-0</t>
  </si>
  <si>
    <t>JPI3VS002</t>
  </si>
  <si>
    <t>MAYSSOUN AZZAM</t>
  </si>
  <si>
    <t>2735-0</t>
  </si>
  <si>
    <t>JPI3VS003</t>
  </si>
  <si>
    <t>SHABBIR HUSSAIN</t>
  </si>
  <si>
    <t>baduhus@hotmail.co.uk</t>
  </si>
  <si>
    <t>971|0097150716</t>
  </si>
  <si>
    <t>ASHFAQ HUSSAIN</t>
  </si>
  <si>
    <t>971|50-0507169</t>
  </si>
  <si>
    <t>971|0507169713</t>
  </si>
  <si>
    <t>2736-0</t>
  </si>
  <si>
    <t>JPI3VS004</t>
  </si>
  <si>
    <t>MAJID HASSAN MINAEI</t>
  </si>
  <si>
    <t>971|2171460</t>
  </si>
  <si>
    <t>971|55-2171460</t>
  </si>
  <si>
    <t>2737-0</t>
  </si>
  <si>
    <t>JPI3VS005</t>
  </si>
  <si>
    <t>2738-0</t>
  </si>
  <si>
    <t>JPI3VS006</t>
  </si>
  <si>
    <t>ARJUN DEWAN</t>
  </si>
  <si>
    <t>971|55-7244472</t>
  </si>
  <si>
    <t>971|557244472</t>
  </si>
  <si>
    <t>2739-0</t>
  </si>
  <si>
    <t>JPI3VS007</t>
  </si>
  <si>
    <t>MOUHAMED BASSAM SAID AL TAL</t>
  </si>
  <si>
    <t>971|56-1740042</t>
  </si>
  <si>
    <t>971|561740042</t>
  </si>
  <si>
    <t>2740-0</t>
  </si>
  <si>
    <t>JPI3VS008</t>
  </si>
  <si>
    <t>WISSAM ELKASIS</t>
  </si>
  <si>
    <t>2741-0</t>
  </si>
  <si>
    <t>JPI3VS009</t>
  </si>
  <si>
    <t>FAHAD MOHAMMED K ALGASSIM</t>
  </si>
  <si>
    <t>2742-0</t>
  </si>
  <si>
    <t>JPI3VS010</t>
  </si>
  <si>
    <t>MERT AYTUG</t>
  </si>
  <si>
    <t>2743-0</t>
  </si>
  <si>
    <t>JPI3VS011</t>
  </si>
  <si>
    <t>ALA HAMID MAJID</t>
  </si>
  <si>
    <t>alamajid@hotmail.com</t>
  </si>
  <si>
    <t>971|50-4120221</t>
  </si>
  <si>
    <t>971|4120221</t>
  </si>
  <si>
    <t>2744-0</t>
  </si>
  <si>
    <t>JPI3VS012</t>
  </si>
  <si>
    <t>SAYED JALAL AGHA SAYED NOOR AHMAD SHAH</t>
  </si>
  <si>
    <t>jalal_kajaki86@yahoo.com</t>
  </si>
  <si>
    <t>2745-0</t>
  </si>
  <si>
    <t>JPI3VS013</t>
  </si>
  <si>
    <t>YUCHENG BIAN</t>
  </si>
  <si>
    <t>2746-0</t>
  </si>
  <si>
    <t>JPI3VS014</t>
  </si>
  <si>
    <t>MOHAMMED HUSSAIN MAKIYA</t>
  </si>
  <si>
    <t>971|50-6989848</t>
  </si>
  <si>
    <t>971|0097150698</t>
  </si>
  <si>
    <t>2747-0</t>
  </si>
  <si>
    <t>JPI3VS015</t>
  </si>
  <si>
    <t>AKBAR ALI MULLA FAKHRUDDIN</t>
  </si>
  <si>
    <t>2748-0</t>
  </si>
  <si>
    <t>JPI3VS016</t>
  </si>
  <si>
    <t>SYED JAMAL AGHA SYED NOOR AHMAD SHAH</t>
  </si>
  <si>
    <t>2749-0</t>
  </si>
  <si>
    <t>JPI3VS017</t>
  </si>
  <si>
    <t>REEMA AHMED MAHDI AL SAMURAEI</t>
  </si>
  <si>
    <t>2750-0</t>
  </si>
  <si>
    <t>JPI4V001</t>
  </si>
  <si>
    <t>ABDULLAH M A ALMANSOUR</t>
  </si>
  <si>
    <t>2751-0</t>
  </si>
  <si>
    <t>JPI4V002</t>
  </si>
  <si>
    <t>RASHID SIDDIQI</t>
  </si>
  <si>
    <t>I@HOTMAIL.COM</t>
  </si>
  <si>
    <t>971|50-4518278</t>
  </si>
  <si>
    <t>1|96619714</t>
  </si>
  <si>
    <t>2752-0</t>
  </si>
  <si>
    <t>JPI4V003</t>
  </si>
  <si>
    <t>OLANREWAJU DANIEL D MONEHIN</t>
  </si>
  <si>
    <t>2753-0</t>
  </si>
  <si>
    <t>JPI4V004</t>
  </si>
  <si>
    <t>KANWAR SHER SINGH RATRA</t>
  </si>
  <si>
    <t>2754-0</t>
  </si>
  <si>
    <t>JPI4V005</t>
  </si>
  <si>
    <t>MOHAMAD SAMER BARAKAT</t>
  </si>
  <si>
    <t>2755-0</t>
  </si>
  <si>
    <t>JPI4V006</t>
  </si>
  <si>
    <t>BHARATI HITESH SHAH</t>
  </si>
  <si>
    <t>BHARATISHAH01@GMAIL.COM</t>
  </si>
  <si>
    <t>971|55-9387638</t>
  </si>
  <si>
    <t>2756-0</t>
  </si>
  <si>
    <t>JPI4V007</t>
  </si>
  <si>
    <t>WALTER MARCO LIRONI</t>
  </si>
  <si>
    <t>2757-0</t>
  </si>
  <si>
    <t>JPI4V008</t>
  </si>
  <si>
    <t>WALID KAMAL MOHAMED HAFEZ</t>
  </si>
  <si>
    <t>walid.hafez@globaltrading-co.com</t>
  </si>
  <si>
    <t>971|55-1010555</t>
  </si>
  <si>
    <t>2758-0</t>
  </si>
  <si>
    <t>JPI4V009</t>
  </si>
  <si>
    <t>ADNAN IBRAHIM FARES AKEEL</t>
  </si>
  <si>
    <t>971|50-3345858</t>
  </si>
  <si>
    <t>971|503345858</t>
  </si>
  <si>
    <t>2759-0</t>
  </si>
  <si>
    <t>JPI4V010</t>
  </si>
  <si>
    <t>ANATOLY IORDAN [DXB/V4261]</t>
  </si>
  <si>
    <t>2760-0</t>
  </si>
  <si>
    <t>JPI4V011</t>
  </si>
  <si>
    <t>RAJIT PRASANNA KUMAR NANDA NANDA</t>
  </si>
  <si>
    <t>2761-0</t>
  </si>
  <si>
    <t>JPI4V012</t>
  </si>
  <si>
    <t>MOHAMMAD ALI MIRZA</t>
  </si>
  <si>
    <t>971|50-6515495</t>
  </si>
  <si>
    <t>2762-0</t>
  </si>
  <si>
    <t>JPI4V013</t>
  </si>
  <si>
    <t>HAMAD AHMED SALEM ALHAJERI</t>
  </si>
  <si>
    <t>971|504414488</t>
  </si>
  <si>
    <t>2763-0</t>
  </si>
  <si>
    <t>JPI4V014</t>
  </si>
  <si>
    <t>AVINASH GANGADHAR PANGARKAR</t>
  </si>
  <si>
    <t>2764-0</t>
  </si>
  <si>
    <t>JPI4V015</t>
  </si>
  <si>
    <t>ABDULRAOUF WALEED A ALBITAR</t>
  </si>
  <si>
    <t>arbitar@lamaholding.com</t>
  </si>
  <si>
    <t>971|55-6008297</t>
  </si>
  <si>
    <t>971|556008297</t>
  </si>
  <si>
    <t>2765-0</t>
  </si>
  <si>
    <t>JPI4V016</t>
  </si>
  <si>
    <t>RAMESH POHOOMAL THANWANI</t>
  </si>
  <si>
    <t>971|43479974</t>
  </si>
  <si>
    <t>rpt5249@rediffmail.com</t>
  </si>
  <si>
    <t>971|55-5524216</t>
  </si>
  <si>
    <t>971|0506251254</t>
  </si>
  <si>
    <t>2766-0</t>
  </si>
  <si>
    <t>JPI4V017</t>
  </si>
  <si>
    <t>MEENA THANWANI</t>
  </si>
  <si>
    <t>971|50-5524216</t>
  </si>
  <si>
    <t>Sierra Leone</t>
  </si>
  <si>
    <t>2767-0</t>
  </si>
  <si>
    <t>JPI4V018</t>
  </si>
  <si>
    <t>ALEEM AHMAD SIDDIQUI</t>
  </si>
  <si>
    <t>aas_aleem@hotmail.com</t>
  </si>
  <si>
    <t>971|50-5846011</t>
  </si>
  <si>
    <t>2768-0</t>
  </si>
  <si>
    <t>JPI4V019</t>
  </si>
  <si>
    <t>SRIVATSA VENKATRAMAN VANITHA</t>
  </si>
  <si>
    <t>971|50-6537410</t>
  </si>
  <si>
    <t>971|506537410</t>
  </si>
  <si>
    <t>SANTOSH THAMBI SAMPATH</t>
  </si>
  <si>
    <t>2769-0</t>
  </si>
  <si>
    <t>JPI4V020</t>
  </si>
  <si>
    <t>SHAREEF ABDULLA SAEED KADDAS AL ROMAITHI</t>
  </si>
  <si>
    <t>2770-0</t>
  </si>
  <si>
    <t>JPI4V021</t>
  </si>
  <si>
    <t>DINA SAMEER ABDULHAMEED</t>
  </si>
  <si>
    <t>971|50-6511732</t>
  </si>
  <si>
    <t>NIDA SAMIR ABDUL HAMID</t>
  </si>
  <si>
    <t>3684027 04</t>
  </si>
  <si>
    <t>2771-0</t>
  </si>
  <si>
    <t>JPI4V022</t>
  </si>
  <si>
    <t>SHAKEEL HARUN</t>
  </si>
  <si>
    <t>2772-0</t>
  </si>
  <si>
    <t>JPI4V023</t>
  </si>
  <si>
    <t>MOHAMED SAAD KADIRI</t>
  </si>
  <si>
    <t>971|50-7758395</t>
  </si>
  <si>
    <t>2773-0</t>
  </si>
  <si>
    <t>JPI4V024</t>
  </si>
  <si>
    <t>ABBASI GULAMHUSAIN VOHRA</t>
  </si>
  <si>
    <t>2774-0</t>
  </si>
  <si>
    <t>JPI4V025</t>
  </si>
  <si>
    <t>HANI ABDULRAHMAN A AL MAIMANI</t>
  </si>
  <si>
    <t>ham2022@yahoo.com</t>
  </si>
  <si>
    <t>971|50-6579272</t>
  </si>
  <si>
    <t>971|506579272</t>
  </si>
  <si>
    <t>2775-0</t>
  </si>
  <si>
    <t>JPI4V026</t>
  </si>
  <si>
    <t>RAJBIR MADAN GULSHAN BIR SINGH MADAN</t>
  </si>
  <si>
    <t>971|50-5521405</t>
  </si>
  <si>
    <t>971|0505521405</t>
  </si>
  <si>
    <t>2776-0</t>
  </si>
  <si>
    <t>JPI4V027</t>
  </si>
  <si>
    <t>JAWED KHAN</t>
  </si>
  <si>
    <t>2777-0</t>
  </si>
  <si>
    <t>JPI4V028</t>
  </si>
  <si>
    <t>SALEM SAEED GHEDAYER BIN GHEDAYER</t>
  </si>
  <si>
    <t>info@dubaiskyward.com</t>
  </si>
  <si>
    <t>971|50-6568888</t>
  </si>
  <si>
    <t>2778-0</t>
  </si>
  <si>
    <t>JPI5V001</t>
  </si>
  <si>
    <t>MAY ZUHAIR ABDULLA</t>
  </si>
  <si>
    <t>mohammad@ifr.ae</t>
  </si>
  <si>
    <t>2779-0</t>
  </si>
  <si>
    <t>JPI5V002</t>
  </si>
  <si>
    <t>DARYOUSH ARYAEE</t>
  </si>
  <si>
    <t>971|050-1892989</t>
  </si>
  <si>
    <t>971|501892989</t>
  </si>
  <si>
    <t>MEHRNOUSH HOOSHANG MAHIDASHTI</t>
  </si>
  <si>
    <t>971|050-4500870</t>
  </si>
  <si>
    <t>971|4500870</t>
  </si>
  <si>
    <t>2780-0</t>
  </si>
  <si>
    <t>JPI5V003</t>
  </si>
  <si>
    <t>2781-0</t>
  </si>
  <si>
    <t>JPI5V004</t>
  </si>
  <si>
    <t>ABDULHAMID MOHD IHSAN MOUKAYID</t>
  </si>
  <si>
    <t>2782-0</t>
  </si>
  <si>
    <t>JPI5V005</t>
  </si>
  <si>
    <t>DILIP KUMAR JIVANDAS PARYANI</t>
  </si>
  <si>
    <t>04-2266409</t>
  </si>
  <si>
    <t>PARYANID@EMIRARES.NET.AE</t>
  </si>
  <si>
    <t>V</t>
  </si>
  <si>
    <t>2783-0</t>
  </si>
  <si>
    <t>JPI5V006</t>
  </si>
  <si>
    <t>ARSALAN ASSADOLLAH RAHPEYMA</t>
  </si>
  <si>
    <t>2784-0</t>
  </si>
  <si>
    <t>JPI5V007</t>
  </si>
  <si>
    <t>2785-0</t>
  </si>
  <si>
    <t>JPI5V008</t>
  </si>
  <si>
    <t>SEJAL VIRENDRA KUMAR MODI</t>
  </si>
  <si>
    <t>2786-0</t>
  </si>
  <si>
    <t>JPI5V009</t>
  </si>
  <si>
    <t>RICHARD HUGH PARRIS</t>
  </si>
  <si>
    <t>04/3620631</t>
  </si>
  <si>
    <t>2787-0</t>
  </si>
  <si>
    <t>JPI5V010</t>
  </si>
  <si>
    <t>IMRAN ALI HABIB</t>
  </si>
  <si>
    <t>imran@habib.com</t>
  </si>
  <si>
    <t>2788-0</t>
  </si>
  <si>
    <t>JPI5V011</t>
  </si>
  <si>
    <t>2789-0</t>
  </si>
  <si>
    <t>JPI5V012</t>
  </si>
  <si>
    <t>2790-0</t>
  </si>
  <si>
    <t>JPI5V013</t>
  </si>
  <si>
    <t>SUSAMMA JOSEPH</t>
  </si>
  <si>
    <t>2791-0</t>
  </si>
  <si>
    <t>JPI5V014</t>
  </si>
  <si>
    <t>BRITTA MARIANNE KHEIRI</t>
  </si>
  <si>
    <t>055/7472794</t>
  </si>
  <si>
    <t>2792-0</t>
  </si>
  <si>
    <t>JPI5V015</t>
  </si>
  <si>
    <t>BIJI KRISHNA</t>
  </si>
  <si>
    <t>2793-0</t>
  </si>
  <si>
    <t>JPI5V016</t>
  </si>
  <si>
    <t>SOHAIL SIKANDAR LALANI</t>
  </si>
  <si>
    <t>SUMAIRA MOOSA</t>
  </si>
  <si>
    <t>2794-0</t>
  </si>
  <si>
    <t>JPI5V017</t>
  </si>
  <si>
    <t>KSKJ HOLDINGS LIMITED</t>
  </si>
  <si>
    <t>2795-0</t>
  </si>
  <si>
    <t>JPI5V018</t>
  </si>
  <si>
    <t>SAEED ABDULMUHSEN ALI ALSAFFAR</t>
  </si>
  <si>
    <t>971|50-455 077</t>
  </si>
  <si>
    <t>971|050455 077</t>
  </si>
  <si>
    <t>2796-0</t>
  </si>
  <si>
    <t>JPI5V019</t>
  </si>
  <si>
    <t>RAYA RASHID AL NAKIB</t>
  </si>
  <si>
    <t>majed_daher@hotmail.com</t>
  </si>
  <si>
    <t>971|55-7730033</t>
  </si>
  <si>
    <t>2797-0</t>
  </si>
  <si>
    <t>JPI5V020</t>
  </si>
  <si>
    <t>GOLSA MONAZAHIAN</t>
  </si>
  <si>
    <t>golsamonazahian@yahoo.co.uk</t>
  </si>
  <si>
    <t>971|58-1980258</t>
  </si>
  <si>
    <t>2798-0</t>
  </si>
  <si>
    <t>JPI5V021</t>
  </si>
  <si>
    <t>FIONA MARY FOX GMUER</t>
  </si>
  <si>
    <t>2799-0</t>
  </si>
  <si>
    <t>JPI5V022</t>
  </si>
  <si>
    <t>2800-0</t>
  </si>
  <si>
    <t>JPI5V023</t>
  </si>
  <si>
    <t>2801-0</t>
  </si>
  <si>
    <t>JPI5V024</t>
  </si>
  <si>
    <t>2802-0</t>
  </si>
  <si>
    <t>JPI5V025</t>
  </si>
  <si>
    <t>AKBARALI NOMAN SURA NOMAN EBRAHIM SURA</t>
  </si>
  <si>
    <t>971|0555530567</t>
  </si>
  <si>
    <t>akbar.sura@crystalgallery.com</t>
  </si>
  <si>
    <t>971|55-5530567</t>
  </si>
  <si>
    <t>971|505530567</t>
  </si>
  <si>
    <t>2803-0</t>
  </si>
  <si>
    <t>JPI5V026</t>
  </si>
  <si>
    <t>KHALED TALAT M ALWARRAQ</t>
  </si>
  <si>
    <t>971|56-8365553</t>
  </si>
  <si>
    <t>2804-0</t>
  </si>
  <si>
    <t>JPI5V027</t>
  </si>
  <si>
    <t>SAAD SALMAN MAHMOOD ALQAYSI</t>
  </si>
  <si>
    <t>971|55-5472135</t>
  </si>
  <si>
    <t>971|507375226</t>
  </si>
  <si>
    <t>NIDAA MOHAMMED IBRAHIM ALWSHASH</t>
  </si>
  <si>
    <t>2805-0</t>
  </si>
  <si>
    <t>JPI5V028</t>
  </si>
  <si>
    <t>CHANDNI DILIPKUMAR PURSWANI</t>
  </si>
  <si>
    <t>RAKESH DILIPKUMAR PURSWANI</t>
  </si>
  <si>
    <t>2806-0</t>
  </si>
  <si>
    <t>JPI5V029</t>
  </si>
  <si>
    <t>EHSUN AKHTAR ZAIDI</t>
  </si>
  <si>
    <t>M@HOTMAIL.COM</t>
  </si>
  <si>
    <t>971|50-6561974</t>
  </si>
  <si>
    <t>2807-0</t>
  </si>
  <si>
    <t>JPI5V030</t>
  </si>
  <si>
    <t>JEFF JACOB MATHEW</t>
  </si>
  <si>
    <t>2808-0</t>
  </si>
  <si>
    <t>JPI5V031</t>
  </si>
  <si>
    <t>AMINA SAOUCHA EL KEURTI</t>
  </si>
  <si>
    <t>DJILALI EL KEURTI</t>
  </si>
  <si>
    <t>971|0501047380</t>
  </si>
  <si>
    <t>2809-0</t>
  </si>
  <si>
    <t>JPI5V032</t>
  </si>
  <si>
    <t>SIDDHARTH VAIKUNTA RAMASUBRAMANIAN</t>
  </si>
  <si>
    <t>2810-0</t>
  </si>
  <si>
    <t>JPI5V033</t>
  </si>
  <si>
    <t>RAJAT VERMA</t>
  </si>
  <si>
    <t>qrcdubai@eim.ae</t>
  </si>
  <si>
    <t>971|50-2239567</t>
  </si>
  <si>
    <t>971|2239567</t>
  </si>
  <si>
    <t>ROHIT VERMA RAMESH VERMA</t>
  </si>
  <si>
    <t>AMIR.ROHAT@GMAIL.COM</t>
  </si>
  <si>
    <t>2811-0</t>
  </si>
  <si>
    <t>JPI5V034</t>
  </si>
  <si>
    <t>ISSEINE BOURMA MAHAMAT ZENE</t>
  </si>
  <si>
    <t>2812-0</t>
  </si>
  <si>
    <t>JPI5V035</t>
  </si>
  <si>
    <t>2813-0</t>
  </si>
  <si>
    <t>JPI5V036</t>
  </si>
  <si>
    <t>TAYABALI NOMAN SURA</t>
  </si>
  <si>
    <t>971|50-3331660</t>
  </si>
  <si>
    <t>971|3331660</t>
  </si>
  <si>
    <t>2814-0</t>
  </si>
  <si>
    <t>JPI5V037</t>
  </si>
  <si>
    <t>ARRIAN SHAFQAT</t>
  </si>
  <si>
    <t>2815-0</t>
  </si>
  <si>
    <t>JPI5V038</t>
  </si>
  <si>
    <t>2816-0</t>
  </si>
  <si>
    <t>JPI5V039</t>
  </si>
  <si>
    <t>AMINA SULTANA</t>
  </si>
  <si>
    <t>971|50-4956019</t>
  </si>
  <si>
    <t>971|4956019</t>
  </si>
  <si>
    <t>2817-0</t>
  </si>
  <si>
    <t>JPI5V040</t>
  </si>
  <si>
    <t>AMIR SAFAR HOSSEINI YEKTA</t>
  </si>
  <si>
    <t>2818-0</t>
  </si>
  <si>
    <t>JPI5V041</t>
  </si>
  <si>
    <t>FULYA TANRIKULU</t>
  </si>
  <si>
    <t>OZGUR TANRIKULU</t>
  </si>
  <si>
    <t>2819-0</t>
  </si>
  <si>
    <t>JPI5V042</t>
  </si>
  <si>
    <t>NEELESHWAR BHATNAGAR</t>
  </si>
  <si>
    <t>971|50-6573393</t>
  </si>
  <si>
    <t>971|0506573393</t>
  </si>
  <si>
    <t>2820-0</t>
  </si>
  <si>
    <t>JPI5V043</t>
  </si>
  <si>
    <t>FARZANA ESMAIL MANDSAURWALA</t>
  </si>
  <si>
    <t>ESMAIL MANDSAURWALA</t>
  </si>
  <si>
    <t>971|50-6454169</t>
  </si>
  <si>
    <t>2821-0</t>
  </si>
  <si>
    <t>JPI5V044</t>
  </si>
  <si>
    <t>FADHIL JAWAD MOHAMMAD ALSARYA(DXB/V3604)</t>
  </si>
  <si>
    <t>AHMED FADHIL JAWAD (DXB/V4181)</t>
  </si>
  <si>
    <t>2822-0</t>
  </si>
  <si>
    <t>JPI5V045</t>
  </si>
  <si>
    <t>NICKY ONYL ADVANI</t>
  </si>
  <si>
    <t>ONYL MOTIRAM ADVANI</t>
  </si>
  <si>
    <t>2823-0</t>
  </si>
  <si>
    <t>JPX4VL001</t>
  </si>
  <si>
    <t>ABDULNARSSER YOUNES RASHID</t>
  </si>
  <si>
    <t>971|50-1731970</t>
  </si>
  <si>
    <t>971|0506790553</t>
  </si>
  <si>
    <t>JPJ3VL001</t>
  </si>
  <si>
    <t>2824-0</t>
  </si>
  <si>
    <t>JPX4VL002</t>
  </si>
  <si>
    <t>JPJ3VL002</t>
  </si>
  <si>
    <t>2825-0</t>
  </si>
  <si>
    <t>JPJ3VL003</t>
  </si>
  <si>
    <t>JPX4VL003</t>
  </si>
  <si>
    <t>2826-0</t>
  </si>
  <si>
    <t>JPJ3VL004</t>
  </si>
  <si>
    <t>ASAD AMJAD FAROOQ</t>
  </si>
  <si>
    <t>asadfarooq1@yahoo.com</t>
  </si>
  <si>
    <t>971|50-0555570</t>
  </si>
  <si>
    <t>971|0555570092</t>
  </si>
  <si>
    <t>JPX4VL004</t>
  </si>
  <si>
    <t>2827-0</t>
  </si>
  <si>
    <t>JPJ3VL005</t>
  </si>
  <si>
    <t>OBAIDULLAH HAKIMZAY</t>
  </si>
  <si>
    <t>hakimzay@gmail.com</t>
  </si>
  <si>
    <t>971|55-5608786</t>
  </si>
  <si>
    <t>971|5608786</t>
  </si>
  <si>
    <t>JPX4VL005</t>
  </si>
  <si>
    <t>THE PRINCE M FERAS AL ALSOULTAN ALGHORI</t>
  </si>
  <si>
    <t>2828-0</t>
  </si>
  <si>
    <t>JPJ3VL006</t>
  </si>
  <si>
    <t>MRIDULA SINGH</t>
  </si>
  <si>
    <t>971|50-4227618</t>
  </si>
  <si>
    <t>JPX4VL006</t>
  </si>
  <si>
    <t>2829-0</t>
  </si>
  <si>
    <t>JPJ3VL007</t>
  </si>
  <si>
    <t>MANSUR VIRANI</t>
  </si>
  <si>
    <t>mahirkin@yahoo.ca</t>
  </si>
  <si>
    <t>971|56-2042185</t>
  </si>
  <si>
    <t>971|0562042185</t>
  </si>
  <si>
    <t>JPX4VL007</t>
  </si>
  <si>
    <t>2830-0</t>
  </si>
  <si>
    <t>JPX4VL008</t>
  </si>
  <si>
    <t>RAJNEESH NARESH KUMAR AGGARWAL</t>
  </si>
  <si>
    <t>971|55-2000115</t>
  </si>
  <si>
    <t>JPJ3VL008</t>
  </si>
  <si>
    <t>2831-0</t>
  </si>
  <si>
    <t>JPX4VL009</t>
  </si>
  <si>
    <t>MARIA VASYLENKO</t>
  </si>
  <si>
    <t>maria@castlesplaza.com</t>
  </si>
  <si>
    <t>Ukraine</t>
  </si>
  <si>
    <t>JPJ3VL009</t>
  </si>
  <si>
    <t>2832-0</t>
  </si>
  <si>
    <t>JPX4VL010</t>
  </si>
  <si>
    <t>SYED FARHAN ALIKHAN</t>
  </si>
  <si>
    <t>omran@imgs.ca</t>
  </si>
  <si>
    <t>971|50-3412070</t>
  </si>
  <si>
    <t>971|3412070</t>
  </si>
  <si>
    <t>JPJ3VL010</t>
  </si>
  <si>
    <t>2833-0</t>
  </si>
  <si>
    <t>JPJ3VL011</t>
  </si>
  <si>
    <t>JANAK BALASHANKER GORE</t>
  </si>
  <si>
    <t>971|503892121</t>
  </si>
  <si>
    <t>janak_gore@hotmail.com</t>
  </si>
  <si>
    <t>971|50-3892121</t>
  </si>
  <si>
    <t>JPX4VL011</t>
  </si>
  <si>
    <t>MAMTA JANAK GORE</t>
  </si>
  <si>
    <t>mamtagore@yahoo.com</t>
  </si>
  <si>
    <t>2834-0</t>
  </si>
  <si>
    <t>JPX4VL012</t>
  </si>
  <si>
    <t>JPJ3VL012</t>
  </si>
  <si>
    <t>2835-0</t>
  </si>
  <si>
    <t>JPJ3VL013</t>
  </si>
  <si>
    <t>VIRESH KUMAR PRABHAKAR KOTHARI</t>
  </si>
  <si>
    <t>971|56-7907966</t>
  </si>
  <si>
    <t>JPX4VL013</t>
  </si>
  <si>
    <t>FAY VIRESH KOTHARI</t>
  </si>
  <si>
    <t>971|56-7907960</t>
  </si>
  <si>
    <t>2836-0</t>
  </si>
  <si>
    <t>JPJ3VL014</t>
  </si>
  <si>
    <t>BHOJO SOBHRAJ MULANI</t>
  </si>
  <si>
    <t>971|50-0506446</t>
  </si>
  <si>
    <t>JPX4VL014</t>
  </si>
  <si>
    <t>2837-0</t>
  </si>
  <si>
    <t>JPX4VL015</t>
  </si>
  <si>
    <t>JAWAD A. I. ALMASRI</t>
  </si>
  <si>
    <t>971|50-0507233</t>
  </si>
  <si>
    <t>JPJ3VL015</t>
  </si>
  <si>
    <t>TAHER J. A. ALMASRI</t>
  </si>
  <si>
    <t>971|0507233372</t>
  </si>
  <si>
    <t>2838-0</t>
  </si>
  <si>
    <t>JPJ3VL016</t>
  </si>
  <si>
    <t>MOHAMAD TARRAB M-WALID</t>
  </si>
  <si>
    <t>971|50-6777216</t>
  </si>
  <si>
    <t>971|6777216</t>
  </si>
  <si>
    <t>JPX4VL016</t>
  </si>
  <si>
    <t>2839-0</t>
  </si>
  <si>
    <t>JPJ3VL017</t>
  </si>
  <si>
    <t>MOHAMMAD SALEEM ADAM</t>
  </si>
  <si>
    <t>SALEEM@ADAMFAMILY.CO.UK</t>
  </si>
  <si>
    <t>971|50-2940043</t>
  </si>
  <si>
    <t>JPX4VL017</t>
  </si>
  <si>
    <t>2840-0</t>
  </si>
  <si>
    <t>JPJ3VL018</t>
  </si>
  <si>
    <t>SONALI NARENDRA PANDYA</t>
  </si>
  <si>
    <t>971|508666789</t>
  </si>
  <si>
    <t>MD@BDHOME.COM</t>
  </si>
  <si>
    <t>971|50-1432862</t>
  </si>
  <si>
    <t>971|0505519980</t>
  </si>
  <si>
    <t>JPX4VL018</t>
  </si>
  <si>
    <t>2841-0</t>
  </si>
  <si>
    <t>JPJ3VL019</t>
  </si>
  <si>
    <t>JPX4VL019</t>
  </si>
  <si>
    <t>SAM MOBIED</t>
  </si>
  <si>
    <t>mobied9900@gmail.com</t>
  </si>
  <si>
    <t>971|56-7910073</t>
  </si>
  <si>
    <t>971|4554561</t>
  </si>
  <si>
    <t>2842-0</t>
  </si>
  <si>
    <t>JPJ3VL020</t>
  </si>
  <si>
    <t>GOBIND DAS KALYAN DAS</t>
  </si>
  <si>
    <t>971|50-6526284</t>
  </si>
  <si>
    <t>JPX4VL020</t>
  </si>
  <si>
    <t>KOMAL SAWLANI</t>
  </si>
  <si>
    <t>971|50-0552320</t>
  </si>
  <si>
    <t>2843-0</t>
  </si>
  <si>
    <t>JPJ3VL021</t>
  </si>
  <si>
    <t>KARANDEEP RAVINDERSENGH ANAND</t>
  </si>
  <si>
    <t>971|50-0505599</t>
  </si>
  <si>
    <t>JPX4VL021</t>
  </si>
  <si>
    <t>RAVINDER SINGH</t>
  </si>
  <si>
    <t>2844-0</t>
  </si>
  <si>
    <t>JPX4VL022</t>
  </si>
  <si>
    <t>AULA ABDULKARIM YASSIN AL ANI</t>
  </si>
  <si>
    <t>971|50-7273032</t>
  </si>
  <si>
    <t>JPJ3VL022</t>
  </si>
  <si>
    <t>2845-0</t>
  </si>
  <si>
    <t>JPJ3VL023</t>
  </si>
  <si>
    <t>NOUR AL HASSAN</t>
  </si>
  <si>
    <t>nour.jamal86@gmail.com</t>
  </si>
  <si>
    <t>971|55-5816424</t>
  </si>
  <si>
    <t>JPX4VL023</t>
  </si>
  <si>
    <t>SAMER EL HOUSSEINI</t>
  </si>
  <si>
    <t>HASSAN.ABOUNAYEF@GMAIL.COM</t>
  </si>
  <si>
    <t>971|50-1813933</t>
  </si>
  <si>
    <t>971|501813933</t>
  </si>
  <si>
    <t>2846-0</t>
  </si>
  <si>
    <t>JPJ3VL024</t>
  </si>
  <si>
    <t>MEHUL JAIN</t>
  </si>
  <si>
    <t>JPX4VL024</t>
  </si>
  <si>
    <t>2847-0</t>
  </si>
  <si>
    <t>JPJ3VL025</t>
  </si>
  <si>
    <t>CHRISTOPHER TERENCE HARVEY</t>
  </si>
  <si>
    <t>JPX4VL025</t>
  </si>
  <si>
    <t>2848-0</t>
  </si>
  <si>
    <t>JPX4VL026</t>
  </si>
  <si>
    <t>ABDUL HAMEED</t>
  </si>
  <si>
    <t>971|55-4152646</t>
  </si>
  <si>
    <t>JPJ3VL026</t>
  </si>
  <si>
    <t>2849-0</t>
  </si>
  <si>
    <t>JPX4VL027</t>
  </si>
  <si>
    <t>SABA HUSSAIN</t>
  </si>
  <si>
    <t>WHO66_3@HOTMAIL.COM</t>
  </si>
  <si>
    <t>971|506504937</t>
  </si>
  <si>
    <t>JPJ3VL027</t>
  </si>
  <si>
    <t>2850-0</t>
  </si>
  <si>
    <t>JPJ3VL028</t>
  </si>
  <si>
    <t>JPX4VL028</t>
  </si>
  <si>
    <t>2851-0</t>
  </si>
  <si>
    <t>JPJ3VL029</t>
  </si>
  <si>
    <t>MIRZA IKHTIAR BAIG</t>
  </si>
  <si>
    <t>971|50-4810948</t>
  </si>
  <si>
    <t>JPX4VL029</t>
  </si>
  <si>
    <t>2852-0</t>
  </si>
  <si>
    <t>JPJ3VL030</t>
  </si>
  <si>
    <t>SYED SHAHBAZ NEAMAN ALIKHAN</t>
  </si>
  <si>
    <t>971|0502723092</t>
  </si>
  <si>
    <t>971|50-2723092</t>
  </si>
  <si>
    <t>JPX4VL030</t>
  </si>
  <si>
    <t>2853-0</t>
  </si>
  <si>
    <t>JPX4VL031</t>
  </si>
  <si>
    <t>BAHAA RIYADH SAFAA KILIDAR</t>
  </si>
  <si>
    <t>b_kilidar@yahoo.com</t>
  </si>
  <si>
    <t>JPJ3VL031</t>
  </si>
  <si>
    <t>RAFAL R SAFAA KILIDAR</t>
  </si>
  <si>
    <t>971|528714444</t>
  </si>
  <si>
    <t>971|52-8714444</t>
  </si>
  <si>
    <t>971|8714444</t>
  </si>
  <si>
    <t>2854-0</t>
  </si>
  <si>
    <t>JPJ3VL032</t>
  </si>
  <si>
    <t>JPX4VL032</t>
  </si>
  <si>
    <t>2855-0</t>
  </si>
  <si>
    <t>JPJ3VL033</t>
  </si>
  <si>
    <t>MAZEN MARDINI</t>
  </si>
  <si>
    <t>971|50-0501615</t>
  </si>
  <si>
    <t>JPX4VL033</t>
  </si>
  <si>
    <t>2856-0</t>
  </si>
  <si>
    <t>JPX4VL034</t>
  </si>
  <si>
    <t>JPJ3VL034</t>
  </si>
  <si>
    <t>2857-0</t>
  </si>
  <si>
    <t>JPJ3VL035</t>
  </si>
  <si>
    <t>JPX4VL035</t>
  </si>
  <si>
    <t>2858-0</t>
  </si>
  <si>
    <t>JPJ3VL036</t>
  </si>
  <si>
    <t>NADA AL BAHRI</t>
  </si>
  <si>
    <t>albahri.nada@gmail.com</t>
  </si>
  <si>
    <t>971|50-5241965</t>
  </si>
  <si>
    <t>JPX4VL036</t>
  </si>
  <si>
    <t>2859-0</t>
  </si>
  <si>
    <t>JPX4VL037</t>
  </si>
  <si>
    <t>JPJ3VL037</t>
  </si>
  <si>
    <t>2860-0</t>
  </si>
  <si>
    <t>JPX4VL038</t>
  </si>
  <si>
    <t>OMAR ZOHAIR TAHA AL HAFEZ</t>
  </si>
  <si>
    <t>971|50-6943872</t>
  </si>
  <si>
    <t>JPJ3VL038</t>
  </si>
  <si>
    <t>2861-0</t>
  </si>
  <si>
    <t>JPJ3VL039</t>
  </si>
  <si>
    <t>ALI SAEED SULTAN HARMAL ALDHAHERI</t>
  </si>
  <si>
    <t>ZIAD@BHS.AE</t>
  </si>
  <si>
    <t>971|50-6433375</t>
  </si>
  <si>
    <t>971|6433375</t>
  </si>
  <si>
    <t>JPX4VL039</t>
  </si>
  <si>
    <t>MOHAMMAD ASGHAR DOLATI MIAB</t>
  </si>
  <si>
    <t>971|50-4574417</t>
  </si>
  <si>
    <t>971|504574417</t>
  </si>
  <si>
    <t>2862-0</t>
  </si>
  <si>
    <t>JPX4VL040</t>
  </si>
  <si>
    <t>RANDY SHAFIQ OMAR AL BALAWI</t>
  </si>
  <si>
    <t>JPJ3VL040</t>
  </si>
  <si>
    <t>2863-0</t>
  </si>
  <si>
    <t>JPX4VL041</t>
  </si>
  <si>
    <t>DAMYANTI ALIAS USHA SURESH NEGANDHI</t>
  </si>
  <si>
    <t>ushasur55@gmail.com</t>
  </si>
  <si>
    <t>971|55-5875748</t>
  </si>
  <si>
    <t>JPJ3VL041</t>
  </si>
  <si>
    <t>2864-0</t>
  </si>
  <si>
    <t>JPJ3VL042</t>
  </si>
  <si>
    <t>MHD MAZEN ADNAN ELDOHAJI</t>
  </si>
  <si>
    <t>JPX4VL042</t>
  </si>
  <si>
    <t>DINA KHALED BADAWI</t>
  </si>
  <si>
    <t>2865-0</t>
  </si>
  <si>
    <t>JPX4VL043</t>
  </si>
  <si>
    <t>YASIR SAMER HAMEED AL OBAIDI</t>
  </si>
  <si>
    <t>971|50-9988840</t>
  </si>
  <si>
    <t>971|9988840</t>
  </si>
  <si>
    <t>JPJ3VL043</t>
  </si>
  <si>
    <t>2866-0</t>
  </si>
  <si>
    <t>JPJ3VL044</t>
  </si>
  <si>
    <t>JPX4VL044</t>
  </si>
  <si>
    <t>2867-0</t>
  </si>
  <si>
    <t>JPJ3VL045</t>
  </si>
  <si>
    <t>JPX4VL045</t>
  </si>
  <si>
    <t>2868-0</t>
  </si>
  <si>
    <t>JPJ3VL046</t>
  </si>
  <si>
    <t>TRAVERS NICHOLAS</t>
  </si>
  <si>
    <t>971|054-4564564</t>
  </si>
  <si>
    <t>JPX4VL046</t>
  </si>
  <si>
    <t>2869-0</t>
  </si>
  <si>
    <t>JPJ3VL047</t>
  </si>
  <si>
    <t>JPX4VL047</t>
  </si>
  <si>
    <t>2870-0</t>
  </si>
  <si>
    <t>JPJ3VL048</t>
  </si>
  <si>
    <t>JPX4VL048</t>
  </si>
  <si>
    <t>ANDREW JAMES CARPHIN</t>
  </si>
  <si>
    <t>GHANEM@AKAR.AE</t>
  </si>
  <si>
    <t>971|56-2253514</t>
  </si>
  <si>
    <t>2871-0</t>
  </si>
  <si>
    <t>JPX4VL049</t>
  </si>
  <si>
    <t>JPJ3VL049</t>
  </si>
  <si>
    <t>2872-0</t>
  </si>
  <si>
    <t>JPW4V050</t>
  </si>
  <si>
    <t>SEAN DANIEL CLIFFORD</t>
  </si>
  <si>
    <t>971|52-8497975</t>
  </si>
  <si>
    <t>JPJ3VL050</t>
  </si>
  <si>
    <t>2873-0</t>
  </si>
  <si>
    <t>JPJ3VL051</t>
  </si>
  <si>
    <t>JAMAL AHMAD ESSA AL THANI</t>
  </si>
  <si>
    <t>669478-04</t>
  </si>
  <si>
    <t>JPW4V051</t>
  </si>
  <si>
    <t>2874-0</t>
  </si>
  <si>
    <t>JPW4V052</t>
  </si>
  <si>
    <t>RAIF ABOU DIAB</t>
  </si>
  <si>
    <t>971|56-5372234</t>
  </si>
  <si>
    <t>JPJ3VL052</t>
  </si>
  <si>
    <t>2875-0</t>
  </si>
  <si>
    <t>JPW4V053</t>
  </si>
  <si>
    <t>MAY NASRAWI</t>
  </si>
  <si>
    <t>971|0559494744</t>
  </si>
  <si>
    <t>971|50-0559494</t>
  </si>
  <si>
    <t>JPJ3VL053</t>
  </si>
  <si>
    <t>2876-0</t>
  </si>
  <si>
    <t>JPJ3VL054</t>
  </si>
  <si>
    <t>ANITA RAJEEV MAJUMDAR</t>
  </si>
  <si>
    <t>JPW4V054</t>
  </si>
  <si>
    <t>2877-0</t>
  </si>
  <si>
    <t>JPW4V055</t>
  </si>
  <si>
    <t>JPJ3VL055</t>
  </si>
  <si>
    <t>AAMIR IMTIAZ MALKANI</t>
  </si>
  <si>
    <t>AAMIRMALKANI@GMAIL.COM</t>
  </si>
  <si>
    <t>971|50-0489186</t>
  </si>
  <si>
    <t>971|048918619</t>
  </si>
  <si>
    <t>2878-0</t>
  </si>
  <si>
    <t>JPW4V056</t>
  </si>
  <si>
    <t>XUEYI HE</t>
  </si>
  <si>
    <t>971|0097150565</t>
  </si>
  <si>
    <t>JPJ3VL056</t>
  </si>
  <si>
    <t>2879-0</t>
  </si>
  <si>
    <t>JPW4V057</t>
  </si>
  <si>
    <t>JPJ3VL057</t>
  </si>
  <si>
    <t>YOGESH ASHOK BHOJWANI</t>
  </si>
  <si>
    <t>971|2614253</t>
  </si>
  <si>
    <t>971|50-2614253</t>
  </si>
  <si>
    <t>2880-0</t>
  </si>
  <si>
    <t>JPJ3VL058</t>
  </si>
  <si>
    <t>JPW4V058</t>
  </si>
  <si>
    <t>2881-0</t>
  </si>
  <si>
    <t>JPW4V059</t>
  </si>
  <si>
    <t>MALCOLM D SOUZA</t>
  </si>
  <si>
    <t>971|50-5065040</t>
  </si>
  <si>
    <t>971|506504025</t>
  </si>
  <si>
    <t>JPJ3VL059</t>
  </si>
  <si>
    <t>2882-0</t>
  </si>
  <si>
    <t>JPW4V060</t>
  </si>
  <si>
    <t>ARJUN KUMAR MOTWANI</t>
  </si>
  <si>
    <t>JPJ3VL060</t>
  </si>
  <si>
    <t>2883-0</t>
  </si>
  <si>
    <t>JPW4V061</t>
  </si>
  <si>
    <t>IFTEKHAR SIDDIQUE</t>
  </si>
  <si>
    <t>971|50-4535315</t>
  </si>
  <si>
    <t>JPJ3VL061</t>
  </si>
  <si>
    <t>2884-0</t>
  </si>
  <si>
    <t>JPJ3VL062</t>
  </si>
  <si>
    <t>SALAHUDDIN YASIN MUHAMMAD YASIN</t>
  </si>
  <si>
    <t>971|506554723</t>
  </si>
  <si>
    <t>YASSIN@GMAIL.COM</t>
  </si>
  <si>
    <t>971|50-6554723</t>
  </si>
  <si>
    <t>JPW4V062</t>
  </si>
  <si>
    <t>2885-0</t>
  </si>
  <si>
    <t>JPW4V063</t>
  </si>
  <si>
    <t>KISHAN PRAVIN MAJITHIA</t>
  </si>
  <si>
    <t>971|50-3903899</t>
  </si>
  <si>
    <t>971|3903899</t>
  </si>
  <si>
    <t>JPJ3VL063</t>
  </si>
  <si>
    <t>2886-0</t>
  </si>
  <si>
    <t>JPJ3VL064</t>
  </si>
  <si>
    <t>HAIYAN MUJARKECH</t>
  </si>
  <si>
    <t>HAIYAN59@GMAIL.COM</t>
  </si>
  <si>
    <t>971|50-4568368</t>
  </si>
  <si>
    <t>971|504568368</t>
  </si>
  <si>
    <t>JPW4V064</t>
  </si>
  <si>
    <t>2887-0</t>
  </si>
  <si>
    <t>JPJ3VL065</t>
  </si>
  <si>
    <t>SAMER SALIM KASER MILLI</t>
  </si>
  <si>
    <t>JPW4V065</t>
  </si>
  <si>
    <t>2888-0</t>
  </si>
  <si>
    <t>JPW4V066</t>
  </si>
  <si>
    <t>JPJ3VL066</t>
  </si>
  <si>
    <t>2889-0</t>
  </si>
  <si>
    <t>JPW4V067</t>
  </si>
  <si>
    <t>RAJENDRA KUMAR JANAKSINH RAMAIYA</t>
  </si>
  <si>
    <t>971|50-4528784</t>
  </si>
  <si>
    <t>971|504528784</t>
  </si>
  <si>
    <t>JPJ3VL067</t>
  </si>
  <si>
    <t>2890-0</t>
  </si>
  <si>
    <t>JPJ3VL068</t>
  </si>
  <si>
    <t>JPW4V068</t>
  </si>
  <si>
    <t>ALMABROUK MOHAMMED A ELMADANI</t>
  </si>
  <si>
    <t>2891-0</t>
  </si>
  <si>
    <t>JPJ3VL069</t>
  </si>
  <si>
    <t>JPW4V069</t>
  </si>
  <si>
    <t>2892-0</t>
  </si>
  <si>
    <t>JPW4V070</t>
  </si>
  <si>
    <t>JPJ3VL070</t>
  </si>
  <si>
    <t>MOHAMMED THAWAB S ALGETHAMI</t>
  </si>
  <si>
    <t>971|55-2370341</t>
  </si>
  <si>
    <t>2893-0</t>
  </si>
  <si>
    <t>JPJ3VL071</t>
  </si>
  <si>
    <t>NATASHA HIRANAND ASWANI</t>
  </si>
  <si>
    <t>971|0506500649</t>
  </si>
  <si>
    <t>971|50-6500649</t>
  </si>
  <si>
    <t>971|506500649</t>
  </si>
  <si>
    <t>JPW4V071</t>
  </si>
  <si>
    <t>HIRANAND SUGNOMAL ASWANI</t>
  </si>
  <si>
    <t>2894-0</t>
  </si>
  <si>
    <t>JPJ3VL072</t>
  </si>
  <si>
    <t>JPW4V072</t>
  </si>
  <si>
    <t>2895-0</t>
  </si>
  <si>
    <t>JPJ3VL073</t>
  </si>
  <si>
    <t>JPW4V073</t>
  </si>
  <si>
    <t>2896-0</t>
  </si>
  <si>
    <t>JPX4VL074</t>
  </si>
  <si>
    <t>JPJ3VL074</t>
  </si>
  <si>
    <t>2897-0</t>
  </si>
  <si>
    <t>JPX4VL075</t>
  </si>
  <si>
    <t>JPJ3VL075</t>
  </si>
  <si>
    <t>2898-0</t>
  </si>
  <si>
    <t>JPX4VL076</t>
  </si>
  <si>
    <t>MOHAMAD GHREIWATI</t>
  </si>
  <si>
    <t>971|50-0551000</t>
  </si>
  <si>
    <t>971|0551000846</t>
  </si>
  <si>
    <t>JPJ3VL076</t>
  </si>
  <si>
    <t>2899-0</t>
  </si>
  <si>
    <t>JPJ3VL077</t>
  </si>
  <si>
    <t>ABDELRAHMAN HUSSEIN MOHAMMAD ODEH</t>
  </si>
  <si>
    <t>971|52-9555513</t>
  </si>
  <si>
    <t>971|529555513</t>
  </si>
  <si>
    <t>JPX4VL077</t>
  </si>
  <si>
    <t>2900-0</t>
  </si>
  <si>
    <t>JPP3VL040</t>
  </si>
  <si>
    <t>RADHAKRISHNA PILLAI</t>
  </si>
  <si>
    <t>rkin@emirates.net.ae</t>
  </si>
  <si>
    <t>971|50-4531432</t>
  </si>
  <si>
    <t>2901-0</t>
  </si>
  <si>
    <t>JPP3VL041</t>
  </si>
  <si>
    <t>LARISSA INTERNATIONAL HOLDINGS LIMITED</t>
  </si>
  <si>
    <t>2902-0</t>
  </si>
  <si>
    <t>JPP3VL042</t>
  </si>
  <si>
    <t>MOHAMED ZIARD TEHRAN RASSOOL</t>
  </si>
  <si>
    <t>2903-0</t>
  </si>
  <si>
    <t>JPP3VL043</t>
  </si>
  <si>
    <t>MOHAMMAD HASSAN LAME</t>
  </si>
  <si>
    <t>982188305501+</t>
  </si>
  <si>
    <t>iicccarbon@yahoo.com</t>
  </si>
  <si>
    <t>2904-0</t>
  </si>
  <si>
    <t>JPP3VL044</t>
  </si>
  <si>
    <t>NAUMAN SALEEM HASAN</t>
  </si>
  <si>
    <t>2905-0</t>
  </si>
  <si>
    <t>JPP3VL045</t>
  </si>
  <si>
    <t>BASSEL MAKAREM</t>
  </si>
  <si>
    <t>bmakarem@hotmail.com</t>
  </si>
  <si>
    <t>2906-0</t>
  </si>
  <si>
    <t>JPP3VL046</t>
  </si>
  <si>
    <t>AHMAD HUSSEIN FAYYAD MUSTAFA</t>
  </si>
  <si>
    <t>971|043911111</t>
  </si>
  <si>
    <t>971|56-6937636</t>
  </si>
  <si>
    <t>2907-0</t>
  </si>
  <si>
    <t>JPP3VL047</t>
  </si>
  <si>
    <t>RIMA AHMAD ABURASHED</t>
  </si>
  <si>
    <t>2908-0</t>
  </si>
  <si>
    <t>JPP3VL048</t>
  </si>
  <si>
    <t>KHURRAM HANIF KALIA</t>
  </si>
  <si>
    <t>kaliph01@gmail.com</t>
  </si>
  <si>
    <t>2909-0</t>
  </si>
  <si>
    <t>JPP3VL049</t>
  </si>
  <si>
    <t>SAMER ADNAN MAHMOUD ABDALLAH</t>
  </si>
  <si>
    <t>2910-0</t>
  </si>
  <si>
    <t>JPP3VL050</t>
  </si>
  <si>
    <t>YASSER MOHAMED SAMIR ABDOU AHMED</t>
  </si>
  <si>
    <t>2911-0</t>
  </si>
  <si>
    <t>JPP3VL051</t>
  </si>
  <si>
    <t>SEYED JAFAR SEYED ABDOLHOSSEIN ZANDAVI</t>
  </si>
  <si>
    <t>2912-0</t>
  </si>
  <si>
    <t>JPP3VL052</t>
  </si>
  <si>
    <t>ZULFIQAR MOORAJ</t>
  </si>
  <si>
    <t>2913-0</t>
  </si>
  <si>
    <t>JPP3VL053</t>
  </si>
  <si>
    <t>ALI HASSAN KREIDIE</t>
  </si>
  <si>
    <t>3304070-04</t>
  </si>
  <si>
    <t>2914-0</t>
  </si>
  <si>
    <t>JPP3VL054</t>
  </si>
  <si>
    <t>2915-0</t>
  </si>
  <si>
    <t>JPP4V001</t>
  </si>
  <si>
    <t>MOHAMMAD KHAMIS IBRAHIM BAKR</t>
  </si>
  <si>
    <t>JPP3VS001</t>
  </si>
  <si>
    <t>2916-0</t>
  </si>
  <si>
    <t>JPP3VS002</t>
  </si>
  <si>
    <t>ASGHAR AHANALI ESMAEILI</t>
  </si>
  <si>
    <t>JPP4V002</t>
  </si>
  <si>
    <t>2917-0</t>
  </si>
  <si>
    <t>JPP4V003</t>
  </si>
  <si>
    <t>MANU NARANG</t>
  </si>
  <si>
    <t>JPP3VS003</t>
  </si>
  <si>
    <t>2918-0</t>
  </si>
  <si>
    <t>JPP3VS004</t>
  </si>
  <si>
    <t>IRFAN MERALI</t>
  </si>
  <si>
    <t>JPP4V004</t>
  </si>
  <si>
    <t>2919-0</t>
  </si>
  <si>
    <t>JPP4V005</t>
  </si>
  <si>
    <t>OMAR EL HAJ</t>
  </si>
  <si>
    <t>971|50-6544143</t>
  </si>
  <si>
    <t>2920-0</t>
  </si>
  <si>
    <t>JPP4V006</t>
  </si>
  <si>
    <t>HAIDER AL ASSAM</t>
  </si>
  <si>
    <t>JPP3VS006</t>
  </si>
  <si>
    <t>2921-0</t>
  </si>
  <si>
    <t>JPP3VS007</t>
  </si>
  <si>
    <t>GHAZALA PERVEZ ZAMAN</t>
  </si>
  <si>
    <t>JPP4V007</t>
  </si>
  <si>
    <t>ASIM ZAMAN</t>
  </si>
  <si>
    <t>2922-0</t>
  </si>
  <si>
    <t>JPP4V008</t>
  </si>
  <si>
    <t>ZUZANA WENNERGREN</t>
  </si>
  <si>
    <t>JPP3VS008</t>
  </si>
  <si>
    <t>2923-0</t>
  </si>
  <si>
    <t>JPP4V009</t>
  </si>
  <si>
    <t>PARESH VIDHANI</t>
  </si>
  <si>
    <t>babuvidhani@hotmail.com</t>
  </si>
  <si>
    <t>971|55-3228263</t>
  </si>
  <si>
    <t>971|3228263</t>
  </si>
  <si>
    <t>JPP3VS009</t>
  </si>
  <si>
    <t>JAYA VIDHANI</t>
  </si>
  <si>
    <t>2924-0</t>
  </si>
  <si>
    <t>JPP3VS010</t>
  </si>
  <si>
    <t>KHALED SULEIMAN IBRAHIM ABUSADEH</t>
  </si>
  <si>
    <t>971|50-9073100</t>
  </si>
  <si>
    <t>971|0509073100</t>
  </si>
  <si>
    <t>JPP4V010</t>
  </si>
  <si>
    <t>2925-0</t>
  </si>
  <si>
    <t>JPP4V011</t>
  </si>
  <si>
    <t>SAMMER SULTAN MUHAMMAD SIKANDER SULTAN</t>
  </si>
  <si>
    <t>JPP3VS011</t>
  </si>
  <si>
    <t>2926-0</t>
  </si>
  <si>
    <t>JPP3VS012</t>
  </si>
  <si>
    <t>JPP4V012</t>
  </si>
  <si>
    <t>2927-0</t>
  </si>
  <si>
    <t>JPP3VS013</t>
  </si>
  <si>
    <t>NASRULLAH CHAUDHRY</t>
  </si>
  <si>
    <t>971|55-5514280</t>
  </si>
  <si>
    <t>971|555514280</t>
  </si>
  <si>
    <t>JPP4V013</t>
  </si>
  <si>
    <t>2928-0</t>
  </si>
  <si>
    <t>JPP3VS014</t>
  </si>
  <si>
    <t>AMIR SIDDIQ ABDULRAHIM ALJANAHI</t>
  </si>
  <si>
    <t>6512262-050</t>
  </si>
  <si>
    <t>JPP4V014</t>
  </si>
  <si>
    <t>2929-0</t>
  </si>
  <si>
    <t>JPP3VS015</t>
  </si>
  <si>
    <t>NARGIS SHAHID SOORTY SHAHID RASHID SOORTY</t>
  </si>
  <si>
    <t>JPP4V015</t>
  </si>
  <si>
    <t>2930-0</t>
  </si>
  <si>
    <t>JPP4V016</t>
  </si>
  <si>
    <t>JPP3VS016</t>
  </si>
  <si>
    <t>2931-0</t>
  </si>
  <si>
    <t>JPP3VS017</t>
  </si>
  <si>
    <t>JPP4V017</t>
  </si>
  <si>
    <t>2932-0</t>
  </si>
  <si>
    <t>JPP4V018</t>
  </si>
  <si>
    <t>TARUN NAV RATAN SINGH</t>
  </si>
  <si>
    <t>JPP3VS018</t>
  </si>
  <si>
    <t>2933-0</t>
  </si>
  <si>
    <t>JPP4V019</t>
  </si>
  <si>
    <t>NAEEM MIRZA</t>
  </si>
  <si>
    <t>nmirza65@yahoo.com</t>
  </si>
  <si>
    <t>JPP3VS019</t>
  </si>
  <si>
    <t>2934-0</t>
  </si>
  <si>
    <t>JPP3VS020</t>
  </si>
  <si>
    <t>JPP4V020</t>
  </si>
  <si>
    <t>2935-0</t>
  </si>
  <si>
    <t>JPP4V021</t>
  </si>
  <si>
    <t>ZULFIQAR FEIZULLA ABDULALI</t>
  </si>
  <si>
    <t>971|55-5976652</t>
  </si>
  <si>
    <t>JPP3VS021</t>
  </si>
  <si>
    <t>2936-0</t>
  </si>
  <si>
    <t>JPP3VS022</t>
  </si>
  <si>
    <t>JPP4V022</t>
  </si>
  <si>
    <t>2937-0</t>
  </si>
  <si>
    <t>JPP3VS023</t>
  </si>
  <si>
    <t>SUHA MOHD MOHD ABU ISSA</t>
  </si>
  <si>
    <t>JPP4V023</t>
  </si>
  <si>
    <t>2938-0</t>
  </si>
  <si>
    <t>JPP3VS024</t>
  </si>
  <si>
    <t>JAMES EDWARD MASTERMAN</t>
  </si>
  <si>
    <t>2939-0</t>
  </si>
  <si>
    <t>JPP3VS025</t>
  </si>
  <si>
    <t>RABIA MUHAMMAD IQBAL SHAFI</t>
  </si>
  <si>
    <t>971|506590371</t>
  </si>
  <si>
    <t>971|50-6590371</t>
  </si>
  <si>
    <t>SYED AHMED AHMED SYED NASEER NASEER</t>
  </si>
  <si>
    <t>2940-0</t>
  </si>
  <si>
    <t>JPP3VS026</t>
  </si>
  <si>
    <t>GABRIEL PREETHAM NATHAN</t>
  </si>
  <si>
    <t>2941-0</t>
  </si>
  <si>
    <t>JPP3VS027</t>
  </si>
  <si>
    <t>EKATERINA BERESTOVA</t>
  </si>
  <si>
    <t>katerina@algebra-property.com</t>
  </si>
  <si>
    <t>2942-0</t>
  </si>
  <si>
    <t>JPP3VS028</t>
  </si>
  <si>
    <t>ABDULHAMID IBRAHIM MOHAMMAD ALBASTAKI</t>
  </si>
  <si>
    <t>2943-0</t>
  </si>
  <si>
    <t>JPP3VS029</t>
  </si>
  <si>
    <t>ANILA SHAHID SHAHID HAMAYUN</t>
  </si>
  <si>
    <t>2944-0</t>
  </si>
  <si>
    <t>JPP3VS030</t>
  </si>
  <si>
    <t>ABBAS HABIB</t>
  </si>
  <si>
    <t>2945-0</t>
  </si>
  <si>
    <t>JPP3VS031</t>
  </si>
  <si>
    <t>SAHAR KHALEEL KHAIRULLAH AL SALMAN [DXB/V5101</t>
  </si>
  <si>
    <t>2946-0</t>
  </si>
  <si>
    <t>JPP3VS032</t>
  </si>
  <si>
    <t>DEREK KEITH ASTBURY</t>
  </si>
  <si>
    <t>SHUANG SHA</t>
  </si>
  <si>
    <t>2947-0</t>
  </si>
  <si>
    <t>JPB5V022</t>
  </si>
  <si>
    <t>DIANA MAGARIU</t>
  </si>
  <si>
    <t>diana@keyoneproperties.com</t>
  </si>
  <si>
    <t>971|50-8414962</t>
  </si>
  <si>
    <t>971|8414962</t>
  </si>
  <si>
    <t>Moldavia</t>
  </si>
  <si>
    <t>2948-0</t>
  </si>
  <si>
    <t>JPB5V023</t>
  </si>
  <si>
    <t>2949-0</t>
  </si>
  <si>
    <t>JPB5V024</t>
  </si>
  <si>
    <t>KADEER NAIBI</t>
  </si>
  <si>
    <t>971|56-2539942</t>
  </si>
  <si>
    <t>971|562539942</t>
  </si>
  <si>
    <t>2950-0</t>
  </si>
  <si>
    <t>JPB5V025</t>
  </si>
  <si>
    <t>KADEERAJI AILIMUJIANG</t>
  </si>
  <si>
    <t>971|0551194899</t>
  </si>
  <si>
    <t>2951-0</t>
  </si>
  <si>
    <t>JPB5V026</t>
  </si>
  <si>
    <t>ZAINAB KASSAM</t>
  </si>
  <si>
    <t>kasim@mfindltd.net</t>
  </si>
  <si>
    <t>971|50-4627250</t>
  </si>
  <si>
    <t>MAHOMED IQBAL KASSAM</t>
  </si>
  <si>
    <t>971|0504627250</t>
  </si>
  <si>
    <t>971|50-0504627</t>
  </si>
  <si>
    <t>2952-0</t>
  </si>
  <si>
    <t>JPB5V027</t>
  </si>
  <si>
    <t>HIND ABOULFATH</t>
  </si>
  <si>
    <t>2953-0</t>
  </si>
  <si>
    <t>JPB5V028</t>
  </si>
  <si>
    <t>SHAHADA KAMAL</t>
  </si>
  <si>
    <t>2954-0</t>
  </si>
  <si>
    <t>JPB5V029</t>
  </si>
  <si>
    <t>RUZAHUN ATUS [DXB/V5045]</t>
  </si>
  <si>
    <t>2955-0</t>
  </si>
  <si>
    <t>JPB5V030</t>
  </si>
  <si>
    <t>HAFIZ ABRAR AHMED</t>
  </si>
  <si>
    <t>2956-0</t>
  </si>
  <si>
    <t>JPB5V031</t>
  </si>
  <si>
    <t>AKRAM UL MEHMOOD MUHAMMAD</t>
  </si>
  <si>
    <t>971|52-7674536</t>
  </si>
  <si>
    <t>2957-0</t>
  </si>
  <si>
    <t>JPB5V032</t>
  </si>
  <si>
    <t>YOUSEF MOHAMMAD ABDUL KARIM ABU SALL</t>
  </si>
  <si>
    <t>2958-0</t>
  </si>
  <si>
    <t>JPB5V033</t>
  </si>
  <si>
    <t>JAMIL AZIZ HADDAD</t>
  </si>
  <si>
    <t>2959-0</t>
  </si>
  <si>
    <t>JPB5V034</t>
  </si>
  <si>
    <t>ABDUL MOBIN MOSLEM</t>
  </si>
  <si>
    <t>ABDULMOBAIN@GMAIL.COM</t>
  </si>
  <si>
    <t>971|50-7658249</t>
  </si>
  <si>
    <t>2960-0</t>
  </si>
  <si>
    <t>JPB5V035</t>
  </si>
  <si>
    <t>ALI ABDULKAREEM LUAIBI AL MALIKI</t>
  </si>
  <si>
    <t>971|55-5222263</t>
  </si>
  <si>
    <t>971|555222263</t>
  </si>
  <si>
    <t>2961-0</t>
  </si>
  <si>
    <t>JPB5V036</t>
  </si>
  <si>
    <t>MOUNZER NOMAN WAKIL</t>
  </si>
  <si>
    <t>2962-0</t>
  </si>
  <si>
    <t>JPB5V037</t>
  </si>
  <si>
    <t>ALAA ABDALMAGID MOHMMOD ALSAADI</t>
  </si>
  <si>
    <t>alaazaid777@hotmail.com</t>
  </si>
  <si>
    <t>971|50-6422200</t>
  </si>
  <si>
    <t>2963-0</t>
  </si>
  <si>
    <t>JPB5V038</t>
  </si>
  <si>
    <t>NABIH ASAD HASSAN ZUHOUR</t>
  </si>
  <si>
    <t>w@w.com</t>
  </si>
  <si>
    <t>971|50-0506326</t>
  </si>
  <si>
    <t>971|0506326665</t>
  </si>
  <si>
    <t>2964-0</t>
  </si>
  <si>
    <t>JPB5V039</t>
  </si>
  <si>
    <t>WAEL A A AL SHARIF</t>
  </si>
  <si>
    <t>2965-0</t>
  </si>
  <si>
    <t>JPB5V040</t>
  </si>
  <si>
    <t>TAHA ZUHAIR TAHA AL HAFIDH</t>
  </si>
  <si>
    <t>971|50-2781834</t>
  </si>
  <si>
    <t>971|0502781834</t>
  </si>
  <si>
    <t>2966-0</t>
  </si>
  <si>
    <t>JPB5V041</t>
  </si>
  <si>
    <t>MUHAMMAD TARIQ NAWAZ MUHAMMAD NAWAZ</t>
  </si>
  <si>
    <t>TAREQ.NAWAZ@FGB.AE</t>
  </si>
  <si>
    <t>2967-0</t>
  </si>
  <si>
    <t>JPB5V042</t>
  </si>
  <si>
    <t>MOHAMMAD AREF HABIBYAR HAJI MOHAMMAD IBRAHIM</t>
  </si>
  <si>
    <t>rafi@primaluxury.com</t>
  </si>
  <si>
    <t>2968-0</t>
  </si>
  <si>
    <t>JPC3VS001</t>
  </si>
  <si>
    <t>TARIQ SHARAF EL DIN HASSAN</t>
  </si>
  <si>
    <t>2969-0</t>
  </si>
  <si>
    <t>JPC3VS002</t>
  </si>
  <si>
    <t>FOUAD ALI HAMMOOD</t>
  </si>
  <si>
    <t>fahamood@gmail.com</t>
  </si>
  <si>
    <t>971|50-7632321</t>
  </si>
  <si>
    <t>971|505930935</t>
  </si>
  <si>
    <t>2970-0</t>
  </si>
  <si>
    <t>JPC3VS003</t>
  </si>
  <si>
    <t>NANCY ZABANEH</t>
  </si>
  <si>
    <t>2971-0</t>
  </si>
  <si>
    <t>JPC3VS004</t>
  </si>
  <si>
    <t>DEEPAK VERMA</t>
  </si>
  <si>
    <t>ASHU JOHAR VERMA</t>
  </si>
  <si>
    <t>ashu@thinkss.com</t>
  </si>
  <si>
    <t>2972-0</t>
  </si>
  <si>
    <t>JPC3VS005</t>
  </si>
  <si>
    <t>MUSTAPHA HAIDOUR</t>
  </si>
  <si>
    <t>2973-0</t>
  </si>
  <si>
    <t>JPC3VS006</t>
  </si>
  <si>
    <t>FAWAZ SALEH M ALHENAKI</t>
  </si>
  <si>
    <t>FAWAZALHENAKI@HOTMAIL.COM</t>
  </si>
  <si>
    <t>971|50-5555287</t>
  </si>
  <si>
    <t>971|055552874</t>
  </si>
  <si>
    <t>2974-0</t>
  </si>
  <si>
    <t>JPC3VS007</t>
  </si>
  <si>
    <t>2975-0</t>
  </si>
  <si>
    <t>JPC3VS008</t>
  </si>
  <si>
    <t>BASEL FAWZI SHAKRA</t>
  </si>
  <si>
    <t>2976-0</t>
  </si>
  <si>
    <t>JPC3VS009</t>
  </si>
  <si>
    <t>BRIAN WILLIAM STOKOE</t>
  </si>
  <si>
    <t>2977-0</t>
  </si>
  <si>
    <t>JPC3VS010</t>
  </si>
  <si>
    <t>2978-0</t>
  </si>
  <si>
    <t>JPC3VS011</t>
  </si>
  <si>
    <t>2979-0</t>
  </si>
  <si>
    <t>JPC3VS012</t>
  </si>
  <si>
    <t>FARRUKH ZIA SIDDIQUI</t>
  </si>
  <si>
    <t>2980-0</t>
  </si>
  <si>
    <t>JPC3VS013</t>
  </si>
  <si>
    <t>IHAB KAMAL MOAWAD</t>
  </si>
  <si>
    <t>2981-0</t>
  </si>
  <si>
    <t>JPC3VS014</t>
  </si>
  <si>
    <t>TARIQ MAKIYA</t>
  </si>
  <si>
    <t>1|0</t>
  </si>
  <si>
    <t>2982-0</t>
  </si>
  <si>
    <t>JPC3VS015</t>
  </si>
  <si>
    <t>2983-0</t>
  </si>
  <si>
    <t>JPC3VS016</t>
  </si>
  <si>
    <t>HARRY ROMAR LOPEZ LUZARDO</t>
  </si>
  <si>
    <t>Venezuela</t>
  </si>
  <si>
    <t>2984-0</t>
  </si>
  <si>
    <t>JPC3VS017</t>
  </si>
  <si>
    <t>HANI MOHAMMED I ABU AWWAD</t>
  </si>
  <si>
    <t>2985-0</t>
  </si>
  <si>
    <t>JPC3VS018</t>
  </si>
  <si>
    <t>MORTEZA ALI KARIMI SEFFAT</t>
  </si>
  <si>
    <t>2986-0</t>
  </si>
  <si>
    <t>JPC3VS019</t>
  </si>
  <si>
    <t>2987-0</t>
  </si>
  <si>
    <t>JPC3VS020</t>
  </si>
  <si>
    <t>2988-0</t>
  </si>
  <si>
    <t>JPC3VS021</t>
  </si>
  <si>
    <t>2989-0</t>
  </si>
  <si>
    <t>JPC3VS022</t>
  </si>
  <si>
    <t>2990-0</t>
  </si>
  <si>
    <t>JPC3VS023</t>
  </si>
  <si>
    <t>TAREK ZIAD MOUNIR JALLAD</t>
  </si>
  <si>
    <t>2991-0</t>
  </si>
  <si>
    <t>JPC3VL001</t>
  </si>
  <si>
    <t>SHEF LOUAY EMAM</t>
  </si>
  <si>
    <t>2992-0</t>
  </si>
  <si>
    <t>JPC3VL002</t>
  </si>
  <si>
    <t>RASHI BHATTACHARYA</t>
  </si>
  <si>
    <t>2993-0</t>
  </si>
  <si>
    <t>JPC3VL003</t>
  </si>
  <si>
    <t>SUSHMA REGINA LILY VASE</t>
  </si>
  <si>
    <t>2994-0</t>
  </si>
  <si>
    <t>JPC3VL004</t>
  </si>
  <si>
    <t>SALEM ALKHUDAIRI</t>
  </si>
  <si>
    <t>2995-0</t>
  </si>
  <si>
    <t>JPC3VL005</t>
  </si>
  <si>
    <t>YURI BHARAT BHARDWAJ</t>
  </si>
  <si>
    <t>KUSH BHARAT BHARDWAJ</t>
  </si>
  <si>
    <t>2996-0</t>
  </si>
  <si>
    <t>JPC3VL006</t>
  </si>
  <si>
    <t>ISMAIL MOHAMED AMR SAAD TAMRAZ</t>
  </si>
  <si>
    <t>971|55-6748944</t>
  </si>
  <si>
    <t>2997-0</t>
  </si>
  <si>
    <t>JPC3VL007</t>
  </si>
  <si>
    <t>2998-0</t>
  </si>
  <si>
    <t>JPC3VL008</t>
  </si>
  <si>
    <t>2999-0</t>
  </si>
  <si>
    <t>JPC3VL009</t>
  </si>
  <si>
    <t>JAN MONKEDIECK</t>
  </si>
  <si>
    <t>3000-0</t>
  </si>
  <si>
    <t>JPC3VL010</t>
  </si>
  <si>
    <t>ALI OMAR DHARI AL HARDAN</t>
  </si>
  <si>
    <t>3001-0</t>
  </si>
  <si>
    <t>JPC3VL011</t>
  </si>
  <si>
    <t>ASHA ABDILLAHI EGGE</t>
  </si>
  <si>
    <t>3002-0</t>
  </si>
  <si>
    <t>JPC3VL012</t>
  </si>
  <si>
    <t>3003-0</t>
  </si>
  <si>
    <t>JPC3VL013</t>
  </si>
  <si>
    <t>3004-0</t>
  </si>
  <si>
    <t>JPC3VL014</t>
  </si>
  <si>
    <t>3005-0</t>
  </si>
  <si>
    <t>JPC3VL015</t>
  </si>
  <si>
    <t>3006-0</t>
  </si>
  <si>
    <t>JPC3VL016</t>
  </si>
  <si>
    <t>3007-0</t>
  </si>
  <si>
    <t>JPC3VL017</t>
  </si>
  <si>
    <t>HAJER ABDULLA S BUSHARAR</t>
  </si>
  <si>
    <t>3008-0</t>
  </si>
  <si>
    <t>JPC3VL018</t>
  </si>
  <si>
    <t>WISAM SULEIMAN SALIM NAJIM</t>
  </si>
  <si>
    <t>971|0506450872</t>
  </si>
  <si>
    <t>wnajim@eim.ae</t>
  </si>
  <si>
    <t>971|50-6450872</t>
  </si>
  <si>
    <t>3009-0</t>
  </si>
  <si>
    <t>JPC3VL019</t>
  </si>
  <si>
    <t>AMER HUSSEIN GABOURI</t>
  </si>
  <si>
    <t>050-2206612</t>
  </si>
  <si>
    <t>a.gabouri@ogigroup.com</t>
  </si>
  <si>
    <t>3010-0</t>
  </si>
  <si>
    <t>JPC3VL020</t>
  </si>
  <si>
    <t>MOHAMMED YOUSIF MUSTAFA ALBEER</t>
  </si>
  <si>
    <t>971|51-000</t>
  </si>
  <si>
    <t>3011-0</t>
  </si>
  <si>
    <t>JPC3VL021</t>
  </si>
  <si>
    <t>RAKESH JANARDAN RAVAL</t>
  </si>
  <si>
    <t>RACHANA RAKESH RAVAL</t>
  </si>
  <si>
    <t>3012-0</t>
  </si>
  <si>
    <t>JPC3VL022</t>
  </si>
  <si>
    <t>GEETA KAPUR</t>
  </si>
  <si>
    <t>events.g@gmail.com</t>
  </si>
  <si>
    <t>RAJNISH KAPUR</t>
  </si>
  <si>
    <t>markgulf@gmail.com</t>
  </si>
  <si>
    <t>3013-0</t>
  </si>
  <si>
    <t>JPC3VL023</t>
  </si>
  <si>
    <t>3014-0</t>
  </si>
  <si>
    <t>JPC3VL024</t>
  </si>
  <si>
    <t>3015-0</t>
  </si>
  <si>
    <t>JPC3VL025</t>
  </si>
  <si>
    <t>SVETLANA TRETIYAK</t>
  </si>
  <si>
    <t>971|50-6246187</t>
  </si>
  <si>
    <t>PETER JOHN COOPER</t>
  </si>
  <si>
    <t>971|50-5565397</t>
  </si>
  <si>
    <t>3016-0</t>
  </si>
  <si>
    <t>JPC3VL026</t>
  </si>
  <si>
    <t>3017-0</t>
  </si>
  <si>
    <t>JPC3VL027</t>
  </si>
  <si>
    <t>SIMON JOHN BOYD</t>
  </si>
  <si>
    <t>PHYLLIS MARGARET BOYD</t>
  </si>
  <si>
    <t>3018-0</t>
  </si>
  <si>
    <t>JPC3VL028</t>
  </si>
  <si>
    <t>AHMAD MOHD AMIN RASHID AZOUNI</t>
  </si>
  <si>
    <t>3629369-04</t>
  </si>
  <si>
    <t>MAISA GHAZI KHALIL AL SAIDI</t>
  </si>
  <si>
    <t>3019-0</t>
  </si>
  <si>
    <t>JPC3VL029</t>
  </si>
  <si>
    <t>3020-0</t>
  </si>
  <si>
    <t>JPC3VL030</t>
  </si>
  <si>
    <t>CHIANG JIN CHOON</t>
  </si>
  <si>
    <t>TEW GAIK HOON</t>
  </si>
  <si>
    <t>3021-0</t>
  </si>
  <si>
    <t>JPC3VL031</t>
  </si>
  <si>
    <t>3022-0</t>
  </si>
  <si>
    <t>JPC3VL032</t>
  </si>
  <si>
    <t>3023-0</t>
  </si>
  <si>
    <t>JPC3VL033</t>
  </si>
  <si>
    <t>3024-0</t>
  </si>
  <si>
    <t>JPC3VL034</t>
  </si>
  <si>
    <t>3025-0</t>
  </si>
  <si>
    <t>JPC3VL035</t>
  </si>
  <si>
    <t>3026-0</t>
  </si>
  <si>
    <t>JPC3VL036</t>
  </si>
  <si>
    <t>3027-0</t>
  </si>
  <si>
    <t>JPC3VL037</t>
  </si>
  <si>
    <t>3028-0</t>
  </si>
  <si>
    <t>JPC3VL038</t>
  </si>
  <si>
    <t>ELMAR International Holdings Limited</t>
  </si>
  <si>
    <t>SKHALED@MAJESTICGROUP.AE</t>
  </si>
  <si>
    <t>3029-0</t>
  </si>
  <si>
    <t>JPC3VL039</t>
  </si>
  <si>
    <t>ALI AHMAD ABOU TAAM</t>
  </si>
  <si>
    <t>ALI@MONIAGROUP.COM</t>
  </si>
  <si>
    <t>971|50-6329134</t>
  </si>
  <si>
    <t>HASSAN ALI ABOU TAAM</t>
  </si>
  <si>
    <t>3030-0</t>
  </si>
  <si>
    <t>JPC3VL040</t>
  </si>
  <si>
    <t>KARIM ADEL ALI SHOEIB</t>
  </si>
  <si>
    <t>04/3303600</t>
  </si>
  <si>
    <t>3031-0</t>
  </si>
  <si>
    <t>JPC3VL041</t>
  </si>
  <si>
    <t>SUNIL KASHYAP</t>
  </si>
  <si>
    <t>IENA KASHYAP</t>
  </si>
  <si>
    <t>3032-0</t>
  </si>
  <si>
    <t>JPC3VL042</t>
  </si>
  <si>
    <t>3033-0</t>
  </si>
  <si>
    <t>JPC3VL043</t>
  </si>
  <si>
    <t>HAMAD SAEED ALI MOHD BUNOWAS ALKETBI</t>
  </si>
  <si>
    <t>3034-0</t>
  </si>
  <si>
    <t>JPC3VL044</t>
  </si>
  <si>
    <t>3035-0</t>
  </si>
  <si>
    <t>JPC4V001</t>
  </si>
  <si>
    <t>DENNIS OLIVER MC GETTIGAN</t>
  </si>
  <si>
    <t>971|0501473692</t>
  </si>
  <si>
    <t>dennismcgettigan@gmail.com</t>
  </si>
  <si>
    <t>971|50-1473692</t>
  </si>
  <si>
    <t>3036-0</t>
  </si>
  <si>
    <t>JPC4V002</t>
  </si>
  <si>
    <t>SAJID JAVED</t>
  </si>
  <si>
    <t>971|55-2026602</t>
  </si>
  <si>
    <t>971|0503555481</t>
  </si>
  <si>
    <t>3037-0</t>
  </si>
  <si>
    <t>JPC4V003</t>
  </si>
  <si>
    <t>HARSHRAJ VINOD MEHTA</t>
  </si>
  <si>
    <t>971|50-2424589</t>
  </si>
  <si>
    <t>971|0502424589</t>
  </si>
  <si>
    <t>MITIKA LAXMIKUMAR GOCULDAS</t>
  </si>
  <si>
    <t>971|50-4505326</t>
  </si>
  <si>
    <t>971|050505326</t>
  </si>
  <si>
    <t>3038-0</t>
  </si>
  <si>
    <t>JPC4V004</t>
  </si>
  <si>
    <t>3039-0</t>
  </si>
  <si>
    <t>JPC4V005</t>
  </si>
  <si>
    <t>NADA ALYAZDI</t>
  </si>
  <si>
    <t>971|50-6615335</t>
  </si>
  <si>
    <t>971|506615335</t>
  </si>
  <si>
    <t>3040-0</t>
  </si>
  <si>
    <t>JPC4V006</t>
  </si>
  <si>
    <t>SANA KHAFFAF</t>
  </si>
  <si>
    <t>khaffaf.sana.dubai@gmail.com</t>
  </si>
  <si>
    <t>971|50-7667624</t>
  </si>
  <si>
    <t>971|507667624</t>
  </si>
  <si>
    <t>3041-0</t>
  </si>
  <si>
    <t>JPC4V007</t>
  </si>
  <si>
    <t>ALI KORHAN DURMUS</t>
  </si>
  <si>
    <t>3042-0</t>
  </si>
  <si>
    <t>JPC4V008</t>
  </si>
  <si>
    <t>CAMILLE FOURNEL</t>
  </si>
  <si>
    <t>fournel@mailme.ae</t>
  </si>
  <si>
    <t>971|50-6252129</t>
  </si>
  <si>
    <t>971|506252129</t>
  </si>
  <si>
    <t>DANNY BRUCE FOURNEL</t>
  </si>
  <si>
    <t>3043-0</t>
  </si>
  <si>
    <t>JPC4V009</t>
  </si>
  <si>
    <t>SARABJIT SINGH KATARI</t>
  </si>
  <si>
    <t>971|505500376</t>
  </si>
  <si>
    <t>971|50-5500376</t>
  </si>
  <si>
    <t>3044-0</t>
  </si>
  <si>
    <t>JPC4V010</t>
  </si>
  <si>
    <t>UMAR DRAZ</t>
  </si>
  <si>
    <t>3045-0</t>
  </si>
  <si>
    <t>JPC4V011</t>
  </si>
  <si>
    <t>GOVIND BHARWANI</t>
  </si>
  <si>
    <t>3046-0</t>
  </si>
  <si>
    <t>JPC4V012</t>
  </si>
  <si>
    <t>TARIQ MAHMOOD MUHAMMAD YOUNIS MAHMOOD</t>
  </si>
  <si>
    <t>04/2828966</t>
  </si>
  <si>
    <t>3047-0</t>
  </si>
  <si>
    <t>JPC4V013</t>
  </si>
  <si>
    <t>PAMELA ISMAIL YOUSIF AUDEH</t>
  </si>
  <si>
    <t>971|55-2050488</t>
  </si>
  <si>
    <t>971|552050488</t>
  </si>
  <si>
    <t>3048-0</t>
  </si>
  <si>
    <t>JPC4V014</t>
  </si>
  <si>
    <t>MOHAMED HAMAD ABDALLA ALOWAIS</t>
  </si>
  <si>
    <t>3049-0</t>
  </si>
  <si>
    <t>JPC4V015</t>
  </si>
  <si>
    <t>ZAHID RASHID SOORTY</t>
  </si>
  <si>
    <t>3050-0</t>
  </si>
  <si>
    <t>JPC4V016</t>
  </si>
  <si>
    <t>MOUSA IBRAHIM JAMIL AL AWWAD</t>
  </si>
  <si>
    <t>3051-0</t>
  </si>
  <si>
    <t>JPC4V017</t>
  </si>
  <si>
    <t>3052-0</t>
  </si>
  <si>
    <t>JPC4V018</t>
  </si>
  <si>
    <t>ABDOLHAMID ABDOLRAHMAN RAHMANI KHALILI</t>
  </si>
  <si>
    <t>3053-0</t>
  </si>
  <si>
    <t>JPC4V019</t>
  </si>
  <si>
    <t>BASSAM RIBHI A HAMADEH</t>
  </si>
  <si>
    <t>3054-0</t>
  </si>
  <si>
    <t>JPC4V020</t>
  </si>
  <si>
    <t>3055-0</t>
  </si>
  <si>
    <t>JPC4V021</t>
  </si>
  <si>
    <t>MOHAN DAS GURNANI</t>
  </si>
  <si>
    <t>jaipur@emirates.net.ae</t>
  </si>
  <si>
    <t>971|50-1883501</t>
  </si>
  <si>
    <t>971|1883501</t>
  </si>
  <si>
    <t>3056-0</t>
  </si>
  <si>
    <t>JPC4V022</t>
  </si>
  <si>
    <t>BASHAR ABDULLA AL SHABA</t>
  </si>
  <si>
    <t>3057-0</t>
  </si>
  <si>
    <t>JPC4V023</t>
  </si>
  <si>
    <t>SAIFUDDIN JAHANGIR AKBAR CHOUDHRY MUHAMMAD AKBAR</t>
  </si>
  <si>
    <t>971|0506572000</t>
  </si>
  <si>
    <t>971|50-6572000</t>
  </si>
  <si>
    <t>3058-0</t>
  </si>
  <si>
    <t>JPC4V024</t>
  </si>
  <si>
    <t>FAWAD SHAHAB</t>
  </si>
  <si>
    <t>fawad.shahab@gmail.com</t>
  </si>
  <si>
    <t>971|55-2777768</t>
  </si>
  <si>
    <t>3059-0</t>
  </si>
  <si>
    <t>JPC4V025</t>
  </si>
  <si>
    <t>JUNE MANORANEE MANOHARAN</t>
  </si>
  <si>
    <t>SRINIVASAN MANOHARAN</t>
  </si>
  <si>
    <t>971|50-6579806</t>
  </si>
  <si>
    <t>3060-0</t>
  </si>
  <si>
    <t>JPC4V026</t>
  </si>
  <si>
    <t>PIERRE CHRAIM</t>
  </si>
  <si>
    <t>pierre.chraim@nomura-asset.co.uk</t>
  </si>
  <si>
    <t>971|55-2206562</t>
  </si>
  <si>
    <t>3061-0</t>
  </si>
  <si>
    <t>JPC4V027</t>
  </si>
  <si>
    <t>CYRUS ARMAN</t>
  </si>
  <si>
    <t>3062-0</t>
  </si>
  <si>
    <t>JPC4V028</t>
  </si>
  <si>
    <t>MIRZA RAZA BEIG MOHAMMED</t>
  </si>
  <si>
    <t>zoha.beig@aliarwa.com</t>
  </si>
  <si>
    <t>971|050-0504534</t>
  </si>
  <si>
    <t>971|0504534594</t>
  </si>
  <si>
    <t>3063-0</t>
  </si>
  <si>
    <t>JPC4V029</t>
  </si>
  <si>
    <t>LEANDRO YUASSA</t>
  </si>
  <si>
    <t>lyuassa@gmail.com</t>
  </si>
  <si>
    <t>3064-0</t>
  </si>
  <si>
    <t>JPC4V030</t>
  </si>
  <si>
    <t>JAMES NIMMO</t>
  </si>
  <si>
    <t>3065-0</t>
  </si>
  <si>
    <t>JPC4V031</t>
  </si>
  <si>
    <t>ASHWIN KUMAR DHANAK</t>
  </si>
  <si>
    <t>971-4-2353530</t>
  </si>
  <si>
    <t>971-50-6520538</t>
  </si>
  <si>
    <t>Belize</t>
  </si>
  <si>
    <t>3066-0</t>
  </si>
  <si>
    <t>JPC4V032</t>
  </si>
  <si>
    <t>PREMILA JANSIA D SOUZA</t>
  </si>
  <si>
    <t>3067-0</t>
  </si>
  <si>
    <t>JPC4V033</t>
  </si>
  <si>
    <t>SHARIF KHAN</t>
  </si>
  <si>
    <t>3068-0</t>
  </si>
  <si>
    <t>JPC4V034</t>
  </si>
  <si>
    <t>MARK HUMPHREYS</t>
  </si>
  <si>
    <t>3069-0</t>
  </si>
  <si>
    <t>JPC4V035</t>
  </si>
  <si>
    <t>RAHIM MOHAMMAD BAGHER BANIZAMAN LARI</t>
  </si>
  <si>
    <t>0@GMAIL.COM</t>
  </si>
  <si>
    <t>971|50-6449630</t>
  </si>
  <si>
    <t>3070-0</t>
  </si>
  <si>
    <t>JPC4V036</t>
  </si>
  <si>
    <t>DEEPAK JAGJIVAN</t>
  </si>
  <si>
    <t>971|0554404398</t>
  </si>
  <si>
    <t>971|55-4404398</t>
  </si>
  <si>
    <t>3071-0</t>
  </si>
  <si>
    <t>JPC4V037</t>
  </si>
  <si>
    <t>3072-0</t>
  </si>
  <si>
    <t>JPC4V038</t>
  </si>
  <si>
    <t>PHILIP MUNRO SHERIDAN</t>
  </si>
  <si>
    <t>phil@fineandcountry.ae</t>
  </si>
  <si>
    <t>3073-0</t>
  </si>
  <si>
    <t>JPC4V039</t>
  </si>
  <si>
    <t>3074-0</t>
  </si>
  <si>
    <t>JPC4V040</t>
  </si>
  <si>
    <t>3075-0</t>
  </si>
  <si>
    <t>JPC4V041</t>
  </si>
  <si>
    <t>FADHIL WAFEEQ KAREEM [DXB/V5346]</t>
  </si>
  <si>
    <t>AISHA MAHMOOD AHMED AHMED</t>
  </si>
  <si>
    <t>3076-0</t>
  </si>
  <si>
    <t>JPC4V042</t>
  </si>
  <si>
    <t>MAJID KHALFAN BIN THENAIH</t>
  </si>
  <si>
    <t>370880-455505</t>
  </si>
  <si>
    <t>3077-0</t>
  </si>
  <si>
    <t>JPC4V043</t>
  </si>
  <si>
    <t>3078-0</t>
  </si>
  <si>
    <t>JPC4V044</t>
  </si>
  <si>
    <t>ALI KASHIF SANDILA</t>
  </si>
  <si>
    <t>ali.sandila@gmail.com</t>
  </si>
  <si>
    <t>971|50-5661983</t>
  </si>
  <si>
    <t>971|5661983</t>
  </si>
  <si>
    <t>3079-0</t>
  </si>
  <si>
    <t>JPC4V045</t>
  </si>
  <si>
    <t>3080-0</t>
  </si>
  <si>
    <t>JPC4V046</t>
  </si>
  <si>
    <t>KARISHMA LALWANI</t>
  </si>
  <si>
    <t>971|507495068</t>
  </si>
  <si>
    <t>ASHOK KUMAR LALWANI</t>
  </si>
  <si>
    <t>971|42350505</t>
  </si>
  <si>
    <t>971|50-6564571</t>
  </si>
  <si>
    <t>971|6564571</t>
  </si>
  <si>
    <t>3081-0</t>
  </si>
  <si>
    <t>JPC4V047</t>
  </si>
  <si>
    <t>RUCHI THAPAR</t>
  </si>
  <si>
    <t>VIKAS THAPAR</t>
  </si>
  <si>
    <t>3082-0</t>
  </si>
  <si>
    <t>JPC4V048</t>
  </si>
  <si>
    <t>FIRAS SALAH EDDIN ADI (DXB/V2416</t>
  </si>
  <si>
    <t>3083-0</t>
  </si>
  <si>
    <t>JPC4V049</t>
  </si>
  <si>
    <t>RAMZI MODAD MODAD</t>
  </si>
  <si>
    <t>RANDA ADNAN EL JABCHE</t>
  </si>
  <si>
    <t>3084-0</t>
  </si>
  <si>
    <t>JPC4V050</t>
  </si>
  <si>
    <t>ZAHRA(NASRINALSADAT ) AGHAAHMAD MODARRESI</t>
  </si>
  <si>
    <t>3085-0</t>
  </si>
  <si>
    <t>JPC4V051</t>
  </si>
  <si>
    <t>3086-0</t>
  </si>
  <si>
    <t>JPC4V052</t>
  </si>
  <si>
    <t>MIKE SALEH</t>
  </si>
  <si>
    <t>rezasaleh32@gmail.com</t>
  </si>
  <si>
    <t>3087-0</t>
  </si>
  <si>
    <t>JPC4V053</t>
  </si>
  <si>
    <t>ANUPA RAMESH THAWANI</t>
  </si>
  <si>
    <t>971|50-6247645</t>
  </si>
  <si>
    <t>NARESH GOBIND BHAMBHANEY</t>
  </si>
  <si>
    <t>3088-0</t>
  </si>
  <si>
    <t>JPC4V054</t>
  </si>
  <si>
    <t>KHAMAS HARITH KHAMAS AL SULAIMANI</t>
  </si>
  <si>
    <t>3089-0</t>
  </si>
  <si>
    <t>JPC4V055</t>
  </si>
  <si>
    <t>KAVITA KAMAL VASANDANI</t>
  </si>
  <si>
    <t>3090-0</t>
  </si>
  <si>
    <t>JPC4V056</t>
  </si>
  <si>
    <t>FARID BABER MALICK</t>
  </si>
  <si>
    <t>typist1@flyingcolour.com</t>
  </si>
  <si>
    <t>YASMIN MALICK</t>
  </si>
  <si>
    <t>971|0505252179</t>
  </si>
  <si>
    <t>3091-0</t>
  </si>
  <si>
    <t>JPC4V057</t>
  </si>
  <si>
    <t>MUNA BASHAR SALAH NAHAWI</t>
  </si>
  <si>
    <t>BASIL ASAD MOHD ABDUL RAHMAN</t>
  </si>
  <si>
    <t>3092-0</t>
  </si>
  <si>
    <t>JPC4V058</t>
  </si>
  <si>
    <t>SEYED YOUSEF SEYED ABDOLRAHIM HASHEMI ZADEH</t>
  </si>
  <si>
    <t>yousef@silverst.ae</t>
  </si>
  <si>
    <t>971|50-6585097</t>
  </si>
  <si>
    <t>971|6585097</t>
  </si>
  <si>
    <t>3093-0</t>
  </si>
  <si>
    <t>JPC4V059</t>
  </si>
  <si>
    <t>JAIDEEP SURENDRA</t>
  </si>
  <si>
    <t>3094-0</t>
  </si>
  <si>
    <t>JPC4V060</t>
  </si>
  <si>
    <t>AMRO HASHEM HUSNI KHERFAN</t>
  </si>
  <si>
    <t>3095-0</t>
  </si>
  <si>
    <t>JPC4V061</t>
  </si>
  <si>
    <t>KARAN PREM BHOJWANI</t>
  </si>
  <si>
    <t>info@property-zone.ae</t>
  </si>
  <si>
    <t>3096-0</t>
  </si>
  <si>
    <t>JPC4V062</t>
  </si>
  <si>
    <t>SUSANA FLORES SUBEALDEA</t>
  </si>
  <si>
    <t>3097-0</t>
  </si>
  <si>
    <t>JPC5V001</t>
  </si>
  <si>
    <t>MUHAMMAD OMER SAID HAKIM</t>
  </si>
  <si>
    <t>3098-0</t>
  </si>
  <si>
    <t>JPC5V002</t>
  </si>
  <si>
    <t>MIRWAIS HAKIMZAY</t>
  </si>
  <si>
    <t>971|50-8023958</t>
  </si>
  <si>
    <t>3099-0</t>
  </si>
  <si>
    <t>JPC5V003</t>
  </si>
  <si>
    <t>NOOR AZEEM HAKIMZAY</t>
  </si>
  <si>
    <t>3100-0</t>
  </si>
  <si>
    <t>JPC5V004</t>
  </si>
  <si>
    <t>3101-0</t>
  </si>
  <si>
    <t>JPC5V005</t>
  </si>
  <si>
    <t>3102-0</t>
  </si>
  <si>
    <t>JPC5V006</t>
  </si>
  <si>
    <t>DEEPEN KUMAR MAHENDRA PATEL</t>
  </si>
  <si>
    <t>info@emiratestransformer.ae</t>
  </si>
  <si>
    <t>971|50-4967396</t>
  </si>
  <si>
    <t>971|4967396</t>
  </si>
  <si>
    <t>3103-0</t>
  </si>
  <si>
    <t>JPC5V007</t>
  </si>
  <si>
    <t>3104-0</t>
  </si>
  <si>
    <t>JPC5V008</t>
  </si>
  <si>
    <t>3105-0</t>
  </si>
  <si>
    <t>JPC5V009</t>
  </si>
  <si>
    <t>3106-0</t>
  </si>
  <si>
    <t>JPC5V010</t>
  </si>
  <si>
    <t>SUMAIYA KARA</t>
  </si>
  <si>
    <t>3108-0</t>
  </si>
  <si>
    <t>JPN3VL002</t>
  </si>
  <si>
    <t>SIMON ROBERT CAHILL</t>
  </si>
  <si>
    <t>LESLEY ANN JONES</t>
  </si>
  <si>
    <t>3109-0</t>
  </si>
  <si>
    <t>JPN3VL003</t>
  </si>
  <si>
    <t>HEKMAT EL ZEIN</t>
  </si>
  <si>
    <t>3110-0</t>
  </si>
  <si>
    <t>JPN3VL004</t>
  </si>
  <si>
    <t>ASHRAF RAMZY ELMOTEI</t>
  </si>
  <si>
    <t>971|55-1049797</t>
  </si>
  <si>
    <t>971|1049797</t>
  </si>
  <si>
    <t>3111-0</t>
  </si>
  <si>
    <t>JPN3VL005</t>
  </si>
  <si>
    <t>RAMASWAMY SRINIVASAN</t>
  </si>
  <si>
    <t>971|50-4552956</t>
  </si>
  <si>
    <t>3112-0</t>
  </si>
  <si>
    <t>JPN3VL006</t>
  </si>
  <si>
    <t>SIMIN MOHAMMAD AHARI</t>
  </si>
  <si>
    <t>3113-0</t>
  </si>
  <si>
    <t>JPN3VL007</t>
  </si>
  <si>
    <t>SEYEDEH MARZIYA SEYED HEDAYATOLLAH HASHEMIZADEH</t>
  </si>
  <si>
    <t>hedayat@htc.ac</t>
  </si>
  <si>
    <t>3114-0</t>
  </si>
  <si>
    <t>JPN3VL008</t>
  </si>
  <si>
    <t>3115-0</t>
  </si>
  <si>
    <t>JPN3VL009</t>
  </si>
  <si>
    <t>ALEXANDRE NIKITENKO</t>
  </si>
  <si>
    <t>3116-0</t>
  </si>
  <si>
    <t>JPN3VL010</t>
  </si>
  <si>
    <t>BEULAH BUNTY CRASTO</t>
  </si>
  <si>
    <t>971|51-00000</t>
  </si>
  <si>
    <t>3117-0</t>
  </si>
  <si>
    <t>JPN3VL011</t>
  </si>
  <si>
    <t>MARCO NEHMA KENGER</t>
  </si>
  <si>
    <t>971|56-935557</t>
  </si>
  <si>
    <t>971|0566935557</t>
  </si>
  <si>
    <t>3118-0</t>
  </si>
  <si>
    <t>JPN3VL012</t>
  </si>
  <si>
    <t>SUMEETA NAVIN SOMAYA</t>
  </si>
  <si>
    <t>SOMAYAN@HOTMAIL.COM</t>
  </si>
  <si>
    <t>971|50-6445365</t>
  </si>
  <si>
    <t>971|506445365</t>
  </si>
  <si>
    <t>3119-0</t>
  </si>
  <si>
    <t>JPN3VL013</t>
  </si>
  <si>
    <t>SALAH SULTAN ABDULLA ALSHAMSI</t>
  </si>
  <si>
    <t>LOLOAA08@GMAIL.COM</t>
  </si>
  <si>
    <t>971|501383838</t>
  </si>
  <si>
    <t>3120-0</t>
  </si>
  <si>
    <t>JPN3VL014</t>
  </si>
  <si>
    <t>CHANDRU HIRANAND BHOJWANI</t>
  </si>
  <si>
    <t>04-3525919</t>
  </si>
  <si>
    <t>050-6520357</t>
  </si>
  <si>
    <t>3121-0</t>
  </si>
  <si>
    <t>JPN3VL015</t>
  </si>
  <si>
    <t>PRAKASH GIRDHARILAL KHEMANI</t>
  </si>
  <si>
    <t>3122-0</t>
  </si>
  <si>
    <t>JPN3VL016</t>
  </si>
  <si>
    <t>TAREQ ZIAD NEBIH</t>
  </si>
  <si>
    <t>HANINE SAQER</t>
  </si>
  <si>
    <t>3123-0</t>
  </si>
  <si>
    <t>JPN3VL017</t>
  </si>
  <si>
    <t>LU YU LIEN</t>
  </si>
  <si>
    <t>3124-0</t>
  </si>
  <si>
    <t>JPN3VL018</t>
  </si>
  <si>
    <t>KRISTINE VARMA</t>
  </si>
  <si>
    <t>3125-0</t>
  </si>
  <si>
    <t>JPN3VL019</t>
  </si>
  <si>
    <t>3126-0</t>
  </si>
  <si>
    <t>JPN3VL020</t>
  </si>
  <si>
    <t>SHAHID ANWAR ANWAR SAEED</t>
  </si>
  <si>
    <t>971|50-6960629</t>
  </si>
  <si>
    <t>971|050642799</t>
  </si>
  <si>
    <t>3127-0</t>
  </si>
  <si>
    <t>JPN3VL021</t>
  </si>
  <si>
    <t>NADA BARADI</t>
  </si>
  <si>
    <t>3128-0</t>
  </si>
  <si>
    <t>JPN3VL022</t>
  </si>
  <si>
    <t>DODAROY ABDUNAZAROVA</t>
  </si>
  <si>
    <t>3129-0</t>
  </si>
  <si>
    <t>JPN3VL023</t>
  </si>
  <si>
    <t>VINOD RAJU BALANI</t>
  </si>
  <si>
    <t>VINOD_479@HOTMAIL.COM</t>
  </si>
  <si>
    <t>971|50-2112007</t>
  </si>
  <si>
    <t>971|502112007</t>
  </si>
  <si>
    <t>3130-0</t>
  </si>
  <si>
    <t>JPN3VL024</t>
  </si>
  <si>
    <t>KEN JASON JEPHCOTT</t>
  </si>
  <si>
    <t>3131-0</t>
  </si>
  <si>
    <t>JPN3VL025</t>
  </si>
  <si>
    <t>NEETA MERCHANT</t>
  </si>
  <si>
    <t>neetamerchant@gmail.com</t>
  </si>
  <si>
    <t>971|50-5512775</t>
  </si>
  <si>
    <t>3132-0</t>
  </si>
  <si>
    <t>JPN3VL026</t>
  </si>
  <si>
    <t>ABDELRAHMAN ERFAN ABDELLATIF ABURAMADAN</t>
  </si>
  <si>
    <t>erfan_1944@hotmail.com</t>
  </si>
  <si>
    <t>971|50-4436268</t>
  </si>
  <si>
    <t>3133-0</t>
  </si>
  <si>
    <t>JPY4VL002</t>
  </si>
  <si>
    <t>JPS3VS002</t>
  </si>
  <si>
    <t>3134-0</t>
  </si>
  <si>
    <t>JPS3VS003</t>
  </si>
  <si>
    <t>JPY4VL003</t>
  </si>
  <si>
    <t>3135-0</t>
  </si>
  <si>
    <t>JPS3VS004</t>
  </si>
  <si>
    <t>JPY4VL004</t>
  </si>
  <si>
    <t>3136-0</t>
  </si>
  <si>
    <t>JPS3VS005</t>
  </si>
  <si>
    <t>JPY4VL005</t>
  </si>
  <si>
    <t>3137-0</t>
  </si>
  <si>
    <t>JPY4VL006</t>
  </si>
  <si>
    <t>JPS3VS006</t>
  </si>
  <si>
    <t>3141-0</t>
  </si>
  <si>
    <t>JPS3VS010</t>
  </si>
  <si>
    <t>3142-0</t>
  </si>
  <si>
    <t>JPS3VS011</t>
  </si>
  <si>
    <t>SHAIKH AHMAD BIN MOHAMMAD BIN RASHID AL MAKTOUM</t>
  </si>
  <si>
    <t>3143-0</t>
  </si>
  <si>
    <t>JPS3VS012</t>
  </si>
  <si>
    <t>3144-0</t>
  </si>
  <si>
    <t>JPS3VS013</t>
  </si>
  <si>
    <t>3145-0</t>
  </si>
  <si>
    <t>JPS3VS014</t>
  </si>
  <si>
    <t>3146-0</t>
  </si>
  <si>
    <t>JPS3VS015</t>
  </si>
  <si>
    <t>3147-0</t>
  </si>
  <si>
    <t>JPS3VS016</t>
  </si>
  <si>
    <t>3148-0</t>
  </si>
  <si>
    <t>JPS3VS017</t>
  </si>
  <si>
    <t>3149-0</t>
  </si>
  <si>
    <t>JPS3VS018</t>
  </si>
  <si>
    <t>3150-0</t>
  </si>
  <si>
    <t>JPS3VS019</t>
  </si>
  <si>
    <t>3151-0</t>
  </si>
  <si>
    <t>JPS3VS020</t>
  </si>
  <si>
    <t>3152-0</t>
  </si>
  <si>
    <t>JPS3VS021</t>
  </si>
  <si>
    <t>3164-0</t>
  </si>
  <si>
    <t>JPS3VS033</t>
  </si>
  <si>
    <t>SONYA RUGHANI</t>
  </si>
  <si>
    <t>971|050-5530414</t>
  </si>
  <si>
    <t>971|5530414</t>
  </si>
  <si>
    <t>JPY4VL033</t>
  </si>
  <si>
    <t>3165-0</t>
  </si>
  <si>
    <t>JPY4VL034</t>
  </si>
  <si>
    <t>JPS3VS034</t>
  </si>
  <si>
    <t>RAM KUMAR BHATI</t>
  </si>
  <si>
    <t>2970793-04</t>
  </si>
  <si>
    <t>3166-0</t>
  </si>
  <si>
    <t>JPS3VS035</t>
  </si>
  <si>
    <t>JPY4VL035</t>
  </si>
  <si>
    <t>3167-0</t>
  </si>
  <si>
    <t>JPS3VS036</t>
  </si>
  <si>
    <t>JPY4VL036</t>
  </si>
  <si>
    <t>3168-0</t>
  </si>
  <si>
    <t>JPS3VS037</t>
  </si>
  <si>
    <t>JPY4VL037</t>
  </si>
  <si>
    <t>RASIKLAL DHARAMSHI DAVDA</t>
  </si>
  <si>
    <t>3169-0</t>
  </si>
  <si>
    <t>JPS3VS038</t>
  </si>
  <si>
    <t>JPY4VL038</t>
  </si>
  <si>
    <t>SHAIKH MOHAMMAD USMAN</t>
  </si>
  <si>
    <t>971|43990098</t>
  </si>
  <si>
    <t>shaikh123@mailme.ae</t>
  </si>
  <si>
    <t>3170-0</t>
  </si>
  <si>
    <t>JPY4VL039</t>
  </si>
  <si>
    <t>JPS3VS039</t>
  </si>
  <si>
    <t>3171-0</t>
  </si>
  <si>
    <t>JPY4VL040</t>
  </si>
  <si>
    <t>JPS3VS040</t>
  </si>
  <si>
    <t>MOHAMMAD MAHIR JAWED ALI</t>
  </si>
  <si>
    <t>3172-0</t>
  </si>
  <si>
    <t>JPY4VL041</t>
  </si>
  <si>
    <t>JPS3VS041</t>
  </si>
  <si>
    <t>REZA HASSAN NOWBAN</t>
  </si>
  <si>
    <t>3173-0</t>
  </si>
  <si>
    <t>JPY4VL042</t>
  </si>
  <si>
    <t>JPS3VS042</t>
  </si>
  <si>
    <t>3174-0</t>
  </si>
  <si>
    <t>JPS3VS043</t>
  </si>
  <si>
    <t>JAMAL AHMAD MOHD SAEED BAGHLAF</t>
  </si>
  <si>
    <t>JPY4VL043</t>
  </si>
  <si>
    <t>RAAFAT AZIZ MESHAL ALDALAME</t>
  </si>
  <si>
    <t>971|566251737</t>
  </si>
  <si>
    <t>DORMAUK@HOTMAIL.COM</t>
  </si>
  <si>
    <t>971|56-6251737</t>
  </si>
  <si>
    <t>3175-0</t>
  </si>
  <si>
    <t>JPS3VS044</t>
  </si>
  <si>
    <t>3176-0</t>
  </si>
  <si>
    <t>JPS3VS045</t>
  </si>
  <si>
    <t>3177-0</t>
  </si>
  <si>
    <t>JPS3VS046</t>
  </si>
  <si>
    <t>3178-0</t>
  </si>
  <si>
    <t>JPS3VS047</t>
  </si>
  <si>
    <t>3179-0</t>
  </si>
  <si>
    <t>JPS3VS048</t>
  </si>
  <si>
    <t>3180-0</t>
  </si>
  <si>
    <t>JPS3VS049</t>
  </si>
  <si>
    <t>3181-0</t>
  </si>
  <si>
    <t>JPS3VS050</t>
  </si>
  <si>
    <t>3182-0</t>
  </si>
  <si>
    <t>JPS3VS051</t>
  </si>
  <si>
    <t>3183-0</t>
  </si>
  <si>
    <t>JPS3VS052</t>
  </si>
  <si>
    <t>3184-0</t>
  </si>
  <si>
    <t>JPS3VS053</t>
  </si>
  <si>
    <t>3185-0</t>
  </si>
  <si>
    <t>JPS3VS054</t>
  </si>
  <si>
    <t>3186-0</t>
  </si>
  <si>
    <t>JPS3VS055</t>
  </si>
  <si>
    <t>3187-0</t>
  </si>
  <si>
    <t>JPS3VS056</t>
  </si>
  <si>
    <t>SHEIK MAJID BIN MOHD BIN RASHID ALMAKTOUM</t>
  </si>
  <si>
    <t>971|50-9999955</t>
  </si>
  <si>
    <t>971|509999955</t>
  </si>
  <si>
    <t>3194-0</t>
  </si>
  <si>
    <t>JPS3VS063</t>
  </si>
  <si>
    <t>JPY4VL063</t>
  </si>
  <si>
    <t>DURRA SUBHI AHMAD HUSSAIN ATATREH</t>
  </si>
  <si>
    <t>3195-0</t>
  </si>
  <si>
    <t>JPQ3VL022</t>
  </si>
  <si>
    <t>JINXING HUANG</t>
  </si>
  <si>
    <t>3196-0</t>
  </si>
  <si>
    <t>JPQ3VL023</t>
  </si>
  <si>
    <t>AMNA SHIRAZ SHIRAZ FAROOKI</t>
  </si>
  <si>
    <t>971|50-3958850</t>
  </si>
  <si>
    <t>971|0502958850</t>
  </si>
  <si>
    <t>SHIRAZ FAROOKI HAROON FAROOKI</t>
  </si>
  <si>
    <t>shiraz@cre.ae</t>
  </si>
  <si>
    <t>971|0503958850</t>
  </si>
  <si>
    <t>3197-0</t>
  </si>
  <si>
    <t>JPQ3VL024</t>
  </si>
  <si>
    <t>BERNARDO ALBERTO BUR</t>
  </si>
  <si>
    <t>3198-0</t>
  </si>
  <si>
    <t>JPQ3VL025</t>
  </si>
  <si>
    <t>SEEMA SADIQ ALI KADRI</t>
  </si>
  <si>
    <t>KADARI SADIQ ALI MUNIR ALI</t>
  </si>
  <si>
    <t>3199-0</t>
  </si>
  <si>
    <t>JPQ3VL021</t>
  </si>
  <si>
    <t>HASSAN HAMAD RAHMAH ALSHAMSI</t>
  </si>
  <si>
    <t>hassan@alshamsibrokers.com</t>
  </si>
  <si>
    <t>971|50-6444407</t>
  </si>
  <si>
    <t>3200-0</t>
  </si>
  <si>
    <t>JPQ3VL026</t>
  </si>
  <si>
    <t>Sterling Heights Holding Limited</t>
  </si>
  <si>
    <t>3201-0</t>
  </si>
  <si>
    <t>JPQ3VL027</t>
  </si>
  <si>
    <t>MUHAMMAD MOSHIN MUKHTAR</t>
  </si>
  <si>
    <t>3202-0</t>
  </si>
  <si>
    <t>JPQ3VL028</t>
  </si>
  <si>
    <t>MOHD ZAFAR AHMAD</t>
  </si>
  <si>
    <t>3203-0</t>
  </si>
  <si>
    <t>JPQ3VL029</t>
  </si>
  <si>
    <t>AHMED ABDEL MONEM ABDELMEGID ABOU TALEB</t>
  </si>
  <si>
    <t>3204-0</t>
  </si>
  <si>
    <t>JPQ3VL030</t>
  </si>
  <si>
    <t>JUN MA</t>
  </si>
  <si>
    <t>971|50-0555590</t>
  </si>
  <si>
    <t>3205-0</t>
  </si>
  <si>
    <t>JPQ3VL031</t>
  </si>
  <si>
    <t>SEYED MAHMOUD SEYED NASROLLAH MIRMOHAMMADI</t>
  </si>
  <si>
    <t>MIQBALDUBAI@HOTMAIL.COM</t>
  </si>
  <si>
    <t>971|50-4766854</t>
  </si>
  <si>
    <t>3206-0</t>
  </si>
  <si>
    <t>JPQ3VL032</t>
  </si>
  <si>
    <t>ROHIT ANAND</t>
  </si>
  <si>
    <t>3207-0</t>
  </si>
  <si>
    <t>JPQ3VL033</t>
  </si>
  <si>
    <t>KRISHNA MADHUKAR BABU</t>
  </si>
  <si>
    <t>971|56-1777536</t>
  </si>
  <si>
    <t>3208-0</t>
  </si>
  <si>
    <t>JPQ3VL034</t>
  </si>
  <si>
    <t>RASHEED RASHED S OWAIN</t>
  </si>
  <si>
    <t>3209-0</t>
  </si>
  <si>
    <t>JPQ3VL035</t>
  </si>
  <si>
    <t>JAFAR TAGHI MAHALATI</t>
  </si>
  <si>
    <t>3210-0</t>
  </si>
  <si>
    <t>JPQ3VL036</t>
  </si>
  <si>
    <t>MOHAMED ABDULAZIZ RUBAYEA ALMEHAIRI</t>
  </si>
  <si>
    <t>3211-0</t>
  </si>
  <si>
    <t>JPQ3VL037</t>
  </si>
  <si>
    <t>MOHAMMED JAD ZEROUALI OUARITI</t>
  </si>
  <si>
    <t>3212-0</t>
  </si>
  <si>
    <t>JPQ3VL038</t>
  </si>
  <si>
    <t>PRIYANKA RAMCHANDANI</t>
  </si>
  <si>
    <t>3213-0</t>
  </si>
  <si>
    <t>JPQ3VL039</t>
  </si>
  <si>
    <t>VENKATESAN VENKATARAMAN PRASANNA</t>
  </si>
  <si>
    <t>971|50-6476833</t>
  </si>
  <si>
    <t>POORNA RAO PRASANNA VENKATESAN</t>
  </si>
  <si>
    <t>971|50-4574364</t>
  </si>
  <si>
    <t>3214-0</t>
  </si>
  <si>
    <t>JPQ3VL040</t>
  </si>
  <si>
    <t>MOHAMMAD REZA JAFAR NIKFAR</t>
  </si>
  <si>
    <t>971|50-6578745</t>
  </si>
  <si>
    <t>3215-0</t>
  </si>
  <si>
    <t>JPQ3VL041</t>
  </si>
  <si>
    <t>KEVIN ANTHONY BARRY</t>
  </si>
  <si>
    <t>3216-0</t>
  </si>
  <si>
    <t>JPQ3VL042</t>
  </si>
  <si>
    <t>MOHAMMADREZA NASER ESLAMBOLCHI</t>
  </si>
  <si>
    <t>3217-0</t>
  </si>
  <si>
    <t>JPQ3VL043</t>
  </si>
  <si>
    <t>ADI HASAN IBRAHIM HASAN ALFARDAN</t>
  </si>
  <si>
    <t>3218-0</t>
  </si>
  <si>
    <t>JPQ3VL044</t>
  </si>
  <si>
    <t>BALAJI KRISHNAMURTHY</t>
  </si>
  <si>
    <t>FRENY BALAJI</t>
  </si>
  <si>
    <t>3219-0</t>
  </si>
  <si>
    <t>JPQ3VL045</t>
  </si>
  <si>
    <t>DEREK WILLIAM DEMPSTER</t>
  </si>
  <si>
    <t>PAULINE DEMPSTER</t>
  </si>
  <si>
    <t>3220-0</t>
  </si>
  <si>
    <t>JPQ3VL046</t>
  </si>
  <si>
    <t>SARAH ZAIDI</t>
  </si>
  <si>
    <t>3221-0</t>
  </si>
  <si>
    <t>JPQ3VL047</t>
  </si>
  <si>
    <t>RAJESH GUL JHURANI</t>
  </si>
  <si>
    <t>GEETANJALI RAJESH JHURANI</t>
  </si>
  <si>
    <t>3222-0</t>
  </si>
  <si>
    <t>JPQ3VL048</t>
  </si>
  <si>
    <t>3223-0</t>
  </si>
  <si>
    <t>JPQ3VL049</t>
  </si>
  <si>
    <t>3224-0</t>
  </si>
  <si>
    <t>JPQ3VL050</t>
  </si>
  <si>
    <t>ABDULJALIL MAHDI MOHAMED ALASMAWI</t>
  </si>
  <si>
    <t>971|4331568</t>
  </si>
  <si>
    <t>info@jaliligt.ae</t>
  </si>
  <si>
    <t>971|52-9722222</t>
  </si>
  <si>
    <t>971|9722222</t>
  </si>
  <si>
    <t>3225-0</t>
  </si>
  <si>
    <t>JPQ4V001</t>
  </si>
  <si>
    <t>SHEHNAZ MUHAMMAD HANIF JAKVANI</t>
  </si>
  <si>
    <t>JPQ3VS001</t>
  </si>
  <si>
    <t>3226-0</t>
  </si>
  <si>
    <t>JPQ3VS002</t>
  </si>
  <si>
    <t>JPQ4V002</t>
  </si>
  <si>
    <t>3227-0</t>
  </si>
  <si>
    <t>JPQ3VS003</t>
  </si>
  <si>
    <t>MONIKA GUPTA</t>
  </si>
  <si>
    <t>tawn@gmail.com</t>
  </si>
  <si>
    <t>971|55-6648486</t>
  </si>
  <si>
    <t>JPQ4V003</t>
  </si>
  <si>
    <t>3228-0</t>
  </si>
  <si>
    <t>JPQ4V005</t>
  </si>
  <si>
    <t>BENYOUCEF KHELIF [DXB/V2969]</t>
  </si>
  <si>
    <t>JPQ3VS005</t>
  </si>
  <si>
    <t>3229-0</t>
  </si>
  <si>
    <t>JPQ3VS004</t>
  </si>
  <si>
    <t>MOJTABA EVAZ CHOUPANI</t>
  </si>
  <si>
    <t>JPQ4V004</t>
  </si>
  <si>
    <t>3230-0</t>
  </si>
  <si>
    <t>JPQ4V006</t>
  </si>
  <si>
    <t>MAHER MOHD MOHD ABU ISSA</t>
  </si>
  <si>
    <t>JPQ3VS006</t>
  </si>
  <si>
    <t>3231-0</t>
  </si>
  <si>
    <t>JPQ3VS007</t>
  </si>
  <si>
    <t>ZYDUS WORLDWIDE DMCC</t>
  </si>
  <si>
    <t>JPQ4V007</t>
  </si>
  <si>
    <t>3232-0</t>
  </si>
  <si>
    <t>JPQ4V008</t>
  </si>
  <si>
    <t>JPQ3VS008</t>
  </si>
  <si>
    <t>JAMEELA HAMED S ALHATROUSHI ALJNEIBI</t>
  </si>
  <si>
    <t>3233-0</t>
  </si>
  <si>
    <t>JPQ4V009</t>
  </si>
  <si>
    <t>MOHAMED SOFIANE ZOUZOU</t>
  </si>
  <si>
    <t>JPQ3VS009</t>
  </si>
  <si>
    <t>RADIA ZOUZOU</t>
  </si>
  <si>
    <t>3234-0</t>
  </si>
  <si>
    <t>JPQ3VS010</t>
  </si>
  <si>
    <t>HATEM MOHAMED RASHAD SHOKRY</t>
  </si>
  <si>
    <t>JPQ4V010</t>
  </si>
  <si>
    <t>3235-0</t>
  </si>
  <si>
    <t>JPQ4V011</t>
  </si>
  <si>
    <t>MOHAMMED MOSTAFA OSMAN MOSTAFA SABRY</t>
  </si>
  <si>
    <t>JPQ3VS011</t>
  </si>
  <si>
    <t>3236-0</t>
  </si>
  <si>
    <t>JPQ3VS012</t>
  </si>
  <si>
    <t>HARSA POPATLAL HANJ</t>
  </si>
  <si>
    <t>971|50-5470750</t>
  </si>
  <si>
    <t>971|505470750</t>
  </si>
  <si>
    <t>JPQ4V012</t>
  </si>
  <si>
    <t>PRAFUL CHANDRA GORDHANDAS KATIRA</t>
  </si>
  <si>
    <t>3237-0</t>
  </si>
  <si>
    <t>JPQ3VS013</t>
  </si>
  <si>
    <t>HELEN CHRISTINE MCGUIRE</t>
  </si>
  <si>
    <t>JPQ4V013</t>
  </si>
  <si>
    <t>3238-0</t>
  </si>
  <si>
    <t>JPQ3VS014</t>
  </si>
  <si>
    <t>ERGHAM AL BACHIR</t>
  </si>
  <si>
    <t>JPQ4V014</t>
  </si>
  <si>
    <t>3239-0</t>
  </si>
  <si>
    <t>JPQ3VS015</t>
  </si>
  <si>
    <t>RANJEET SINGH SINGHVI JAGTAMB RAJ SINGHVI</t>
  </si>
  <si>
    <t>971|50-6136069</t>
  </si>
  <si>
    <t>JPQ4V015</t>
  </si>
  <si>
    <t>3240-0</t>
  </si>
  <si>
    <t>JPQ3VS016</t>
  </si>
  <si>
    <t>VANDANA JAITLY</t>
  </si>
  <si>
    <t>JPQ4V016</t>
  </si>
  <si>
    <t>3241-0</t>
  </si>
  <si>
    <t>JPQ3VS017</t>
  </si>
  <si>
    <t>EXPERIENCE HOLDINGS LIMITED</t>
  </si>
  <si>
    <t>JPQ4V017</t>
  </si>
  <si>
    <t>3242-0</t>
  </si>
  <si>
    <t>JPQ3VS018</t>
  </si>
  <si>
    <t>NASSER SULTAN AHMAD MOHAMMED LOOTAH</t>
  </si>
  <si>
    <t>amro.greenscapes@hotmail.com</t>
  </si>
  <si>
    <t>971|55-1001009</t>
  </si>
  <si>
    <t>JPQ4V018</t>
  </si>
  <si>
    <t>3243-0</t>
  </si>
  <si>
    <t>JPQ4V019</t>
  </si>
  <si>
    <t>JPQ3VS019</t>
  </si>
  <si>
    <t>3244-0</t>
  </si>
  <si>
    <t>JPQ4V020</t>
  </si>
  <si>
    <t>JPQ3VS020</t>
  </si>
  <si>
    <t>3245-0</t>
  </si>
  <si>
    <t>JPQ3VS021</t>
  </si>
  <si>
    <t>SAMER SAMI MOHD BADRAN</t>
  </si>
  <si>
    <t>971|50-9004219</t>
  </si>
  <si>
    <t>JPQ4V021</t>
  </si>
  <si>
    <t>3246-0</t>
  </si>
  <si>
    <t>JPQ4V022</t>
  </si>
  <si>
    <t>YASSER ABDULAZIZ S ALMISFER</t>
  </si>
  <si>
    <t>JPQ3VS022</t>
  </si>
  <si>
    <t>3247-0</t>
  </si>
  <si>
    <t>JPQ3VS023</t>
  </si>
  <si>
    <t>SUZANNE ELIZABETH HOLT</t>
  </si>
  <si>
    <t>JPQ4V023</t>
  </si>
  <si>
    <t>3248-0</t>
  </si>
  <si>
    <t>JPQ4V024</t>
  </si>
  <si>
    <t>SARFRAZ ABDUL HAMID MANSURI</t>
  </si>
  <si>
    <t>sarfras@walnut.ae</t>
  </si>
  <si>
    <t>971|50-1048422</t>
  </si>
  <si>
    <t>JPQ3VS024</t>
  </si>
  <si>
    <t>3249-0</t>
  </si>
  <si>
    <t>JPQ4V025</t>
  </si>
  <si>
    <t>NUHA MOHD MOHD ABU ISSA</t>
  </si>
  <si>
    <t>JPQ3VS025</t>
  </si>
  <si>
    <t>3250-0</t>
  </si>
  <si>
    <t>JPQ3VS026</t>
  </si>
  <si>
    <t>MOHAMED KASSEM HUSSEIN IBRAHIM ALY</t>
  </si>
  <si>
    <t>JPQ4V026</t>
  </si>
  <si>
    <t>3251-0</t>
  </si>
  <si>
    <t>JPQ3VS027</t>
  </si>
  <si>
    <t>JPQ4V027</t>
  </si>
  <si>
    <t>3252-0</t>
  </si>
  <si>
    <t>JPQ3VS028</t>
  </si>
  <si>
    <t>EMAD GERGES ABDELMALAK NAKHLA</t>
  </si>
  <si>
    <t>JPQ4V028</t>
  </si>
  <si>
    <t>3253-0</t>
  </si>
  <si>
    <t>JPQ3VS029</t>
  </si>
  <si>
    <t>AJOY ALEX MATHEW</t>
  </si>
  <si>
    <t>JPQ4V029</t>
  </si>
  <si>
    <t>3254-0</t>
  </si>
  <si>
    <t>JPQ4V030</t>
  </si>
  <si>
    <t>JPQ3VS030</t>
  </si>
  <si>
    <t>SARA ISSA ABU ISSA</t>
  </si>
  <si>
    <t>3255-0</t>
  </si>
  <si>
    <t>JPQ4V031</t>
  </si>
  <si>
    <t>SIDDHARTH SANGHI</t>
  </si>
  <si>
    <t>JPQ3VS031</t>
  </si>
  <si>
    <t>3256-0</t>
  </si>
  <si>
    <t>JPQ3VS032</t>
  </si>
  <si>
    <t>HASHMAT MALIK HABIB MALIK</t>
  </si>
  <si>
    <t>hashmat_malik@yahoo.com</t>
  </si>
  <si>
    <t>971|50-3430954</t>
  </si>
  <si>
    <t>JPQ4V032</t>
  </si>
  <si>
    <t>3257-0</t>
  </si>
  <si>
    <t>JPQ3VS033</t>
  </si>
  <si>
    <t>JAYANT MOHANLAL</t>
  </si>
  <si>
    <t>3371848-04</t>
  </si>
  <si>
    <t>JPQ4V033</t>
  </si>
  <si>
    <t>3258-0</t>
  </si>
  <si>
    <t>JPQ4V034</t>
  </si>
  <si>
    <t>PRAVIN KANAYALAL RAMCHANDANI</t>
  </si>
  <si>
    <t>JPQ3VS034</t>
  </si>
  <si>
    <t>3259-0</t>
  </si>
  <si>
    <t>JPQ4V035</t>
  </si>
  <si>
    <t>GOVIND BHANDARI</t>
  </si>
  <si>
    <t>JPQ3VS035</t>
  </si>
  <si>
    <t>3260-0</t>
  </si>
  <si>
    <t>JPQ4V036</t>
  </si>
  <si>
    <t>BRUCE BISSET</t>
  </si>
  <si>
    <t>JPQ3VS036</t>
  </si>
  <si>
    <t>3261-0</t>
  </si>
  <si>
    <t>JPQ3VS037</t>
  </si>
  <si>
    <t>SHABNUM MALIK</t>
  </si>
  <si>
    <t>JPQ4V037</t>
  </si>
  <si>
    <t>3262-0</t>
  </si>
  <si>
    <t>JPQ4V038</t>
  </si>
  <si>
    <t>YVES GERARD ALAIN DUBOS</t>
  </si>
  <si>
    <t>971|56-6442843</t>
  </si>
  <si>
    <t>971|0566442843</t>
  </si>
  <si>
    <t>JPQ3VS038</t>
  </si>
  <si>
    <t>3263-0</t>
  </si>
  <si>
    <t>JPQ4V039</t>
  </si>
  <si>
    <t>TAREQ ABDEL JABBAR FAKHURI</t>
  </si>
  <si>
    <t>NQUMRI@EMAAR.AE</t>
  </si>
  <si>
    <t>971|50-0506607</t>
  </si>
  <si>
    <t>JPQ3VS039</t>
  </si>
  <si>
    <t>3264-0</t>
  </si>
  <si>
    <t>JPQ3VS040</t>
  </si>
  <si>
    <t>AAMIR TARIQ</t>
  </si>
  <si>
    <t>JPQ4V040</t>
  </si>
  <si>
    <t>3265-0</t>
  </si>
  <si>
    <t>JPQ4V041</t>
  </si>
  <si>
    <t>AZIZ RAHMAN</t>
  </si>
  <si>
    <t>aziz4@yahoo.co.uk</t>
  </si>
  <si>
    <t>JPQ3VS041</t>
  </si>
  <si>
    <t>3266-0</t>
  </si>
  <si>
    <t>JPQ3VS042</t>
  </si>
  <si>
    <t>NORAHMAD DAULATZAI</t>
  </si>
  <si>
    <t>JPQ4V042</t>
  </si>
  <si>
    <t>3267-0</t>
  </si>
  <si>
    <t>JPQ3VS043</t>
  </si>
  <si>
    <t>ABDULRAZAK ABDULRAHIM ARWANI</t>
  </si>
  <si>
    <t>971|50-6415651</t>
  </si>
  <si>
    <t>971|0506111924</t>
  </si>
  <si>
    <t>JPQ4V043</t>
  </si>
  <si>
    <t>3268-0</t>
  </si>
  <si>
    <t>JPQ3VS044</t>
  </si>
  <si>
    <t>BASEM ABDUL RAZZAK ARWANI</t>
  </si>
  <si>
    <t>JPQ4V044</t>
  </si>
  <si>
    <t>3269-0</t>
  </si>
  <si>
    <t>JPQ3VS045</t>
  </si>
  <si>
    <t>NORSUKIZA AINI BINT KADIR</t>
  </si>
  <si>
    <t>s166250@emirates.com</t>
  </si>
  <si>
    <t>JPQ4V045</t>
  </si>
  <si>
    <t>3270-0</t>
  </si>
  <si>
    <t>JPQ3VS046</t>
  </si>
  <si>
    <t>JPQ4V046</t>
  </si>
  <si>
    <t>3271-0</t>
  </si>
  <si>
    <t>JPQ4V047</t>
  </si>
  <si>
    <t>JPQ3VS047</t>
  </si>
  <si>
    <t>3272-0</t>
  </si>
  <si>
    <t>JPQ3VS048</t>
  </si>
  <si>
    <t>NERMIN AMANALLA ELSAYED ABDELKHALEK</t>
  </si>
  <si>
    <t>NERMIN.ABDULKHALIK@GMAIL.COM</t>
  </si>
  <si>
    <t>971|50-2222973</t>
  </si>
  <si>
    <t>971|502222973</t>
  </si>
  <si>
    <t>JPQ4V048</t>
  </si>
  <si>
    <t>nermin.abdulkhalik@gmail.com</t>
  </si>
  <si>
    <t>3273-0</t>
  </si>
  <si>
    <t>JPQ4V049</t>
  </si>
  <si>
    <t>WUSHOU REHEMANJIANG</t>
  </si>
  <si>
    <t>habibpalwan@gmail.com</t>
  </si>
  <si>
    <t>JPQ3VS049</t>
  </si>
  <si>
    <t>3274-0</t>
  </si>
  <si>
    <t>JPQ3VS050</t>
  </si>
  <si>
    <t>JPQ4V050</t>
  </si>
  <si>
    <t>3275-0</t>
  </si>
  <si>
    <t>JPQ4V051</t>
  </si>
  <si>
    <t>JAMES MARTIN GIBBONS</t>
  </si>
  <si>
    <t>james@gibbons.tc</t>
  </si>
  <si>
    <t>JPQ3VS051</t>
  </si>
  <si>
    <t>3276-0</t>
  </si>
  <si>
    <t>JPQ3VS052</t>
  </si>
  <si>
    <t>SHAHABUDDIN BHAYO</t>
  </si>
  <si>
    <t>JPQ4V052</t>
  </si>
  <si>
    <t>3277-0</t>
  </si>
  <si>
    <t>JPQ3VS053</t>
  </si>
  <si>
    <t>Mili Lijo Mandumpala</t>
  </si>
  <si>
    <t>lijomk@gmail.com</t>
  </si>
  <si>
    <t>JPQ4V053</t>
  </si>
  <si>
    <t>Lijo Mathew Kankapadan</t>
  </si>
  <si>
    <t>3278-0</t>
  </si>
  <si>
    <t>JPQ3VS054</t>
  </si>
  <si>
    <t>NARAYANAN KALPATHI VENKATARAMAN [DXB/ V5843]</t>
  </si>
  <si>
    <t>nanaskv@gmail.com</t>
  </si>
  <si>
    <t>JPQ4V054</t>
  </si>
  <si>
    <t>SUCHITRA NARAYANAN</t>
  </si>
  <si>
    <t>971|50-6257624</t>
  </si>
  <si>
    <t>3279-0</t>
  </si>
  <si>
    <t>JPQ4V055</t>
  </si>
  <si>
    <t>MALIK MOHAMMAD SHAHNAZ MAHAL</t>
  </si>
  <si>
    <t>CPSURVEY@GIM.AE</t>
  </si>
  <si>
    <t>JPQ3VS055</t>
  </si>
  <si>
    <t>3280-0</t>
  </si>
  <si>
    <t>JPQ3VS056</t>
  </si>
  <si>
    <t>JUNAID ARSHAD WAHEDNA ARSHAD</t>
  </si>
  <si>
    <t>naima@gulfglobalgroup.com</t>
  </si>
  <si>
    <t>971|50-6504754</t>
  </si>
  <si>
    <t>971|505597645</t>
  </si>
  <si>
    <t>JPQ4V056</t>
  </si>
  <si>
    <t>3281-0</t>
  </si>
  <si>
    <t>JPQ4V057</t>
  </si>
  <si>
    <t>GHASSAN SHAKER MAHMOUD</t>
  </si>
  <si>
    <t>JPQ3VS057</t>
  </si>
  <si>
    <t>3282-0</t>
  </si>
  <si>
    <t>JPQ4V058</t>
  </si>
  <si>
    <t>MOHAMMAD ABDULSAMED F ALQURASHI</t>
  </si>
  <si>
    <t>JPQ3VS058</t>
  </si>
  <si>
    <t>3283-0</t>
  </si>
  <si>
    <t>JPQ4V059</t>
  </si>
  <si>
    <t>MOHAMMAD ABDULRAHMAN ABDULLA A ALFAHIM</t>
  </si>
  <si>
    <t>malfahim@mubadala.ae</t>
  </si>
  <si>
    <t>050-6332445</t>
  </si>
  <si>
    <t>JPQ3VS059</t>
  </si>
  <si>
    <t>3284-0</t>
  </si>
  <si>
    <t>JPQ4V060</t>
  </si>
  <si>
    <t>VIVET COMMERCIAL BROKERS DMCC</t>
  </si>
  <si>
    <t>JPQ3VS060</t>
  </si>
  <si>
    <t>3285-0</t>
  </si>
  <si>
    <t>JPQ3VS061</t>
  </si>
  <si>
    <t>KARIM EL GHOUL</t>
  </si>
  <si>
    <t>JPQ4V061</t>
  </si>
  <si>
    <t>3286-0</t>
  </si>
  <si>
    <t>JPQ3VS062</t>
  </si>
  <si>
    <t>JPQ4V062</t>
  </si>
  <si>
    <t>3287-0</t>
  </si>
  <si>
    <t>JPQ4V063</t>
  </si>
  <si>
    <t>HURYASAR ZIYAETTIN SEZER</t>
  </si>
  <si>
    <t>JPQ3VS063</t>
  </si>
  <si>
    <t>3288-0</t>
  </si>
  <si>
    <t>JPQ3VS064</t>
  </si>
  <si>
    <t>JPQ4V064</t>
  </si>
  <si>
    <t>3289-0</t>
  </si>
  <si>
    <t>JPQ4V065</t>
  </si>
  <si>
    <t>JPQ3VS065</t>
  </si>
  <si>
    <t>3290-0</t>
  </si>
  <si>
    <t>JPQ4V066</t>
  </si>
  <si>
    <t>JPQ3VS066</t>
  </si>
  <si>
    <t>3291-0</t>
  </si>
  <si>
    <t>JPQ3VS067</t>
  </si>
  <si>
    <t>JPQ4V067</t>
  </si>
  <si>
    <t>3292-0</t>
  </si>
  <si>
    <t>JPQ4V068</t>
  </si>
  <si>
    <t>OLUSOLA OLUSEGUN OKULAJA</t>
  </si>
  <si>
    <t>JPQ3VS068</t>
  </si>
  <si>
    <t>OLUBUKOLA FRANCISCA OKULAJA</t>
  </si>
  <si>
    <t>3293-0</t>
  </si>
  <si>
    <t>JPQ4V069</t>
  </si>
  <si>
    <t>ARTI RAJEEV ADVANI</t>
  </si>
  <si>
    <t>JPQ3VS069</t>
  </si>
  <si>
    <t>3294-0</t>
  </si>
  <si>
    <t>JPQ3VS070</t>
  </si>
  <si>
    <t>NOOR OMAYA MUSA ALDASUQI</t>
  </si>
  <si>
    <t>971|50-2658282</t>
  </si>
  <si>
    <t>971|0502658282</t>
  </si>
  <si>
    <t>JPQ4V070</t>
  </si>
  <si>
    <t>3295-0</t>
  </si>
  <si>
    <t>JPQ4V071</t>
  </si>
  <si>
    <t>JPQ3VS071</t>
  </si>
  <si>
    <t>3296-0</t>
  </si>
  <si>
    <t>JPQ3VS072</t>
  </si>
  <si>
    <t>JPQ4V072</t>
  </si>
  <si>
    <t>3297-0</t>
  </si>
  <si>
    <t>JPQ3VS073</t>
  </si>
  <si>
    <t>JPQ4V073</t>
  </si>
  <si>
    <t>3298-0</t>
  </si>
  <si>
    <t>JPQ3VS074</t>
  </si>
  <si>
    <t>JPQ4V074</t>
  </si>
  <si>
    <t>3299-0</t>
  </si>
  <si>
    <t>JPQ3VS075</t>
  </si>
  <si>
    <t>TAHIR MAHMOOD</t>
  </si>
  <si>
    <t>JPQ4V075</t>
  </si>
  <si>
    <t>3327-0</t>
  </si>
  <si>
    <t>JPR3VL028</t>
  </si>
  <si>
    <t>JPR4VL028</t>
  </si>
  <si>
    <t>NASMAH ABDULWAHHAB RAZOOQI</t>
  </si>
  <si>
    <t>971|50-3456528</t>
  </si>
  <si>
    <t>971|503456528</t>
  </si>
  <si>
    <t>3328-0</t>
  </si>
  <si>
    <t>JPR4VL029</t>
  </si>
  <si>
    <t>MOHAMMED ALI J ALMARRI</t>
  </si>
  <si>
    <t>JPR3VL029</t>
  </si>
  <si>
    <t>PATRICIO SANTIAGO ROHNER</t>
  </si>
  <si>
    <t>971|50-3903333</t>
  </si>
  <si>
    <t>3329-0</t>
  </si>
  <si>
    <t>JPR4VL030</t>
  </si>
  <si>
    <t>JPR3VL030</t>
  </si>
  <si>
    <t>MARIA CATALINA CAVANAGH</t>
  </si>
  <si>
    <t>3330-0</t>
  </si>
  <si>
    <t>JPR4VL031</t>
  </si>
  <si>
    <t>JPR3VL031</t>
  </si>
  <si>
    <t>KAMDAR RAJESH ANANTRAI</t>
  </si>
  <si>
    <t>971|50-0435386</t>
  </si>
  <si>
    <t>971|043538639</t>
  </si>
  <si>
    <t>3331-0</t>
  </si>
  <si>
    <t>JPR3VL032</t>
  </si>
  <si>
    <t>JPR4VL032</t>
  </si>
  <si>
    <t>JAWED ATHER</t>
  </si>
  <si>
    <t>971|50-5449599</t>
  </si>
  <si>
    <t>971|505449599</t>
  </si>
  <si>
    <t>3332-0</t>
  </si>
  <si>
    <t>JPR4VL033</t>
  </si>
  <si>
    <t>JPR3VL033</t>
  </si>
  <si>
    <t>3334-0</t>
  </si>
  <si>
    <t>JPR3VL035</t>
  </si>
  <si>
    <t>3335-0</t>
  </si>
  <si>
    <t>JPR3VL036</t>
  </si>
  <si>
    <t>3336-0</t>
  </si>
  <si>
    <t>JPR3VL037</t>
  </si>
  <si>
    <t>3337-0</t>
  </si>
  <si>
    <t>JPR3VL038</t>
  </si>
  <si>
    <t>3338-0</t>
  </si>
  <si>
    <t>JPR3VL039</t>
  </si>
  <si>
    <t>3339-0</t>
  </si>
  <si>
    <t>JPR3VL040</t>
  </si>
  <si>
    <t>3340-0</t>
  </si>
  <si>
    <t>JPR3VL041</t>
  </si>
  <si>
    <t>3341-0</t>
  </si>
  <si>
    <t>JPR3VL042</t>
  </si>
  <si>
    <t>3342-0</t>
  </si>
  <si>
    <t>JPR3VL043</t>
  </si>
  <si>
    <t>3343-0</t>
  </si>
  <si>
    <t>JPR3VL044</t>
  </si>
  <si>
    <t>3344-0</t>
  </si>
  <si>
    <t>JPR3VL045</t>
  </si>
  <si>
    <t>3345-0</t>
  </si>
  <si>
    <t>JPR3VL046</t>
  </si>
  <si>
    <t>3346-0</t>
  </si>
  <si>
    <t>JPR3VL047</t>
  </si>
  <si>
    <t>JPR4VL047</t>
  </si>
  <si>
    <t>3347-0</t>
  </si>
  <si>
    <t>JPR3VL048</t>
  </si>
  <si>
    <t>JPR4VL048</t>
  </si>
  <si>
    <t>3348-0</t>
  </si>
  <si>
    <t>JPR3VL049</t>
  </si>
  <si>
    <t>JPR4VL049</t>
  </si>
  <si>
    <t>3349-0</t>
  </si>
  <si>
    <t>JPR4VL050</t>
  </si>
  <si>
    <t>JPR3VL050</t>
  </si>
  <si>
    <t>3402-0</t>
  </si>
  <si>
    <t>JPU4V051</t>
  </si>
  <si>
    <t>KINJOL SHAH</t>
  </si>
  <si>
    <t>JPH3VL051</t>
  </si>
  <si>
    <t>RIHAB MOHAMED ABDALLA BRIER</t>
  </si>
  <si>
    <t>RIHABMBRIER1@HOTMAIL.COM</t>
  </si>
  <si>
    <t>971|50-4225754</t>
  </si>
  <si>
    <t>3403-0</t>
  </si>
  <si>
    <t>JPU4V052</t>
  </si>
  <si>
    <t>JPH3VL052</t>
  </si>
  <si>
    <t>3404-0</t>
  </si>
  <si>
    <t>JPH3VL053</t>
  </si>
  <si>
    <t>JPU4V053</t>
  </si>
  <si>
    <t>3405-0</t>
  </si>
  <si>
    <t>JPR3VL051</t>
  </si>
  <si>
    <t>JPR4VL051</t>
  </si>
  <si>
    <t>3406-0</t>
  </si>
  <si>
    <t>JPR3VL052</t>
  </si>
  <si>
    <t>SHUAIB ABDULLAH KHAMAS AL SULAIMANI</t>
  </si>
  <si>
    <t>SHAYY312@GMAIL.COM</t>
  </si>
  <si>
    <t>971|50-1593754</t>
  </si>
  <si>
    <t>JPR4VL052</t>
  </si>
  <si>
    <t>3407-0</t>
  </si>
  <si>
    <t>JPR4VL053</t>
  </si>
  <si>
    <t>JPR3VL053</t>
  </si>
  <si>
    <t>GURPREET SINGH SABHARWAL</t>
  </si>
  <si>
    <t>GURPREET164@GMAIL.COM</t>
  </si>
  <si>
    <t>971|50-2432354</t>
  </si>
  <si>
    <t>3408-0</t>
  </si>
  <si>
    <t>JPR3VL054</t>
  </si>
  <si>
    <t>JPR4VL054</t>
  </si>
  <si>
    <t>3409-0</t>
  </si>
  <si>
    <t>JPR4VL055</t>
  </si>
  <si>
    <t>JPR3VL055</t>
  </si>
  <si>
    <t>AZAD VIRJI</t>
  </si>
  <si>
    <t>3327611-04</t>
  </si>
  <si>
    <t>3410-0</t>
  </si>
  <si>
    <t>JPR3VL056</t>
  </si>
  <si>
    <t>JPR4VL056</t>
  </si>
  <si>
    <t>3411-0</t>
  </si>
  <si>
    <t>JPR3VL057</t>
  </si>
  <si>
    <t>MOOSA HASSAN A ALNSSARI</t>
  </si>
  <si>
    <t>JPR4VL057</t>
  </si>
  <si>
    <t>3412-0</t>
  </si>
  <si>
    <t>JPY4VL001</t>
  </si>
  <si>
    <t>JUGDESH KUMAR DEOO MAL</t>
  </si>
  <si>
    <t>971|050-3003014</t>
  </si>
  <si>
    <t>971|3003014814</t>
  </si>
  <si>
    <t>JPS3VS001</t>
  </si>
  <si>
    <t>3416-0</t>
  </si>
  <si>
    <t>JPH3VL054</t>
  </si>
  <si>
    <t>MUHAMMAD AMIN MUHAMMAD DAWOOD</t>
  </si>
  <si>
    <t>shahid.owais@yahoo.com</t>
  </si>
  <si>
    <t>971|55-6442836</t>
  </si>
  <si>
    <t>971|0556442836</t>
  </si>
  <si>
    <t>JPU4V054</t>
  </si>
  <si>
    <t>3417-0</t>
  </si>
  <si>
    <t>JPH3VL055</t>
  </si>
  <si>
    <t>JPU4V055</t>
  </si>
  <si>
    <t>MEDHAT SAMIH TALEB AMER</t>
  </si>
  <si>
    <t>medhatamer@hotmail.com</t>
  </si>
  <si>
    <t>971|50-6568333</t>
  </si>
  <si>
    <t>3418-0</t>
  </si>
  <si>
    <t>JPH3VL056</t>
  </si>
  <si>
    <t>MOHAMMAD SADEGH MOHAMMAD TAGHI ARJOMANDI</t>
  </si>
  <si>
    <t>971|50-4573787</t>
  </si>
  <si>
    <t>971|504573787</t>
  </si>
  <si>
    <t>JPU4V056</t>
  </si>
  <si>
    <t>3419-0</t>
  </si>
  <si>
    <t>JPH3VL057</t>
  </si>
  <si>
    <t>JPU4V057</t>
  </si>
  <si>
    <t>3420-0</t>
  </si>
  <si>
    <t>JPU4V058</t>
  </si>
  <si>
    <t>MUHAMMAD IMRAN RAZZAK</t>
  </si>
  <si>
    <t>971|50-5021100</t>
  </si>
  <si>
    <t>971|505021100</t>
  </si>
  <si>
    <t>JPH3VL058</t>
  </si>
  <si>
    <t>3421-0</t>
  </si>
  <si>
    <t>JPU4V059</t>
  </si>
  <si>
    <t>JPH3VL059</t>
  </si>
  <si>
    <t>3422-0</t>
  </si>
  <si>
    <t>JPH3VL060</t>
  </si>
  <si>
    <t>AHMED ABDULKARIM AHMED YOUSEF ALBELOOSHI</t>
  </si>
  <si>
    <t>JPU4V060</t>
  </si>
  <si>
    <t>3423-0</t>
  </si>
  <si>
    <t>JPH3VL061</t>
  </si>
  <si>
    <t>JPU4V061</t>
  </si>
  <si>
    <t>REZA HOSSEIN HONARI</t>
  </si>
  <si>
    <t>kesra_property@yahoo.com</t>
  </si>
  <si>
    <t>971|50-9101155</t>
  </si>
  <si>
    <t>971|509101155</t>
  </si>
  <si>
    <t>3424-0</t>
  </si>
  <si>
    <t>JPH3VL062</t>
  </si>
  <si>
    <t>ALI YASHAR KEBRITSAZ TAVAKOLI</t>
  </si>
  <si>
    <t>971|50-4404125</t>
  </si>
  <si>
    <t>971|0504404125</t>
  </si>
  <si>
    <t>JPU4V062</t>
  </si>
  <si>
    <t>3425-0</t>
  </si>
  <si>
    <t>JPH3VL063</t>
  </si>
  <si>
    <t>JPU4V063</t>
  </si>
  <si>
    <t>3426-0</t>
  </si>
  <si>
    <t>JPU4V064</t>
  </si>
  <si>
    <t>RAYDAN INVESTMENT LLC</t>
  </si>
  <si>
    <t>JPH3VL064</t>
  </si>
  <si>
    <t>3427-0</t>
  </si>
  <si>
    <t>JPH3VL065</t>
  </si>
  <si>
    <t>EDUARDO VAN ZELLER CABRAL DE BRITO NETO</t>
  </si>
  <si>
    <t>971|50-0504480</t>
  </si>
  <si>
    <t>971|0504480507</t>
  </si>
  <si>
    <t>JPU4V065</t>
  </si>
  <si>
    <t>3428-0</t>
  </si>
  <si>
    <t>JPH3VL066</t>
  </si>
  <si>
    <t>JPU4V066</t>
  </si>
  <si>
    <t>3429-0</t>
  </si>
  <si>
    <t>JPU4V067</t>
  </si>
  <si>
    <t>AMANY ALY MAHMOUD ELTALAWY</t>
  </si>
  <si>
    <t>971|51-6401710</t>
  </si>
  <si>
    <t>JPH3VL067</t>
  </si>
  <si>
    <t>HUSSAMELDIN ALY MAHMOUD ELTALAWY</t>
  </si>
  <si>
    <t>971|50-6401710</t>
  </si>
  <si>
    <t>971|6401710000</t>
  </si>
  <si>
    <t>3430-0</t>
  </si>
  <si>
    <t>JPH3VL068</t>
  </si>
  <si>
    <t>RIMA MOHAMMED JAMMAL</t>
  </si>
  <si>
    <t>971|56-6865460</t>
  </si>
  <si>
    <t>971|6865460</t>
  </si>
  <si>
    <t>JPU4V068</t>
  </si>
  <si>
    <t>3431-0</t>
  </si>
  <si>
    <t>JPH3VL069</t>
  </si>
  <si>
    <t>EHSAN ABDOLRAZAGH ZAMIN PEIMA</t>
  </si>
  <si>
    <t>971|57-0044783</t>
  </si>
  <si>
    <t>JPU4V069</t>
  </si>
  <si>
    <t>3432-0</t>
  </si>
  <si>
    <t>JPH3VL070</t>
  </si>
  <si>
    <t>JPU4V070</t>
  </si>
  <si>
    <t>3433-0</t>
  </si>
  <si>
    <t>JPU4V071</t>
  </si>
  <si>
    <t>JPH3VL071</t>
  </si>
  <si>
    <t>AMIR SAMAN MOHAMMAD MADADI</t>
  </si>
  <si>
    <t>971|50-5593738</t>
  </si>
  <si>
    <t>971|0505593738</t>
  </si>
  <si>
    <t>3434-0</t>
  </si>
  <si>
    <t>JPU4V072</t>
  </si>
  <si>
    <t>JPH3VL072</t>
  </si>
  <si>
    <t>3435-0</t>
  </si>
  <si>
    <t>JPH3VL073</t>
  </si>
  <si>
    <t>JPU4V073</t>
  </si>
  <si>
    <t>3436-0</t>
  </si>
  <si>
    <t>JPH3VL074</t>
  </si>
  <si>
    <t>JPU4V074</t>
  </si>
  <si>
    <t>3437-0</t>
  </si>
  <si>
    <t>JPH3VL075</t>
  </si>
  <si>
    <t>SAMI NASREDDINE</t>
  </si>
  <si>
    <t>971|50-6529572</t>
  </si>
  <si>
    <t>971|506529572</t>
  </si>
  <si>
    <t>JPU4V075</t>
  </si>
  <si>
    <t>3438-0</t>
  </si>
  <si>
    <t>JPU4V076</t>
  </si>
  <si>
    <t>JPH3VL076</t>
  </si>
  <si>
    <t>TARIK TAWFIK EL SAYED AHMED NASSAR</t>
  </si>
  <si>
    <t>971 4 2522202</t>
  </si>
  <si>
    <t>tarik@amaladvocates.com</t>
  </si>
  <si>
    <t>3439-0</t>
  </si>
  <si>
    <t>JPU4V077</t>
  </si>
  <si>
    <t>JPH3VL077</t>
  </si>
  <si>
    <t>3440-0</t>
  </si>
  <si>
    <t>JPH3VL078</t>
  </si>
  <si>
    <t>JPU4V078</t>
  </si>
  <si>
    <t>3441-0</t>
  </si>
  <si>
    <t>JPH3VL079</t>
  </si>
  <si>
    <t>MADIHA LALI</t>
  </si>
  <si>
    <t>971|0097150458</t>
  </si>
  <si>
    <t>JPU4V079</t>
  </si>
  <si>
    <t>3442-0</t>
  </si>
  <si>
    <t>JPU4V080</t>
  </si>
  <si>
    <t>ABDULLATIF MITEB GLASS</t>
  </si>
  <si>
    <t>971|50-7466717</t>
  </si>
  <si>
    <t>JPH3VL080</t>
  </si>
  <si>
    <t>3443-0</t>
  </si>
  <si>
    <t>JPU4V081</t>
  </si>
  <si>
    <t>JPH3VL081</t>
  </si>
  <si>
    <t>3444-0</t>
  </si>
  <si>
    <t>JPH3VL082</t>
  </si>
  <si>
    <t>MUHAMMAD ZAFAR ARAIN HAJI GHULAM SARWAR</t>
  </si>
  <si>
    <t>sindmotors@hotmail.com</t>
  </si>
  <si>
    <t>971|50-7868371</t>
  </si>
  <si>
    <t>971|0507868371</t>
  </si>
  <si>
    <t>JPU4V082</t>
  </si>
  <si>
    <t>3445-0</t>
  </si>
  <si>
    <t>JPH3VL083</t>
  </si>
  <si>
    <t>JPU4V083</t>
  </si>
  <si>
    <t>3446-0</t>
  </si>
  <si>
    <t>JPH3VL084</t>
  </si>
  <si>
    <t>JPU4V084</t>
  </si>
  <si>
    <t>3447-0</t>
  </si>
  <si>
    <t>JPU4V085</t>
  </si>
  <si>
    <t>SUBHI ALI KHALAF</t>
  </si>
  <si>
    <t>971|50-1373540</t>
  </si>
  <si>
    <t>971|501373540</t>
  </si>
  <si>
    <t>JPH3VL085</t>
  </si>
  <si>
    <t>3448-0</t>
  </si>
  <si>
    <t>JPH3VL086</t>
  </si>
  <si>
    <t>JPU4V086</t>
  </si>
  <si>
    <t>3449-0</t>
  </si>
  <si>
    <t>JPU4V087</t>
  </si>
  <si>
    <t>SA HOLDINGS LIMITED</t>
  </si>
  <si>
    <t>anshul@monacoprop.com</t>
  </si>
  <si>
    <t>JPH3VL087</t>
  </si>
  <si>
    <t>3450-0</t>
  </si>
  <si>
    <t>JPH3VS001</t>
  </si>
  <si>
    <t>EHLAM MOHAMMAD SHAHI AKHLAGI</t>
  </si>
  <si>
    <t>971|6256255</t>
  </si>
  <si>
    <t>none@hotmail.com</t>
  </si>
  <si>
    <t>971|50-6256255</t>
  </si>
  <si>
    <t>3451-0</t>
  </si>
  <si>
    <t>JPH3VS002</t>
  </si>
  <si>
    <t>ABDOLAZIZ MOHAMMAD SHAHI AKHLAGHI</t>
  </si>
  <si>
    <t>3452-0</t>
  </si>
  <si>
    <t>JPH3VS003</t>
  </si>
  <si>
    <t>AHMAD MOHAMMAD SHAHI AKHLAGHI</t>
  </si>
  <si>
    <t>3453-0</t>
  </si>
  <si>
    <t>JPH3VS004</t>
  </si>
  <si>
    <t>KATIA DARYOUSH FAHIMI</t>
  </si>
  <si>
    <t>3454-0</t>
  </si>
  <si>
    <t>JPH3VS005</t>
  </si>
  <si>
    <t>VIVIAN LLAGAS ECONOMIDES (DXB/V3733)</t>
  </si>
  <si>
    <t>3455-0</t>
  </si>
  <si>
    <t>JPH3VS006</t>
  </si>
  <si>
    <t>SHANKARA RANGAN IYER</t>
  </si>
  <si>
    <t>3456-0</t>
  </si>
  <si>
    <t>JPH3VS007</t>
  </si>
  <si>
    <t>PARIKSHIT SAWHNEY</t>
  </si>
  <si>
    <t>qw2@hotmail.com</t>
  </si>
  <si>
    <t>971|50-9105188</t>
  </si>
  <si>
    <t>3457-0</t>
  </si>
  <si>
    <t>JPH3VS008</t>
  </si>
  <si>
    <t>MASOUD SAEED MOHAMED AL AMERI</t>
  </si>
  <si>
    <t>0000@0000.com</t>
  </si>
  <si>
    <t>971|50-6423625</t>
  </si>
  <si>
    <t>971|6423625</t>
  </si>
  <si>
    <t>3458-0</t>
  </si>
  <si>
    <t>JPH3VS009</t>
  </si>
  <si>
    <t>JAYESH JITENDRABHAI PATEL</t>
  </si>
  <si>
    <t>3459-0</t>
  </si>
  <si>
    <t>JPH3VS010</t>
  </si>
  <si>
    <t>3460-0</t>
  </si>
  <si>
    <t>JPH3VS011</t>
  </si>
  <si>
    <t>SATVINDER SINGH BHATIA</t>
  </si>
  <si>
    <t>971|0554258800</t>
  </si>
  <si>
    <t>971|55-4258800</t>
  </si>
  <si>
    <t>3461-0</t>
  </si>
  <si>
    <t>JPH3VS012</t>
  </si>
  <si>
    <t>VUSAL VELIEV</t>
  </si>
  <si>
    <t>3462-0</t>
  </si>
  <si>
    <t>JPH3VS013</t>
  </si>
  <si>
    <t>VLADIMIR TSYMBAL</t>
  </si>
  <si>
    <t>3463-0</t>
  </si>
  <si>
    <t>JPH3VS014</t>
  </si>
  <si>
    <t>JABI M ALKHATUT</t>
  </si>
  <si>
    <t>3464-0</t>
  </si>
  <si>
    <t>JPH3VS015</t>
  </si>
  <si>
    <t>MOHAMMED SAMIR NADIM RASLAN</t>
  </si>
  <si>
    <t>971|50-6550517</t>
  </si>
  <si>
    <t>971|506550517</t>
  </si>
  <si>
    <t>3465-0</t>
  </si>
  <si>
    <t>JPH3VS016</t>
  </si>
  <si>
    <t>3466-0</t>
  </si>
  <si>
    <t>JPH3VS017</t>
  </si>
  <si>
    <t>3467-0</t>
  </si>
  <si>
    <t>JPH3VS018</t>
  </si>
  <si>
    <t>SUNAYNA SETHI</t>
  </si>
  <si>
    <t>971|50-0654918</t>
  </si>
  <si>
    <t>971|505501025</t>
  </si>
  <si>
    <t>3468-0</t>
  </si>
  <si>
    <t>JPH3VS019</t>
  </si>
  <si>
    <t>ELHADI ELRASHED ELTAYIB</t>
  </si>
  <si>
    <t>971|50-6667675</t>
  </si>
  <si>
    <t>3469-0</t>
  </si>
  <si>
    <t>JPH3VS020</t>
  </si>
  <si>
    <t>ARKIN AYGUL</t>
  </si>
  <si>
    <t>3470-0</t>
  </si>
  <si>
    <t>JPH3VS021</t>
  </si>
  <si>
    <t>3471-0</t>
  </si>
  <si>
    <t>JPH3VS022</t>
  </si>
  <si>
    <t>DUBAI BANK</t>
  </si>
  <si>
    <t>N@GMAIL.COM</t>
  </si>
  <si>
    <t>RAVINDER SHYAM SUNDER ARYA</t>
  </si>
  <si>
    <t>3472-0</t>
  </si>
  <si>
    <t>JPH3VS023</t>
  </si>
  <si>
    <t>PRAGYAN KUMAR MALLICK</t>
  </si>
  <si>
    <t>pragyan.mallick@hotmail.com</t>
  </si>
  <si>
    <t>971|55-1098129</t>
  </si>
  <si>
    <t>971|0000000000</t>
  </si>
  <si>
    <t>3473-0</t>
  </si>
  <si>
    <t>JPH3VS024</t>
  </si>
  <si>
    <t>3474-0</t>
  </si>
  <si>
    <t>JPH3VS025</t>
  </si>
  <si>
    <t>KIFAH A Y ALADRA</t>
  </si>
  <si>
    <t>Ahmedadra@gmail.com</t>
  </si>
  <si>
    <t>971|59-6432588</t>
  </si>
  <si>
    <t>971|6432588</t>
  </si>
  <si>
    <t>3475-0</t>
  </si>
  <si>
    <t>JPH3VS026</t>
  </si>
  <si>
    <t>ZAID JAWAD</t>
  </si>
  <si>
    <t>971|0507442924</t>
  </si>
  <si>
    <t>971|50-7442924</t>
  </si>
  <si>
    <t>3476-0</t>
  </si>
  <si>
    <t>JPH3VS027</t>
  </si>
  <si>
    <t>GUOYU PAN</t>
  </si>
  <si>
    <t>3477-0</t>
  </si>
  <si>
    <t>JPH3VS028</t>
  </si>
  <si>
    <t>MARAKISH@GMAIL.COM</t>
  </si>
  <si>
    <t>3478-0</t>
  </si>
  <si>
    <t>JPH3VS029</t>
  </si>
  <si>
    <t>HUSSAM EDDIN SAID MOHAMED ALFAQIR</t>
  </si>
  <si>
    <t>3479-0</t>
  </si>
  <si>
    <t>JPH3VS030</t>
  </si>
  <si>
    <t>FAIQ ZIDAN KALAF</t>
  </si>
  <si>
    <t>971|558664444</t>
  </si>
  <si>
    <t>971|54-8664444</t>
  </si>
  <si>
    <t>971|506302700</t>
  </si>
  <si>
    <t>3480-0</t>
  </si>
  <si>
    <t>JPH3VS031</t>
  </si>
  <si>
    <t>RAMI GHASSAN ALALI</t>
  </si>
  <si>
    <t>3481-0</t>
  </si>
  <si>
    <t>JPH3VS032</t>
  </si>
  <si>
    <t>MUDIT SAXENA</t>
  </si>
  <si>
    <t>3482-0</t>
  </si>
  <si>
    <t>JPH3VS033</t>
  </si>
  <si>
    <t>SAIRA MALIK</t>
  </si>
  <si>
    <t>ALI EBRAHIM ALAIDAROOS</t>
  </si>
  <si>
    <t>info@mashholdings.com</t>
  </si>
  <si>
    <t>3483-0</t>
  </si>
  <si>
    <t>JPH3VS034</t>
  </si>
  <si>
    <t>KAPIL KHURANA ARJAN LAL KHURANA</t>
  </si>
  <si>
    <t>3484-0</t>
  </si>
  <si>
    <t>JPH3VS035</t>
  </si>
  <si>
    <t>BOLAR HISHAM PARVEZ</t>
  </si>
  <si>
    <t>3485-0</t>
  </si>
  <si>
    <t>JPH3VS036</t>
  </si>
  <si>
    <t>3486-0</t>
  </si>
  <si>
    <t>JPH3VS037</t>
  </si>
  <si>
    <t>DHEERAJ PUROHIT</t>
  </si>
  <si>
    <t>971|50-4621173</t>
  </si>
  <si>
    <t>3487-0</t>
  </si>
  <si>
    <t>JPH3VS038</t>
  </si>
  <si>
    <t>MARIAM MUSA HASAN</t>
  </si>
  <si>
    <t>3318999-04</t>
  </si>
  <si>
    <t>3488-0</t>
  </si>
  <si>
    <t>JPH3VS039</t>
  </si>
  <si>
    <t>RAED ELIAS MIKHAIL FANOUS</t>
  </si>
  <si>
    <t>3489-0</t>
  </si>
  <si>
    <t>JPH3VS040</t>
  </si>
  <si>
    <t>MURTAZA SAIFUDDIN BOOTWALA</t>
  </si>
  <si>
    <t>MINTYSAIF@YAHOO.COM</t>
  </si>
  <si>
    <t>971|50-5535516</t>
  </si>
  <si>
    <t>971|5535516</t>
  </si>
  <si>
    <t>AVITA JAIN</t>
  </si>
  <si>
    <t>971|52-0504646</t>
  </si>
  <si>
    <t>971|0504646071</t>
  </si>
  <si>
    <t>3490-0</t>
  </si>
  <si>
    <t>JPH3VS041</t>
  </si>
  <si>
    <t>ROBEN RABISHAMOON GANJI</t>
  </si>
  <si>
    <t>971|0504816202</t>
  </si>
  <si>
    <t>GANJI@GMAIL.COM</t>
  </si>
  <si>
    <t>971|50-4816202</t>
  </si>
  <si>
    <t>3491-0</t>
  </si>
  <si>
    <t>JPH3VS042</t>
  </si>
  <si>
    <t>WEI XU</t>
  </si>
  <si>
    <t>971|50-6527157</t>
  </si>
  <si>
    <t>ANEURIN LEIGH THOMAS</t>
  </si>
  <si>
    <t>3492-0</t>
  </si>
  <si>
    <t>JPH3VS043</t>
  </si>
  <si>
    <t>3493-0</t>
  </si>
  <si>
    <t>JPH3VS044</t>
  </si>
  <si>
    <t>3494-0</t>
  </si>
  <si>
    <t>JPH3VS045</t>
  </si>
  <si>
    <t>HANI MOHAMMAD YASSIN</t>
  </si>
  <si>
    <t>3495-0</t>
  </si>
  <si>
    <t>JPH3VS046</t>
  </si>
  <si>
    <t>LYNDON KEMP HIVES</t>
  </si>
  <si>
    <t>971|0504463734</t>
  </si>
  <si>
    <t>HIVES@GMAIL.COM</t>
  </si>
  <si>
    <t>971|50-4463734</t>
  </si>
  <si>
    <t>3496-0</t>
  </si>
  <si>
    <t>JPH3VS047</t>
  </si>
  <si>
    <t>OBAID ABDULLA HUSSAIN ALI MOHAMMAD</t>
  </si>
  <si>
    <t>3497-0</t>
  </si>
  <si>
    <t>JPH3VS048</t>
  </si>
  <si>
    <t>MOHAMMED ZAHER ABDULRAHMAN HAMMADIH</t>
  </si>
  <si>
    <t>zaher@landmark.ae</t>
  </si>
  <si>
    <t>3498-0</t>
  </si>
  <si>
    <t>JPH3VS049</t>
  </si>
  <si>
    <t>KASHIF HUSSAIN SHEIKH</t>
  </si>
  <si>
    <t>971|51-0771581</t>
  </si>
  <si>
    <t>3499-0</t>
  </si>
  <si>
    <t>JPH3VS050</t>
  </si>
  <si>
    <t>ABDUL SALAM BHATI</t>
  </si>
  <si>
    <t>salambhti@gmail.com</t>
  </si>
  <si>
    <t>3500-0</t>
  </si>
  <si>
    <t>JPH3VS051</t>
  </si>
  <si>
    <t>3501-0</t>
  </si>
  <si>
    <t>JPH3VS052</t>
  </si>
  <si>
    <t>BINDU SHERRING</t>
  </si>
  <si>
    <t>3502-0</t>
  </si>
  <si>
    <t>JPH3VS053</t>
  </si>
  <si>
    <t>SAED AL KHALDI</t>
  </si>
  <si>
    <t>3503-0</t>
  </si>
  <si>
    <t>JPH3VS054</t>
  </si>
  <si>
    <t>DARYOUSH BADR</t>
  </si>
  <si>
    <t>3504-0</t>
  </si>
  <si>
    <t>JPH3VS055</t>
  </si>
  <si>
    <t>AWAD ABDULMOHSEN A ALAWAD</t>
  </si>
  <si>
    <t>3505-0</t>
  </si>
  <si>
    <t>JPH3VS056</t>
  </si>
  <si>
    <t>DIMA ADIB DAWALIBI</t>
  </si>
  <si>
    <t>971|042953000</t>
  </si>
  <si>
    <t>971|55-8279978</t>
  </si>
  <si>
    <t>971|558279978</t>
  </si>
  <si>
    <t>SAMER BABELLI</t>
  </si>
  <si>
    <t>971|508279978</t>
  </si>
  <si>
    <t>3506-0</t>
  </si>
  <si>
    <t>JPH3VS057</t>
  </si>
  <si>
    <t>IMAN MAHDI MIRZA ALI HASSAN RUSTAM</t>
  </si>
  <si>
    <t>iman.rustam@sc.com</t>
  </si>
  <si>
    <t>971|56-1044000</t>
  </si>
  <si>
    <t>971|0097150969</t>
  </si>
  <si>
    <t>3507-0</t>
  </si>
  <si>
    <t>JPH3VS058</t>
  </si>
  <si>
    <t>MUSTAFA GHALIB MUKHEEF ALKTAB (DXB/V3791)</t>
  </si>
  <si>
    <t>3508-0</t>
  </si>
  <si>
    <t>JPH3VS059</t>
  </si>
  <si>
    <t>EMAD ABDULRAZZAQ RASOOL</t>
  </si>
  <si>
    <t>3509-0</t>
  </si>
  <si>
    <t>JPH3VS060</t>
  </si>
  <si>
    <t>JIANMIN HE</t>
  </si>
  <si>
    <t>hjstcdxb@hotmail.com</t>
  </si>
  <si>
    <t>971|50-6516948</t>
  </si>
  <si>
    <t>971|506516948</t>
  </si>
  <si>
    <t>3510-0</t>
  </si>
  <si>
    <t>JPH3VS061</t>
  </si>
  <si>
    <t>FATIMA FAZAL MANSOOR MANSOOR NISH</t>
  </si>
  <si>
    <t>MANSOOR NISHAT NISHAT AHMAD</t>
  </si>
  <si>
    <t>3511-0</t>
  </si>
  <si>
    <t>JPH3VS062</t>
  </si>
  <si>
    <t>OSAMA ABDUL FATTAH AHMAD AHMAD</t>
  </si>
  <si>
    <t>3512-0</t>
  </si>
  <si>
    <t>JPH3VS063</t>
  </si>
  <si>
    <t>ANITA DEEPAK MANSEY</t>
  </si>
  <si>
    <t>3513-0</t>
  </si>
  <si>
    <t>JPH3VS064</t>
  </si>
  <si>
    <t>3514-0</t>
  </si>
  <si>
    <t>JPH3VS065</t>
  </si>
  <si>
    <t>NAUMAN KAMAL</t>
  </si>
  <si>
    <t>3515-0</t>
  </si>
  <si>
    <t>JPH3VS066</t>
  </si>
  <si>
    <t>ATUL DINKAR RAO</t>
  </si>
  <si>
    <t>3516-0</t>
  </si>
  <si>
    <t>JPH3VS067</t>
  </si>
  <si>
    <t>EMAD IBRAHIM AHMED ABUZAID</t>
  </si>
  <si>
    <t>971|50-4521182</t>
  </si>
  <si>
    <t>3517-0</t>
  </si>
  <si>
    <t>JPH3VS068</t>
  </si>
  <si>
    <t>TAREK ZAKARIA KASHEF</t>
  </si>
  <si>
    <t>3518-0</t>
  </si>
  <si>
    <t>JPH4V001</t>
  </si>
  <si>
    <t>3519-0</t>
  </si>
  <si>
    <t>JPH4V002</t>
  </si>
  <si>
    <t>ARKAN HOLDINGS LIMITED</t>
  </si>
  <si>
    <t>3520-0</t>
  </si>
  <si>
    <t>JPH4V003</t>
  </si>
  <si>
    <t>MOHAMMED ABDULAZIZ M ALHUMAIDHI</t>
  </si>
  <si>
    <t>dxb740@yahoo.com</t>
  </si>
  <si>
    <t>3521-0</t>
  </si>
  <si>
    <t>JPH4V004</t>
  </si>
  <si>
    <t>3522-0</t>
  </si>
  <si>
    <t>JPH4V005</t>
  </si>
  <si>
    <t>HASAN HEMANI</t>
  </si>
  <si>
    <t>3523-0</t>
  </si>
  <si>
    <t>JPH4V006</t>
  </si>
  <si>
    <t>3524-0</t>
  </si>
  <si>
    <t>JPH4V007</t>
  </si>
  <si>
    <t>AMAL ALI ESMAT</t>
  </si>
  <si>
    <t>971|50-8770933</t>
  </si>
  <si>
    <t>971|508770933</t>
  </si>
  <si>
    <t>3525-0</t>
  </si>
  <si>
    <t>JPH4V008</t>
  </si>
  <si>
    <t>JAVED AHMED</t>
  </si>
  <si>
    <t>3526-0</t>
  </si>
  <si>
    <t>JPH4V009</t>
  </si>
  <si>
    <t>GEORGIOS PANAGIOTIS MANTZIARIS</t>
  </si>
  <si>
    <t>04-2221126</t>
  </si>
  <si>
    <t>manzari1@eim.ae</t>
  </si>
  <si>
    <t>3527-0</t>
  </si>
  <si>
    <t>JPH4V010</t>
  </si>
  <si>
    <t>HEEMANSHU KANTILAL WAYA</t>
  </si>
  <si>
    <t>waya@hotmail.com</t>
  </si>
  <si>
    <t>971|50-9973535</t>
  </si>
  <si>
    <t>3528-0</t>
  </si>
  <si>
    <t>JPH4V011</t>
  </si>
  <si>
    <t>ASIF MOBIN</t>
  </si>
  <si>
    <t>3529-0</t>
  </si>
  <si>
    <t>JPH4V012</t>
  </si>
  <si>
    <t>DON ANTONIO HARRY MORAES</t>
  </si>
  <si>
    <t>3530-0</t>
  </si>
  <si>
    <t>JPH4V013</t>
  </si>
  <si>
    <t>AEJAZ ABBAS BASRAI</t>
  </si>
  <si>
    <t>0504633424*</t>
  </si>
  <si>
    <t>3531-0</t>
  </si>
  <si>
    <t>JPH4V014</t>
  </si>
  <si>
    <t>3532-0</t>
  </si>
  <si>
    <t>JPH4V015</t>
  </si>
  <si>
    <t>MASOUD RAOOF BERENJIAN</t>
  </si>
  <si>
    <t>3533-0</t>
  </si>
  <si>
    <t>JPH4V016</t>
  </si>
  <si>
    <t>SHERIF SAMY AYAD GUIRGUIS</t>
  </si>
  <si>
    <t>3534-0</t>
  </si>
  <si>
    <t>JPH4V017</t>
  </si>
  <si>
    <t>SHAJID RASHID GAFFAR (DXB/V2533)</t>
  </si>
  <si>
    <t>3535-0</t>
  </si>
  <si>
    <t>JPH5V001</t>
  </si>
  <si>
    <t>ALI AKAWI</t>
  </si>
  <si>
    <t>971|50-7843077</t>
  </si>
  <si>
    <t>3536-0</t>
  </si>
  <si>
    <t>JPH5V002</t>
  </si>
  <si>
    <t>3537-0</t>
  </si>
  <si>
    <t>JPH5V003</t>
  </si>
  <si>
    <t>REZA ZOHRAB GHOLIPOUR SHAHRAKI</t>
  </si>
  <si>
    <t>971|50-2522047</t>
  </si>
  <si>
    <t>971|502522047</t>
  </si>
  <si>
    <t>3538-0</t>
  </si>
  <si>
    <t>JPH5V004</t>
  </si>
  <si>
    <t>STEFANIA CONTU</t>
  </si>
  <si>
    <t>SERGIO SICBALDI</t>
  </si>
  <si>
    <t>3539-0</t>
  </si>
  <si>
    <t>JPH5V005</t>
  </si>
  <si>
    <t>SADEESH GOVINDASWAMY SADAGOPAN</t>
  </si>
  <si>
    <t>971|50-5570337</t>
  </si>
  <si>
    <t>971|505570337</t>
  </si>
  <si>
    <t>3540-0</t>
  </si>
  <si>
    <t>JPH5V006</t>
  </si>
  <si>
    <t>3541-0</t>
  </si>
  <si>
    <t>JPH5V007</t>
  </si>
  <si>
    <t>ZAHRA HASHEM MOUSAVI</t>
  </si>
  <si>
    <t>3542-0</t>
  </si>
  <si>
    <t>JPH5V008</t>
  </si>
  <si>
    <t>ABDULZAHRA GHADBAN GHALI [DXB/V3325]</t>
  </si>
  <si>
    <t>3543-0</t>
  </si>
  <si>
    <t>JPH5V009</t>
  </si>
  <si>
    <t>ALI MOHAMMED GLAM HUSSIN GLAM HUSSEIN</t>
  </si>
  <si>
    <t>3544-0</t>
  </si>
  <si>
    <t>JPH5V010</t>
  </si>
  <si>
    <t>RAED MOHAMMED GHULAM HUSSAIN</t>
  </si>
  <si>
    <t>3545-0</t>
  </si>
  <si>
    <t>JPH5V011</t>
  </si>
  <si>
    <t>ANIS ABDELHAMID BIBI</t>
  </si>
  <si>
    <t>anisbibi@gmail.com</t>
  </si>
  <si>
    <t>971|50-1055524</t>
  </si>
  <si>
    <t>971|501055524</t>
  </si>
  <si>
    <t>3546-0</t>
  </si>
  <si>
    <t>JPH5V012</t>
  </si>
  <si>
    <t>TAHA MHD KHAIR KHEDRO</t>
  </si>
  <si>
    <t>971|043618722</t>
  </si>
  <si>
    <t>tkhedro@hotmail.com</t>
  </si>
  <si>
    <t>971|50-8734695</t>
  </si>
  <si>
    <t>3547-0</t>
  </si>
  <si>
    <t>JPH5V013</t>
  </si>
  <si>
    <t>MAJDI MUHAMMAD T ALTAMMI</t>
  </si>
  <si>
    <t>3548-0</t>
  </si>
  <si>
    <t>JPH5V014</t>
  </si>
  <si>
    <t>AIMAN SABRI SADEQ</t>
  </si>
  <si>
    <t>3549-0</t>
  </si>
  <si>
    <t>JPH5V015</t>
  </si>
  <si>
    <t>FARHAD AHADI ABDUL GHAFAR</t>
  </si>
  <si>
    <t>3550-0</t>
  </si>
  <si>
    <t>JPH5V016</t>
  </si>
  <si>
    <t>3551-0</t>
  </si>
  <si>
    <t>JPH5V017</t>
  </si>
  <si>
    <t>AHMED ABDULRAHMAN ABDULRAHMAN ALBANNA</t>
  </si>
  <si>
    <t>971|504529192</t>
  </si>
  <si>
    <t>ALALEM@DUBARCH.COM</t>
  </si>
  <si>
    <t>971|50-4529192</t>
  </si>
  <si>
    <t>3552-0</t>
  </si>
  <si>
    <t>JPH5V018</t>
  </si>
  <si>
    <t>RASHMI MATHUR RAGHUNATH RAIZADA</t>
  </si>
  <si>
    <t>VIKAS MATHUR</t>
  </si>
  <si>
    <t>3553-0</t>
  </si>
  <si>
    <t>JPH5V019</t>
  </si>
  <si>
    <t>3554-0</t>
  </si>
  <si>
    <t>JPH5V020</t>
  </si>
  <si>
    <t>FATEMA ABDULLA MOHAMED MEQSAA [DXB/V4991]</t>
  </si>
  <si>
    <t>3555-0</t>
  </si>
  <si>
    <t>JPH5V021</t>
  </si>
  <si>
    <t>RACHEL CLARE PAGE</t>
  </si>
  <si>
    <t>3556-0</t>
  </si>
  <si>
    <t>JPH5V022</t>
  </si>
  <si>
    <t>MANAF S W AFYOUNI</t>
  </si>
  <si>
    <t>971|50-6242586</t>
  </si>
  <si>
    <t>971|0506242586</t>
  </si>
  <si>
    <t>3557-0</t>
  </si>
  <si>
    <t>JPH5V023</t>
  </si>
  <si>
    <t>NEDAL MAHMOOD ISSA OTHMAN</t>
  </si>
  <si>
    <t>00971-4-4473552</t>
  </si>
  <si>
    <t>3558-0</t>
  </si>
  <si>
    <t>JPH5V024</t>
  </si>
  <si>
    <t>SAMER ALI NASSER AMBAR ALNAQBI</t>
  </si>
  <si>
    <t>soudehyedin@gmail.com</t>
  </si>
  <si>
    <t>971|56-2934446</t>
  </si>
  <si>
    <t>SAMER ALI NASSER AMBAR</t>
  </si>
  <si>
    <t>971|50-0502800</t>
  </si>
  <si>
    <t>971|0502800559</t>
  </si>
  <si>
    <t>3559-0</t>
  </si>
  <si>
    <t>JPH5V025</t>
  </si>
  <si>
    <t>ARJAN TURANI ANIL MUNISH KUMAR</t>
  </si>
  <si>
    <t>sashas@emirates.net.ae</t>
  </si>
  <si>
    <t>971|50-6259891</t>
  </si>
  <si>
    <t>971|506259891</t>
  </si>
  <si>
    <t>LALIT ARJAN TAURANI</t>
  </si>
  <si>
    <t>3560-0</t>
  </si>
  <si>
    <t>JPH5V026</t>
  </si>
  <si>
    <t>3561-0</t>
  </si>
  <si>
    <t>JPH5V027</t>
  </si>
  <si>
    <t>VANDANA KUMAR GANDHI</t>
  </si>
  <si>
    <t>3562-0</t>
  </si>
  <si>
    <t>JPH5V028</t>
  </si>
  <si>
    <t>RAIED ABDUL WAHAB AL MUFTI (DXB/V296)</t>
  </si>
  <si>
    <t>R.ALMUFTI@BTINTERNET.COM</t>
  </si>
  <si>
    <t>3563-0</t>
  </si>
  <si>
    <t>JPH5V029</t>
  </si>
  <si>
    <t>VINOD VASHDEV HARJANI</t>
  </si>
  <si>
    <t>vvharjani@gmail.com</t>
  </si>
  <si>
    <t>971|50-6457141</t>
  </si>
  <si>
    <t>971|505512294</t>
  </si>
  <si>
    <t>3564-0</t>
  </si>
  <si>
    <t>JPH5V030</t>
  </si>
  <si>
    <t>cypress corporation limited</t>
  </si>
  <si>
    <t>3565-0</t>
  </si>
  <si>
    <t>JPH5V031</t>
  </si>
  <si>
    <t>TARUN KANTI NANDI</t>
  </si>
  <si>
    <t>3566-0</t>
  </si>
  <si>
    <t>JPH5V032</t>
  </si>
  <si>
    <t>MOHAMED ABDELKHALEK MOHAMED SALAMA</t>
  </si>
  <si>
    <t>3567-0</t>
  </si>
  <si>
    <t>JPH5V033</t>
  </si>
  <si>
    <t>CHUA BEE LAY</t>
  </si>
  <si>
    <t>3568-0</t>
  </si>
  <si>
    <t>JPH5V034</t>
  </si>
  <si>
    <t>ABDUL RAHMAN ABDUL AHAD</t>
  </si>
  <si>
    <t>3569-0</t>
  </si>
  <si>
    <t>JPI3VL011</t>
  </si>
  <si>
    <t>MEHMET FATIH HASTAOGLU</t>
  </si>
  <si>
    <t>00@00.ae</t>
  </si>
  <si>
    <t>971|50-3405840</t>
  </si>
  <si>
    <t>971|503405840</t>
  </si>
  <si>
    <t>JPV4VL011</t>
  </si>
  <si>
    <t>971|50-0210678</t>
  </si>
  <si>
    <t>3570-0</t>
  </si>
  <si>
    <t>JPI3VL012</t>
  </si>
  <si>
    <t>JPV4V012</t>
  </si>
  <si>
    <t>ALAUDDIN FEROZUDDIN</t>
  </si>
  <si>
    <t>3571-0</t>
  </si>
  <si>
    <t>JPV4V013</t>
  </si>
  <si>
    <t>JPI3VL013</t>
  </si>
  <si>
    <t>MUHAMMAD KHALID HAJI ABU BAKER</t>
  </si>
  <si>
    <t>KHALID1265@GMAIL.COM</t>
  </si>
  <si>
    <t>3572-0</t>
  </si>
  <si>
    <t>JPV4V014</t>
  </si>
  <si>
    <t>AHMED HANI YOUSEF ELDIDI</t>
  </si>
  <si>
    <t>971|508855069</t>
  </si>
  <si>
    <t>971|50-8855069</t>
  </si>
  <si>
    <t>971|8855069</t>
  </si>
  <si>
    <t>JPI3VL014</t>
  </si>
  <si>
    <t>3573-0</t>
  </si>
  <si>
    <t>JPV4V015</t>
  </si>
  <si>
    <t>TANVIR UL ISLAM KHAWAJA</t>
  </si>
  <si>
    <t>JPI3VL015</t>
  </si>
  <si>
    <t>3574-0</t>
  </si>
  <si>
    <t>JPI3VL016</t>
  </si>
  <si>
    <t>JPV4V016</t>
  </si>
  <si>
    <t>ZUBAIR SALAHUDIN</t>
  </si>
  <si>
    <t>3575-0</t>
  </si>
  <si>
    <t>JPI3VL017</t>
  </si>
  <si>
    <t>ANIL KUMAR ARORA</t>
  </si>
  <si>
    <t>971|0097150653</t>
  </si>
  <si>
    <t>JPV4V017</t>
  </si>
  <si>
    <t>3576-0</t>
  </si>
  <si>
    <t>JPI3VL018</t>
  </si>
  <si>
    <t>NEERU ARORA</t>
  </si>
  <si>
    <t>JPV4V018</t>
  </si>
  <si>
    <t>3577-0</t>
  </si>
  <si>
    <t>JPI3VL019</t>
  </si>
  <si>
    <t>JPV4V019</t>
  </si>
  <si>
    <t>Libya</t>
  </si>
  <si>
    <t>3578-0</t>
  </si>
  <si>
    <t>JPI3VL020</t>
  </si>
  <si>
    <t>RAHEEL MOOSANI ABDUL GHAFFAR</t>
  </si>
  <si>
    <t>971|50-1171513</t>
  </si>
  <si>
    <t>971|1171513</t>
  </si>
  <si>
    <t>JPV4V020</t>
  </si>
  <si>
    <t>MUTAZ MOH.HEKMAT AL MALEH</t>
  </si>
  <si>
    <t>3579-0</t>
  </si>
  <si>
    <t>JPX4VL078</t>
  </si>
  <si>
    <t>SOUZAN FAROUK ALZOUBI</t>
  </si>
  <si>
    <t>971|50-3419285</t>
  </si>
  <si>
    <t>971|503419285</t>
  </si>
  <si>
    <t>JPJ3VL078</t>
  </si>
  <si>
    <t>3580-0</t>
  </si>
  <si>
    <t>JPX4VL079</t>
  </si>
  <si>
    <t>MOHAMMED TAHSIN AL ISTARABADI</t>
  </si>
  <si>
    <t>971|50-4815632</t>
  </si>
  <si>
    <t>JPJ3VL079</t>
  </si>
  <si>
    <t>3581-0</t>
  </si>
  <si>
    <t>JPX4VL080</t>
  </si>
  <si>
    <t>ABDULLA MAHMOUD AHMED ALI ALQAISIEH</t>
  </si>
  <si>
    <t>FARES2075@HOTMAIL.COM</t>
  </si>
  <si>
    <t>3582-0</t>
  </si>
  <si>
    <t>JPX4VL081</t>
  </si>
  <si>
    <t>JPJ3VL081</t>
  </si>
  <si>
    <t>3583-0</t>
  </si>
  <si>
    <t>JPX4VL082</t>
  </si>
  <si>
    <t>JPJ3VL082</t>
  </si>
  <si>
    <t>3584-0</t>
  </si>
  <si>
    <t>JPX4VL083</t>
  </si>
  <si>
    <t>JPJ3VL083</t>
  </si>
  <si>
    <t>3585-0</t>
  </si>
  <si>
    <t>JPJ3VL084</t>
  </si>
  <si>
    <t>JPX4VL084</t>
  </si>
  <si>
    <t>3586-0</t>
  </si>
  <si>
    <t>JPJ3VS001</t>
  </si>
  <si>
    <t>3587-0</t>
  </si>
  <si>
    <t>JPJ3VS002</t>
  </si>
  <si>
    <t>JACOB VARGHESE PULIMOTIL</t>
  </si>
  <si>
    <t>3588-0</t>
  </si>
  <si>
    <t>JPJ3VS003</t>
  </si>
  <si>
    <t>NISAR BALOCH</t>
  </si>
  <si>
    <t>04/2899319</t>
  </si>
  <si>
    <t>nisarbaloch@me.com</t>
  </si>
  <si>
    <t>971|50-1071774</t>
  </si>
  <si>
    <t>971|501071774</t>
  </si>
  <si>
    <t>3589-0</t>
  </si>
  <si>
    <t>JPJ3VS004</t>
  </si>
  <si>
    <t>MUHAMMAD NABEEL JOZ</t>
  </si>
  <si>
    <t>A@A.COM</t>
  </si>
  <si>
    <t>3590-0</t>
  </si>
  <si>
    <t>JPJ3VS005</t>
  </si>
  <si>
    <t>IRFAN MEKHER</t>
  </si>
  <si>
    <t>971|50-3346373</t>
  </si>
  <si>
    <t>971|543346373</t>
  </si>
  <si>
    <t>3591-0</t>
  </si>
  <si>
    <t>JPJ3VS006</t>
  </si>
  <si>
    <t>ANURAJAN KRISHAN IQBAL MALHOTRA</t>
  </si>
  <si>
    <t>3592-0</t>
  </si>
  <si>
    <t>JPJ3VS007</t>
  </si>
  <si>
    <t>SANDEEP BHATIA</t>
  </si>
  <si>
    <t>SANDY2000_IN@YAHOO.COM</t>
  </si>
  <si>
    <t>971|50-4531227</t>
  </si>
  <si>
    <t>SHALINI BHATIA</t>
  </si>
  <si>
    <t>3593-0</t>
  </si>
  <si>
    <t>JPJ3VS008</t>
  </si>
  <si>
    <t>FAZEL RAHIM BASHIRI</t>
  </si>
  <si>
    <t>971|50-4578865</t>
  </si>
  <si>
    <t>971|504578865</t>
  </si>
  <si>
    <t>3594-0</t>
  </si>
  <si>
    <t>JPJ3VS009</t>
  </si>
  <si>
    <t>ABDULZAHIR MOHAMMAD BASHIR</t>
  </si>
  <si>
    <t>3595-0</t>
  </si>
  <si>
    <t>JPJ3VS010</t>
  </si>
  <si>
    <t>SAKINA RAZA</t>
  </si>
  <si>
    <t>3596-0</t>
  </si>
  <si>
    <t>JPJ3VS011</t>
  </si>
  <si>
    <t>RICHARD HUGH MITCHELL MORLEY KIRK</t>
  </si>
  <si>
    <t>mahamkbeauty@hotmail.com</t>
  </si>
  <si>
    <t>971|52-2518653</t>
  </si>
  <si>
    <t>971|2518653</t>
  </si>
  <si>
    <t>MAHA EL TAKKI</t>
  </si>
  <si>
    <t>3597-0</t>
  </si>
  <si>
    <t>JPJ3VS012</t>
  </si>
  <si>
    <t>3598-0</t>
  </si>
  <si>
    <t>JPJ3VS013</t>
  </si>
  <si>
    <t>FERAS S A ALSFARINI</t>
  </si>
  <si>
    <t>MAIS FATHI AHMED HILO</t>
  </si>
  <si>
    <t>3599-0</t>
  </si>
  <si>
    <t>JPJ3VS014</t>
  </si>
  <si>
    <t>MAWARID FINANCE (P J S C)</t>
  </si>
  <si>
    <t>INFO@MAWARID.AE</t>
  </si>
  <si>
    <t>MOHAMMED AHMAD MOHAMMED ABDULAZIZ ALSHEHHI</t>
  </si>
  <si>
    <t>04/3892424</t>
  </si>
  <si>
    <t>alshehhi6262@gmail.com</t>
  </si>
  <si>
    <t>3600-0</t>
  </si>
  <si>
    <t>JPJ3VS015</t>
  </si>
  <si>
    <t>MARYAM SHAHID QURESHI SHAHID MEHMOOD</t>
  </si>
  <si>
    <t>MARYAM@GMAIL.COM</t>
  </si>
  <si>
    <t>3601-0</t>
  </si>
  <si>
    <t>JPJ4V001</t>
  </si>
  <si>
    <t>NASSAR JAVIER CHASSEBI</t>
  </si>
  <si>
    <t>3602-0</t>
  </si>
  <si>
    <t>JPJ4V002</t>
  </si>
  <si>
    <t>KAREEM MOHAMED ABDELSALAM ALI MOUSA [DXB/ V5743]</t>
  </si>
  <si>
    <t>kareem.moussa@gmail.com</t>
  </si>
  <si>
    <t>KAREEM MOHAMED ABDELSALAM ALI MOUSSA</t>
  </si>
  <si>
    <t>971|50-5541732</t>
  </si>
  <si>
    <t>41|797623337</t>
  </si>
  <si>
    <t>3603-0</t>
  </si>
  <si>
    <t>JPJ4V003</t>
  </si>
  <si>
    <t>3604-0</t>
  </si>
  <si>
    <t>JPJ4V004</t>
  </si>
  <si>
    <t>JASHAN JOT SINGH</t>
  </si>
  <si>
    <t>3605-0</t>
  </si>
  <si>
    <t>JPJ4V005</t>
  </si>
  <si>
    <t>3606-0</t>
  </si>
  <si>
    <t>JPJ4V006</t>
  </si>
  <si>
    <t>IHAB MAHMOUD AMIN ALSHEIKH</t>
  </si>
  <si>
    <t>3607-0</t>
  </si>
  <si>
    <t>JPJ4V007</t>
  </si>
  <si>
    <t>MOHAMED YAHYA KAZI MEERAN</t>
  </si>
  <si>
    <t>971|50-4568282</t>
  </si>
  <si>
    <t>3608-0</t>
  </si>
  <si>
    <t>JPJ4V008</t>
  </si>
  <si>
    <t>KONSTANTINOS PAPANTONIS</t>
  </si>
  <si>
    <t>parilla@cim.ae</t>
  </si>
  <si>
    <t>3609-0</t>
  </si>
  <si>
    <t>JPJ4V009</t>
  </si>
  <si>
    <t>MODI VIRENDRA KUMAR RAJNIKANT</t>
  </si>
  <si>
    <t>3610-0</t>
  </si>
  <si>
    <t>JPJ4V010</t>
  </si>
  <si>
    <t>NAIL SALMAN JEBAR AL KABI</t>
  </si>
  <si>
    <t>971|50-3073311</t>
  </si>
  <si>
    <t>971|503073311</t>
  </si>
  <si>
    <t>WAIL SALMAN JABOUR AL KABI</t>
  </si>
  <si>
    <t>3611-0</t>
  </si>
  <si>
    <t>JPJ4V011</t>
  </si>
  <si>
    <t>BADER ABDULQADIR H GHOUTH</t>
  </si>
  <si>
    <t>971|50-7841957</t>
  </si>
  <si>
    <t>3612-0</t>
  </si>
  <si>
    <t>JPJ4V012</t>
  </si>
  <si>
    <t>IDREES AHMED SHEIKH MUHAMMAD SALEEM SHEIKH</t>
  </si>
  <si>
    <t>971|0506241165</t>
  </si>
  <si>
    <t>IDREES@GMAIL.COM</t>
  </si>
  <si>
    <t>971|50-6241165</t>
  </si>
  <si>
    <t>ALENA DUBINO</t>
  </si>
  <si>
    <t>971|0503439697</t>
  </si>
  <si>
    <t>971|50-3439697</t>
  </si>
  <si>
    <t>Belarus</t>
  </si>
  <si>
    <t>3613-0</t>
  </si>
  <si>
    <t>JPJ4V013</t>
  </si>
  <si>
    <t>ALYA ABDULRAHIM MAHDY</t>
  </si>
  <si>
    <t>3614-0</t>
  </si>
  <si>
    <t>JPJ4V014</t>
  </si>
  <si>
    <t>SYED KHURSHID KAZIM SYED AKHLAQUE HUSAIN</t>
  </si>
  <si>
    <t>971|55-6551839</t>
  </si>
  <si>
    <t>971|50655</t>
  </si>
  <si>
    <t>3615-0</t>
  </si>
  <si>
    <t>JPJ4V015</t>
  </si>
  <si>
    <t>MOHAMMAD JAVID YAHYA SABOUNI</t>
  </si>
  <si>
    <t>MJS1952@GMAIL.COM</t>
  </si>
  <si>
    <t>971|50-6592011</t>
  </si>
  <si>
    <t>3616-0</t>
  </si>
  <si>
    <t>JPJ4V016</t>
  </si>
  <si>
    <t>JYOTI AHLUWALIA</t>
  </si>
  <si>
    <t>JYOTI@GMAIL.COM</t>
  </si>
  <si>
    <t>971|50-8885655</t>
  </si>
  <si>
    <t>3617-0</t>
  </si>
  <si>
    <t>JPJ4V017</t>
  </si>
  <si>
    <t>MOHAMMAD SAMER SAAB</t>
  </si>
  <si>
    <t>3618-0</t>
  </si>
  <si>
    <t>JPJ4V018</t>
  </si>
  <si>
    <t>YOUNG HOON CHUNG</t>
  </si>
  <si>
    <t>reza@farzamico.com</t>
  </si>
  <si>
    <t>971|557209261</t>
  </si>
  <si>
    <t>3619-0</t>
  </si>
  <si>
    <t>JPJ4V019</t>
  </si>
  <si>
    <t>BEHNAM MANSOUR ZADBEHGAN</t>
  </si>
  <si>
    <t>971|50-6526004</t>
  </si>
  <si>
    <t>3620-0</t>
  </si>
  <si>
    <t>JPJ4V020</t>
  </si>
  <si>
    <t>DAYANAND NAINANI</t>
  </si>
  <si>
    <t>dayanand_liveint@yahoo.co.in</t>
  </si>
  <si>
    <t>971|55-0551120</t>
  </si>
  <si>
    <t>3621-0</t>
  </si>
  <si>
    <t>JPJ4V021</t>
  </si>
  <si>
    <t>MOHAMED ASHRAF SHAHUL AMEED</t>
  </si>
  <si>
    <t>971|0559006423</t>
  </si>
  <si>
    <t>ASHRAF@YAHOO.COM</t>
  </si>
  <si>
    <t>971|55-9006423</t>
  </si>
  <si>
    <t>971|506131809</t>
  </si>
  <si>
    <t>3622-0</t>
  </si>
  <si>
    <t>JPJ4V022</t>
  </si>
  <si>
    <t>RAJESH GUPTA</t>
  </si>
  <si>
    <t>UPNITA GUPTA</t>
  </si>
  <si>
    <t>3623-0</t>
  </si>
  <si>
    <t>JPJ4V023</t>
  </si>
  <si>
    <t>MOHAMMED GHYASE RASHID</t>
  </si>
  <si>
    <t>971|56-1111141</t>
  </si>
  <si>
    <t>971|561111141</t>
  </si>
  <si>
    <t>3624-0</t>
  </si>
  <si>
    <t>JPJ4V024</t>
  </si>
  <si>
    <t>3625-0</t>
  </si>
  <si>
    <t>JPJ4V025</t>
  </si>
  <si>
    <t>MOHAMMAD SHAHI AKHLAGHI</t>
  </si>
  <si>
    <t>xx@xx.com</t>
  </si>
  <si>
    <t>971|-----507071700</t>
  </si>
  <si>
    <t>971|507071700</t>
  </si>
  <si>
    <t>Puerto Rico 2</t>
  </si>
  <si>
    <t>3626-0</t>
  </si>
  <si>
    <t>JPJ4V026</t>
  </si>
  <si>
    <t>3627-0</t>
  </si>
  <si>
    <t>JPJ4V027</t>
  </si>
  <si>
    <t>MOHAMMED WALID JUMAA ZABADNE</t>
  </si>
  <si>
    <t>971|50-2940271</t>
  </si>
  <si>
    <t>3628-0</t>
  </si>
  <si>
    <t>JPJ4V028</t>
  </si>
  <si>
    <t>VISHAL ANAND JAGAN NATH ANAND</t>
  </si>
  <si>
    <t>VISHAL.ANAND1@HOTMAIL.COM</t>
  </si>
  <si>
    <t>971|50-4352167</t>
  </si>
  <si>
    <t>971|504352167</t>
  </si>
  <si>
    <t>3629-0</t>
  </si>
  <si>
    <t>JPJ4V029</t>
  </si>
  <si>
    <t>SAAD H S ALOMARI</t>
  </si>
  <si>
    <t>3630-0</t>
  </si>
  <si>
    <t>JPJ4V030</t>
  </si>
  <si>
    <t>MONCEF MESLEM</t>
  </si>
  <si>
    <t>3631-0</t>
  </si>
  <si>
    <t>JPJ4V031</t>
  </si>
  <si>
    <t>ZHAO YANG</t>
  </si>
  <si>
    <t>3632-0</t>
  </si>
  <si>
    <t>JPJ4V032</t>
  </si>
  <si>
    <t>MANISH PARASHAR</t>
  </si>
  <si>
    <t>971|50-5289947</t>
  </si>
  <si>
    <t>3633-0</t>
  </si>
  <si>
    <t>JPJ4V033</t>
  </si>
  <si>
    <t>HALDUN ALVAR</t>
  </si>
  <si>
    <t>khaldoun@sockscollection.com</t>
  </si>
  <si>
    <t>971|55-2000404</t>
  </si>
  <si>
    <t>3634-0</t>
  </si>
  <si>
    <t>JPJ4V034</t>
  </si>
  <si>
    <t>DAVID JONATHAN WARD</t>
  </si>
  <si>
    <t>971|50-4249808</t>
  </si>
  <si>
    <t>971|504249808</t>
  </si>
  <si>
    <t>3635-0</t>
  </si>
  <si>
    <t>JPJ4V035</t>
  </si>
  <si>
    <t>BASSEL KHAWAJA</t>
  </si>
  <si>
    <t>3636-0</t>
  </si>
  <si>
    <t>JPJ4V036</t>
  </si>
  <si>
    <t>Alan AbdulKareem Farhan Welli</t>
  </si>
  <si>
    <t>3637-0</t>
  </si>
  <si>
    <t>JPJ4V037</t>
  </si>
  <si>
    <t>MAJID AHMAD ABDULRAZAK ABDULRAHIM</t>
  </si>
  <si>
    <t>MAJID@LIVINGZONE.AE</t>
  </si>
  <si>
    <t>971|51-9231947</t>
  </si>
  <si>
    <t>971|505077429</t>
  </si>
  <si>
    <t>AAMER MAHMOUD REFAEI</t>
  </si>
  <si>
    <t>arefai77@gmail.com</t>
  </si>
  <si>
    <t>3638-0</t>
  </si>
  <si>
    <t>JPJ4V038</t>
  </si>
  <si>
    <t>AMAL ABDULLAH A ALSHEHRI</t>
  </si>
  <si>
    <t>mall-9999@hotmail.com</t>
  </si>
  <si>
    <t>971|50-5815871</t>
  </si>
  <si>
    <t>966|4959239</t>
  </si>
  <si>
    <t>3639-0</t>
  </si>
  <si>
    <t>JPJ4V039</t>
  </si>
  <si>
    <t>JAN HENDRIK DR KRAUS</t>
  </si>
  <si>
    <t>3640-0</t>
  </si>
  <si>
    <t>JPJ4V040</t>
  </si>
  <si>
    <t>MAHOMED YUNUS ABDUL GAFFAR</t>
  </si>
  <si>
    <t>971|55-9933113</t>
  </si>
  <si>
    <t>44|7809398837</t>
  </si>
  <si>
    <t>3641-0</t>
  </si>
  <si>
    <t>JPJ4V041</t>
  </si>
  <si>
    <t>SALAHELDIN MOHAMED SOLIMAN ABDELSALAM</t>
  </si>
  <si>
    <t>3642-0</t>
  </si>
  <si>
    <t>JPJ4V042</t>
  </si>
  <si>
    <t>NATASHA VIRESH PRABHAKAR KOTHARI</t>
  </si>
  <si>
    <t>971|0567907966</t>
  </si>
  <si>
    <t>3643-0</t>
  </si>
  <si>
    <t>JPJ4V043</t>
  </si>
  <si>
    <t>SALAH ALI ABDUL AZIZ DABASH</t>
  </si>
  <si>
    <t>SADABASH@HOTMAIL.COM</t>
  </si>
  <si>
    <t>971|50-6320982</t>
  </si>
  <si>
    <t>971|0506320982</t>
  </si>
  <si>
    <t>3644-0</t>
  </si>
  <si>
    <t>JPJ4V044</t>
  </si>
  <si>
    <t>BHAGWANTI KALWANI</t>
  </si>
  <si>
    <t>971|50-6240320</t>
  </si>
  <si>
    <t>971|506240320</t>
  </si>
  <si>
    <t>SHABBIR RASHID</t>
  </si>
  <si>
    <t>srashid@gmail.com</t>
  </si>
  <si>
    <t>971|50-6585164</t>
  </si>
  <si>
    <t>3645-0</t>
  </si>
  <si>
    <t>JPJ4V045</t>
  </si>
  <si>
    <t>MAHMOOD HADI</t>
  </si>
  <si>
    <t>3646-0</t>
  </si>
  <si>
    <t>JPJ4V046</t>
  </si>
  <si>
    <t>ROHIT DEV THAKWANI</t>
  </si>
  <si>
    <t>3647-0</t>
  </si>
  <si>
    <t>JPJ4V047</t>
  </si>
  <si>
    <t>RAHUL OBEROI</t>
  </si>
  <si>
    <t>3648-0</t>
  </si>
  <si>
    <t>JPJ4V048</t>
  </si>
  <si>
    <t>MOHAMED EL ABBOURI</t>
  </si>
  <si>
    <t>971|50-2162581</t>
  </si>
  <si>
    <t>971|2162581</t>
  </si>
  <si>
    <t>3649-0</t>
  </si>
  <si>
    <t>JPJ4V049</t>
  </si>
  <si>
    <t>VINITA MOHAN</t>
  </si>
  <si>
    <t>vinitamhn@yahoo.com</t>
  </si>
  <si>
    <t>971|56-1149400</t>
  </si>
  <si>
    <t>3650-0</t>
  </si>
  <si>
    <t>JPJ4V050</t>
  </si>
  <si>
    <t>DEEPAK MEHRA</t>
  </si>
  <si>
    <t>3651-0</t>
  </si>
  <si>
    <t>JPJ4V051</t>
  </si>
  <si>
    <t>DEALAA ISSA ABU ISSA</t>
  </si>
  <si>
    <t>3652-0</t>
  </si>
  <si>
    <t>JPJ4V052</t>
  </si>
  <si>
    <t>KEERTIKA RAWAT</t>
  </si>
  <si>
    <t>GAURAV TANDON</t>
  </si>
  <si>
    <t>3653-0</t>
  </si>
  <si>
    <t>JPJ4V053</t>
  </si>
  <si>
    <t>REEFAT KHALID MANIAR</t>
  </si>
  <si>
    <t>reefat.maniar@crowehorwath.ae</t>
  </si>
  <si>
    <t>SAAD FARUK MANIAR</t>
  </si>
  <si>
    <t>3654-0</t>
  </si>
  <si>
    <t>JPJ4V054</t>
  </si>
  <si>
    <t>NASIRA TAUSEEF</t>
  </si>
  <si>
    <t>TAUSEEF URREHMAN SHEIKH ABDUL REHMAN</t>
  </si>
  <si>
    <t>tauseefrehman@hotmail.com</t>
  </si>
  <si>
    <t>3655-0</t>
  </si>
  <si>
    <t>JPJ4V056</t>
  </si>
  <si>
    <t>DINESH MOORJANI</t>
  </si>
  <si>
    <t>971|50-0506262</t>
  </si>
  <si>
    <t>971|0506262084</t>
  </si>
  <si>
    <t>3656-0</t>
  </si>
  <si>
    <t>JPJ4V055</t>
  </si>
  <si>
    <t>SOUMYA RANJAN PATNAIK</t>
  </si>
  <si>
    <t>ABDELAZIZ.ALSHALABI@CBI.AE</t>
  </si>
  <si>
    <t>capt.patnaik@Yahoo.co.uk</t>
  </si>
  <si>
    <t>971|50-2553279</t>
  </si>
  <si>
    <t>3657-0</t>
  </si>
  <si>
    <t>JPK3VL001</t>
  </si>
  <si>
    <t>SYED IMRAN BASHIR</t>
  </si>
  <si>
    <t>3658-0</t>
  </si>
  <si>
    <t>JPK3VL002</t>
  </si>
  <si>
    <t>ESSAM AHMED S BAOTOB</t>
  </si>
  <si>
    <t>971|0508814328</t>
  </si>
  <si>
    <t>971|50-8814328</t>
  </si>
  <si>
    <t>971|8814328</t>
  </si>
  <si>
    <t>3659-0</t>
  </si>
  <si>
    <t>JPK3VL003</t>
  </si>
  <si>
    <t>IRSHAD HUMAYUN</t>
  </si>
  <si>
    <t>3660-0</t>
  </si>
  <si>
    <t>JPK3VL004</t>
  </si>
  <si>
    <t>GHULAM RASOOL ABDUL KARIM</t>
  </si>
  <si>
    <t>R@YAHOO.COM</t>
  </si>
  <si>
    <t>3661-0</t>
  </si>
  <si>
    <t>JPK3VL005</t>
  </si>
  <si>
    <t>MAHEEN SADRUDDIN PEER MOHAMMED</t>
  </si>
  <si>
    <t>3662-0</t>
  </si>
  <si>
    <t>JPK3VL006</t>
  </si>
  <si>
    <t>SYED KHAJA SHAMSUDDIN</t>
  </si>
  <si>
    <t>sam@goldencorn.net</t>
  </si>
  <si>
    <t>971|55-6258875</t>
  </si>
  <si>
    <t>971|556258875</t>
  </si>
  <si>
    <t>3663-0</t>
  </si>
  <si>
    <t>JPK3VL007</t>
  </si>
  <si>
    <t>MOHAMED ISMAIL MOHAMED ABDUL RAHIM</t>
  </si>
  <si>
    <t>3664-0</t>
  </si>
  <si>
    <t>JPK3VL008</t>
  </si>
  <si>
    <t>AYYAGARI PADMA RENU</t>
  </si>
  <si>
    <t>3665-0</t>
  </si>
  <si>
    <t>JPK3VL009</t>
  </si>
  <si>
    <t>HADI IRAJ NAZARI MEHRABI</t>
  </si>
  <si>
    <t>971|52-9151115</t>
  </si>
  <si>
    <t>971|9151115</t>
  </si>
  <si>
    <t>3666-0</t>
  </si>
  <si>
    <t>JPK3VL010</t>
  </si>
  <si>
    <t>3667-0</t>
  </si>
  <si>
    <t>JPK3VL011</t>
  </si>
  <si>
    <t>ESMAEIL NOUROLLAH DOROSTKAR</t>
  </si>
  <si>
    <t>3377721-04</t>
  </si>
  <si>
    <t>3668-0</t>
  </si>
  <si>
    <t>JPK3VL012</t>
  </si>
  <si>
    <t>ILIES MOHAMED MOULOUDJ</t>
  </si>
  <si>
    <t>3669-0</t>
  </si>
  <si>
    <t>JPK3VL013</t>
  </si>
  <si>
    <t>AMINA SALEM HUMAID ALSUWAIDI</t>
  </si>
  <si>
    <t>3670-0</t>
  </si>
  <si>
    <t>JPK3VL014</t>
  </si>
  <si>
    <t>ASSEM MOHAMAD KHALAILI</t>
  </si>
  <si>
    <t>3671-0</t>
  </si>
  <si>
    <t>JPK3VL015</t>
  </si>
  <si>
    <t>MOHAN LACHHWANI ALAM CHAND</t>
  </si>
  <si>
    <t>971|50-6509084</t>
  </si>
  <si>
    <t>3672-0</t>
  </si>
  <si>
    <t>JPK3VL016</t>
  </si>
  <si>
    <t>ASHRAF YEHIA ESHACK LABIB ESHACK</t>
  </si>
  <si>
    <t>3673-0</t>
  </si>
  <si>
    <t>JPK3VL017</t>
  </si>
  <si>
    <t>PAMELA SUSAN LEADER</t>
  </si>
  <si>
    <t>3674-0</t>
  </si>
  <si>
    <t>JPK3VL018</t>
  </si>
  <si>
    <t>OMAR SABAH MOHAMED SALIH</t>
  </si>
  <si>
    <t>3675-0</t>
  </si>
  <si>
    <t>JPK3VL019</t>
  </si>
  <si>
    <t>FAEZA HASAN MOUSA ALFATIH (DXB/V2655</t>
  </si>
  <si>
    <t>3676-0</t>
  </si>
  <si>
    <t>JPK3VL020</t>
  </si>
  <si>
    <t>PHILIPP SEBASTIAN WENDSCHUH</t>
  </si>
  <si>
    <t>3677-0</t>
  </si>
  <si>
    <t>JPK3VL021</t>
  </si>
  <si>
    <t>3678-0</t>
  </si>
  <si>
    <t>JPK3VL022</t>
  </si>
  <si>
    <t>FARZANA ZUBIN MITHAIWALLA</t>
  </si>
  <si>
    <t>ZUBIN FIROZ MITTHAIWALLA</t>
  </si>
  <si>
    <t>3679-0</t>
  </si>
  <si>
    <t>JPK3VL023</t>
  </si>
  <si>
    <t>CHRISTOPHER MARK FERGUSON</t>
  </si>
  <si>
    <t>3680-0</t>
  </si>
  <si>
    <t>JPK3VL024</t>
  </si>
  <si>
    <t>LUMA J M A BOURISLY</t>
  </si>
  <si>
    <t>2829393 04</t>
  </si>
  <si>
    <t>3681-0</t>
  </si>
  <si>
    <t>JPK3VL025</t>
  </si>
  <si>
    <t>3682-0</t>
  </si>
  <si>
    <t>JPK3VL026</t>
  </si>
  <si>
    <t>LAXMI DINESH BHAVNANI</t>
  </si>
  <si>
    <t>laxmi@aquaproperties.com</t>
  </si>
  <si>
    <t>971|50-2528789</t>
  </si>
  <si>
    <t>3683-0</t>
  </si>
  <si>
    <t>JPK3VL027</t>
  </si>
  <si>
    <t>SHIVDAS RAMDAS KAMDAR</t>
  </si>
  <si>
    <t>SARIKA SHIVDAS KAMDAR</t>
  </si>
  <si>
    <t>3684-0</t>
  </si>
  <si>
    <t>JPK3VL028</t>
  </si>
  <si>
    <t>SAWSAN FAISAL SALEEM AL NABOLSI</t>
  </si>
  <si>
    <t>971|52-7332598</t>
  </si>
  <si>
    <t>3685-0</t>
  </si>
  <si>
    <t>JPK3VL029</t>
  </si>
  <si>
    <t>KATTIPRAYIL JOSEPH JOSEPH</t>
  </si>
  <si>
    <t>3686-0</t>
  </si>
  <si>
    <t>JPK3VS001</t>
  </si>
  <si>
    <t>FETRIEH ABDOLLAH ZAMIN PEIMA</t>
  </si>
  <si>
    <t>3687-0</t>
  </si>
  <si>
    <t>JPK3VS002</t>
  </si>
  <si>
    <t>SYED MUHAMMED IMRAN</t>
  </si>
  <si>
    <t>3688-0</t>
  </si>
  <si>
    <t>JPK3VS003</t>
  </si>
  <si>
    <t>ABDUL SATTAR QURESHI ABDUL GHAFFAR QURESHI</t>
  </si>
  <si>
    <t>3689-0</t>
  </si>
  <si>
    <t>JPK3VS004</t>
  </si>
  <si>
    <t>SHAHID MEHMOOD</t>
  </si>
  <si>
    <t>3690-0</t>
  </si>
  <si>
    <t>JPK3VS005</t>
  </si>
  <si>
    <t>YOGESH VINOD KUMAR VINOD KUMAR TIBREWALA TIBREWALA</t>
  </si>
  <si>
    <t>3691-0</t>
  </si>
  <si>
    <t>JPK3VS006</t>
  </si>
  <si>
    <t>NAOMI JANINE WILLIAMS</t>
  </si>
  <si>
    <t>3692-0</t>
  </si>
  <si>
    <t>JPK3VS007</t>
  </si>
  <si>
    <t>MOHAMMAD ISSA AL SIRHI</t>
  </si>
  <si>
    <t>MOHDSIRHI@GMAIL.COM</t>
  </si>
  <si>
    <t>971|50-4529189</t>
  </si>
  <si>
    <t>971|0504529189</t>
  </si>
  <si>
    <t>3693-0</t>
  </si>
  <si>
    <t>JPK3VS008</t>
  </si>
  <si>
    <t>GHASSAN HUSSAIN ALI</t>
  </si>
  <si>
    <t>3694-0</t>
  </si>
  <si>
    <t>JPK3VS009</t>
  </si>
  <si>
    <t>BATOOL OSAMA ABDULKARIM AL HADAD</t>
  </si>
  <si>
    <t>971|50-6842275</t>
  </si>
  <si>
    <t>971|0506842275</t>
  </si>
  <si>
    <t>3695-0</t>
  </si>
  <si>
    <t>JPK3VS010</t>
  </si>
  <si>
    <t>LISA NICOLE GIBSON</t>
  </si>
  <si>
    <t>SIMON JAMES JEVONS</t>
  </si>
  <si>
    <t>3696-0</t>
  </si>
  <si>
    <t>JPK3VS011</t>
  </si>
  <si>
    <t>BADEL-HADI MOHAMMAD BADEL HADI GHANNAM</t>
  </si>
  <si>
    <t>MANAL NAZIH SUDQI ZUREIQI</t>
  </si>
  <si>
    <t>3717-0</t>
  </si>
  <si>
    <t>JPF3VS013</t>
  </si>
  <si>
    <t>ROUDHA HUMOOD AMER DAFOOS AL MANSOORI</t>
  </si>
  <si>
    <t>482363-04</t>
  </si>
  <si>
    <t>3719-0</t>
  </si>
  <si>
    <t>JPA3VL0X1</t>
  </si>
  <si>
    <t>ABDULLAH MOHAMMAD HAMDAN ALATRASH</t>
  </si>
  <si>
    <t>3720-0</t>
  </si>
  <si>
    <t>JPA3VL0X2</t>
  </si>
  <si>
    <t>3721-0</t>
  </si>
  <si>
    <t>JPA3VL0X3</t>
  </si>
  <si>
    <t>JAMIL MOHAMAD ALI ELHABBAL</t>
  </si>
  <si>
    <t>3722-0</t>
  </si>
  <si>
    <t>JPA3VL0X4</t>
  </si>
  <si>
    <t>3723-0</t>
  </si>
  <si>
    <t>JPB4V020</t>
  </si>
  <si>
    <t>NIRIKSHIT SHYAM SUNDER SHAH</t>
  </si>
  <si>
    <t>NIRIKSHIT@YAHOO.COM</t>
  </si>
  <si>
    <t>3725-0</t>
  </si>
  <si>
    <t>JPE4V007</t>
  </si>
  <si>
    <t>TAMER MOHAMED ISMAIL FARAG WOHBA</t>
  </si>
  <si>
    <t>3726-0</t>
  </si>
  <si>
    <t>JPE4V008</t>
  </si>
  <si>
    <t>3727-0</t>
  </si>
  <si>
    <t>JPE4V009</t>
  </si>
  <si>
    <t>MAHDI ALI AZHARIAN</t>
  </si>
  <si>
    <t>04-2210264</t>
  </si>
  <si>
    <t>drsep.deh42@yahoo.com</t>
  </si>
  <si>
    <t>050-1564747</t>
  </si>
  <si>
    <t>3728-0</t>
  </si>
  <si>
    <t>JPE4V010</t>
  </si>
  <si>
    <t>Aswad Holding LTD</t>
  </si>
  <si>
    <t>3729-0</t>
  </si>
  <si>
    <t>JPE4V011</t>
  </si>
  <si>
    <t>DIANA MARQUEZ LIUSIE</t>
  </si>
  <si>
    <t>DLIUSIE1@GMAIL.COM</t>
  </si>
  <si>
    <t>971|55-9716060</t>
  </si>
  <si>
    <t>DONALD LIUSIE</t>
  </si>
  <si>
    <t>3730-0</t>
  </si>
  <si>
    <t>JPE4V012</t>
  </si>
  <si>
    <t>MAQBOOL HUSSAIN RASUL</t>
  </si>
  <si>
    <t>3731-0</t>
  </si>
  <si>
    <t>JPE4V013</t>
  </si>
  <si>
    <t>3732-0</t>
  </si>
  <si>
    <t>JPE4V014</t>
  </si>
  <si>
    <t>MAHESH GUPTA PYARE LAL GUPTA</t>
  </si>
  <si>
    <t>971|55-5717205</t>
  </si>
  <si>
    <t>3733-0</t>
  </si>
  <si>
    <t>JPE4V015</t>
  </si>
  <si>
    <t>MUSTAFA AHMED</t>
  </si>
  <si>
    <t>971|569578182</t>
  </si>
  <si>
    <t>971|56-9578182</t>
  </si>
  <si>
    <t>IRAM KHAN</t>
  </si>
  <si>
    <t>3734-0</t>
  </si>
  <si>
    <t>JPE4V016</t>
  </si>
  <si>
    <t>HEMANT KUMAR PATEL</t>
  </si>
  <si>
    <t>3735-0</t>
  </si>
  <si>
    <t>JPE4V017</t>
  </si>
  <si>
    <t>VANITA SUNEJA W/O SUMAN KUMAR SUNEJA</t>
  </si>
  <si>
    <t>SUMAN KUMAR SUNEJA</t>
  </si>
  <si>
    <t>suneja@murano.ae</t>
  </si>
  <si>
    <t>3736-0</t>
  </si>
  <si>
    <t>JPE4V018</t>
  </si>
  <si>
    <t>MOHAMED ABDELWAHAB ELDAWI AHMAD</t>
  </si>
  <si>
    <t>eldawi@live.com</t>
  </si>
  <si>
    <t>971|504566777</t>
  </si>
  <si>
    <t>3737-0</t>
  </si>
  <si>
    <t>JPE4V019</t>
  </si>
  <si>
    <t>MUHAMMED ALI SABAH MAHMOUD</t>
  </si>
  <si>
    <t>971|50-9786213</t>
  </si>
  <si>
    <t>3738-0</t>
  </si>
  <si>
    <t>JPE4V020</t>
  </si>
  <si>
    <t>NATHALIE MARION ANNE AMIELUSAGE AMIEL FERRAULT</t>
  </si>
  <si>
    <t>971|55-2901189</t>
  </si>
  <si>
    <t>971|0552901189</t>
  </si>
  <si>
    <t>STEPHANE DANIEL ALAIN FERRAULT</t>
  </si>
  <si>
    <t>3739-0</t>
  </si>
  <si>
    <t>JPE4V021</t>
  </si>
  <si>
    <t>KIEVE DOMINIC PINTO</t>
  </si>
  <si>
    <t>971|50-8183912</t>
  </si>
  <si>
    <t>3740-0</t>
  </si>
  <si>
    <t>JPE4V022</t>
  </si>
  <si>
    <t>CHIRAG SINGAL</t>
  </si>
  <si>
    <t>3741-0</t>
  </si>
  <si>
    <t>JPE4V023</t>
  </si>
  <si>
    <t>MAHA KADHIM JAWAD AL MOHSEN [DXB/V1943]</t>
  </si>
  <si>
    <t>3742-0</t>
  </si>
  <si>
    <t>JPE4V024</t>
  </si>
  <si>
    <t>HamidReza Ahmed Kamali</t>
  </si>
  <si>
    <t>3743-0</t>
  </si>
  <si>
    <t>JPE4V025</t>
  </si>
  <si>
    <t>HENDRINA KHAN</t>
  </si>
  <si>
    <t>DINA KHAN</t>
  </si>
  <si>
    <t>3744-0</t>
  </si>
  <si>
    <t>JPE4V026</t>
  </si>
  <si>
    <t>3745-0</t>
  </si>
  <si>
    <t>JPE4V027</t>
  </si>
  <si>
    <t>MEENA MISTRY</t>
  </si>
  <si>
    <t>BYRAMJI MONECK JAVAT</t>
  </si>
  <si>
    <t>BYRAM@UNIWORLDFZE.COM</t>
  </si>
  <si>
    <t>3746-0</t>
  </si>
  <si>
    <t>JPE4V028</t>
  </si>
  <si>
    <t>MATEEN BEG</t>
  </si>
  <si>
    <t>3747-0</t>
  </si>
  <si>
    <t>JPE4V029</t>
  </si>
  <si>
    <t>ABDEL RAUF ADNAN AHMAD EL BITAR</t>
  </si>
  <si>
    <t>3748-0</t>
  </si>
  <si>
    <t>JPE4V030</t>
  </si>
  <si>
    <t>ITIDAL I O TOTAH</t>
  </si>
  <si>
    <t>DEEMAH ALSHUAIBI</t>
  </si>
  <si>
    <t>3749-0</t>
  </si>
  <si>
    <t>JPE4V031</t>
  </si>
  <si>
    <t>ANURAAG NARENDRANATH SINHA</t>
  </si>
  <si>
    <t>3750-0</t>
  </si>
  <si>
    <t>JPE4V032</t>
  </si>
  <si>
    <t>RACHNA KAPUR</t>
  </si>
  <si>
    <t>04/3619638</t>
  </si>
  <si>
    <t>kapur70@gmail.com</t>
  </si>
  <si>
    <t>3751-0</t>
  </si>
  <si>
    <t>JPE4V033</t>
  </si>
  <si>
    <t>RAFI NEIRO</t>
  </si>
  <si>
    <t>neiro@nanomedicaldubai.com</t>
  </si>
  <si>
    <t>971|50-1514533</t>
  </si>
  <si>
    <t>49|1514533353</t>
  </si>
  <si>
    <t>3752-0</t>
  </si>
  <si>
    <t>JPE4V034</t>
  </si>
  <si>
    <t>MEHAR ANGEEZ ABBAS</t>
  </si>
  <si>
    <t>3753-0</t>
  </si>
  <si>
    <t>JPE4V035</t>
  </si>
  <si>
    <t>RAKESH SHANTILAL SHAH</t>
  </si>
  <si>
    <t>NEETU SHAH</t>
  </si>
  <si>
    <t>3754-0</t>
  </si>
  <si>
    <t>JPE4V036</t>
  </si>
  <si>
    <t>AAREMS HOLDINGS LIMITED</t>
  </si>
  <si>
    <t>3755-0</t>
  </si>
  <si>
    <t>JPE4V037</t>
  </si>
  <si>
    <t>3756-0</t>
  </si>
  <si>
    <t>JPE4V038</t>
  </si>
  <si>
    <t>3757-0</t>
  </si>
  <si>
    <t>JPE4V039</t>
  </si>
  <si>
    <t>GEORGIOS MANOLIS</t>
  </si>
  <si>
    <t>3758-0</t>
  </si>
  <si>
    <t>JPE4V040</t>
  </si>
  <si>
    <t>3759-0</t>
  </si>
  <si>
    <t>JPE4V041</t>
  </si>
  <si>
    <t>KHEDHEYR KADHIM BURHAN</t>
  </si>
  <si>
    <t>971|50-7035967</t>
  </si>
  <si>
    <t>964|7035967</t>
  </si>
  <si>
    <t>3760-0</t>
  </si>
  <si>
    <t>JPE4V042</t>
  </si>
  <si>
    <t>MANOJ KUMAR SHAH</t>
  </si>
  <si>
    <t>971|50-4551240</t>
  </si>
  <si>
    <t>3761-0</t>
  </si>
  <si>
    <t>JPE4V043</t>
  </si>
  <si>
    <t>FADI MOIN MOUKADDEM</t>
  </si>
  <si>
    <t>971|566861822</t>
  </si>
  <si>
    <t>971|56-6861822</t>
  </si>
  <si>
    <t>ROULA EL ABIAD</t>
  </si>
  <si>
    <t>971|56861822</t>
  </si>
  <si>
    <t>971|56-861822</t>
  </si>
  <si>
    <t>3762-0</t>
  </si>
  <si>
    <t>JPE4V044</t>
  </si>
  <si>
    <t>3763-0</t>
  </si>
  <si>
    <t>JPE4V045</t>
  </si>
  <si>
    <t>poladaras@hotmail.com</t>
  </si>
  <si>
    <t>3764-0</t>
  </si>
  <si>
    <t>JPE4V046</t>
  </si>
  <si>
    <t>3765-0</t>
  </si>
  <si>
    <t>JPE4V047</t>
  </si>
  <si>
    <t>MOHAMMED AHMAD MUSA AZAB</t>
  </si>
  <si>
    <t>971|50-6515647</t>
  </si>
  <si>
    <t>3766-0</t>
  </si>
  <si>
    <t>JPE4V048</t>
  </si>
  <si>
    <t>MINA MAHMOUD SADRPOUR</t>
  </si>
  <si>
    <t>EZATOLLAH NEMATI</t>
  </si>
  <si>
    <t>EZATNEMATI@GAMIL.COM</t>
  </si>
  <si>
    <t>971|50-9710435</t>
  </si>
  <si>
    <t>971|9710435901</t>
  </si>
  <si>
    <t>3767-0</t>
  </si>
  <si>
    <t>JPE4V049</t>
  </si>
  <si>
    <t>OUSSAMA MANSOUR</t>
  </si>
  <si>
    <t>971|50-2047269</t>
  </si>
  <si>
    <t>971|2047269</t>
  </si>
  <si>
    <t>3768-0</t>
  </si>
  <si>
    <t>JPE4V050</t>
  </si>
  <si>
    <t>HEMANT SHANTILAL MEHTA</t>
  </si>
  <si>
    <t>3769-0</t>
  </si>
  <si>
    <t>JPE4V051</t>
  </si>
  <si>
    <t>FLORIAN MIKAEL CEDRIC BOURGES SEVENIER</t>
  </si>
  <si>
    <t>3770-0</t>
  </si>
  <si>
    <t>JPE4V052</t>
  </si>
  <si>
    <t>SHAHZAD ALI KHAN</t>
  </si>
  <si>
    <t>3771-0</t>
  </si>
  <si>
    <t>JPE4V053</t>
  </si>
  <si>
    <t>SEEMA ARJUN KHATRI</t>
  </si>
  <si>
    <t>971|00</t>
  </si>
  <si>
    <t>SINGHNIKUNY13@GMAIL.COM</t>
  </si>
  <si>
    <t>971|50-2416979</t>
  </si>
  <si>
    <t>971|9115906</t>
  </si>
  <si>
    <t>3772-0</t>
  </si>
  <si>
    <t>JPE4V054</t>
  </si>
  <si>
    <t>MUNTAHA WARRAYAT</t>
  </si>
  <si>
    <t>AL CLARK</t>
  </si>
  <si>
    <t>971|50-4463698</t>
  </si>
  <si>
    <t>3773-0</t>
  </si>
  <si>
    <t>JPE4V055</t>
  </si>
  <si>
    <t>MANSOOR ALI CHAUDHRY</t>
  </si>
  <si>
    <t>3774-0</t>
  </si>
  <si>
    <t>JPE4V056</t>
  </si>
  <si>
    <t>NANCY ISTANBOULLI</t>
  </si>
  <si>
    <t>3775-0</t>
  </si>
  <si>
    <t>JPE4V057</t>
  </si>
  <si>
    <t>3776-0</t>
  </si>
  <si>
    <t>JPE4V058</t>
  </si>
  <si>
    <t>ZIA UDDIN AQA JAN(DXB/V3425(</t>
  </si>
  <si>
    <t>3777-0</t>
  </si>
  <si>
    <t>JPE4V059</t>
  </si>
  <si>
    <t>HEMANT KUMAR RAMESH AIDASANI</t>
  </si>
  <si>
    <t>971|543551392</t>
  </si>
  <si>
    <t>971|54-3551392</t>
  </si>
  <si>
    <t>971|0097155</t>
  </si>
  <si>
    <t>DIPTY HEMANT KUMAR AIDASANI</t>
  </si>
  <si>
    <t>3778-0</t>
  </si>
  <si>
    <t>JPE4V060</t>
  </si>
  <si>
    <t>MOVVA RAMAKARISHNA</t>
  </si>
  <si>
    <t>ramkiisd@eim.ae</t>
  </si>
  <si>
    <t>3779-0</t>
  </si>
  <si>
    <t>JPE4V061</t>
  </si>
  <si>
    <t>DHAFIR MOHAMED AL OBAIDI</t>
  </si>
  <si>
    <t>971|559248777</t>
  </si>
  <si>
    <t>971|55-9248777</t>
  </si>
  <si>
    <t>3780-0</t>
  </si>
  <si>
    <t>JPE4V062</t>
  </si>
  <si>
    <t>SYED JALALUDDIN</t>
  </si>
  <si>
    <t>971|50-0000</t>
  </si>
  <si>
    <t>3781-0</t>
  </si>
  <si>
    <t>JPE5V001</t>
  </si>
  <si>
    <t>3782-0</t>
  </si>
  <si>
    <t>JPE5V002</t>
  </si>
  <si>
    <t>MAMTA ASHOK BHATIA</t>
  </si>
  <si>
    <t>ashok001@eim.ae</t>
  </si>
  <si>
    <t>971|55-7158502</t>
  </si>
  <si>
    <t>971|2217736</t>
  </si>
  <si>
    <t>3783-0</t>
  </si>
  <si>
    <t>JPE5V003</t>
  </si>
  <si>
    <t>OMAR HAMA ALI HAMA SALIH</t>
  </si>
  <si>
    <t>3784-0</t>
  </si>
  <si>
    <t>JPE5V004</t>
  </si>
  <si>
    <t>FARRUKH SAEED</t>
  </si>
  <si>
    <t>fsaeed@chevron.com</t>
  </si>
  <si>
    <t>3785-0</t>
  </si>
  <si>
    <t>JPE5V005</t>
  </si>
  <si>
    <t>3786-0</t>
  </si>
  <si>
    <t>JPE5V006</t>
  </si>
  <si>
    <t>3787-0</t>
  </si>
  <si>
    <t>JPE5V007</t>
  </si>
  <si>
    <t>HABIBULRAHMAN AQA JAN (DXB/V2959)</t>
  </si>
  <si>
    <t>3788-0</t>
  </si>
  <si>
    <t>JPE5V008</t>
  </si>
  <si>
    <t>3789-0</t>
  </si>
  <si>
    <t>JPE5V009</t>
  </si>
  <si>
    <t>AMJED SAADI FARAJ MUTHANNA</t>
  </si>
  <si>
    <t>3790-0</t>
  </si>
  <si>
    <t>JPE5V010</t>
  </si>
  <si>
    <t>GIRIDHAR GOPAL KRISHINCHAND BHATIA</t>
  </si>
  <si>
    <t>3606324-04</t>
  </si>
  <si>
    <t>3791-0</t>
  </si>
  <si>
    <t>JPE5V011</t>
  </si>
  <si>
    <t>MANKA KHATRI ASSANDAS KHATRI</t>
  </si>
  <si>
    <t>971|0508429780</t>
  </si>
  <si>
    <t>971|50-8429780</t>
  </si>
  <si>
    <t>3792-0</t>
  </si>
  <si>
    <t>JPE5V012</t>
  </si>
  <si>
    <t>MOBEEN JASSAT</t>
  </si>
  <si>
    <t>971|50-7580568</t>
  </si>
  <si>
    <t>3793-0</t>
  </si>
  <si>
    <t>JPE5V013</t>
  </si>
  <si>
    <t>3794-0</t>
  </si>
  <si>
    <t>JPE5V014</t>
  </si>
  <si>
    <t>3795-0</t>
  </si>
  <si>
    <t>JPE5V015</t>
  </si>
  <si>
    <t>SAWLANI SUNIL NARAIN SAWLANI</t>
  </si>
  <si>
    <t>SUNIL@RADINTDUBAI.COM</t>
  </si>
  <si>
    <t>971|55-4476322</t>
  </si>
  <si>
    <t>3796-0</t>
  </si>
  <si>
    <t>JPE5V016</t>
  </si>
  <si>
    <t>MOKHIGUL OLIMBEKOVA</t>
  </si>
  <si>
    <t>971|558987070</t>
  </si>
  <si>
    <t>971|52-8987070</t>
  </si>
  <si>
    <t>3797-0</t>
  </si>
  <si>
    <t>JPE5V017</t>
  </si>
  <si>
    <t>RAVINDRA KANSAL</t>
  </si>
  <si>
    <t>971|52-9145061</t>
  </si>
  <si>
    <t>971|0529145061</t>
  </si>
  <si>
    <t>3798-0</t>
  </si>
  <si>
    <t>JPE5V018</t>
  </si>
  <si>
    <t>3799-0</t>
  </si>
  <si>
    <t>JPE5V019</t>
  </si>
  <si>
    <t>3800-0</t>
  </si>
  <si>
    <t>JPE5V020</t>
  </si>
  <si>
    <t>971|508734873</t>
  </si>
  <si>
    <t>971|50-8734873</t>
  </si>
  <si>
    <t>3801-0</t>
  </si>
  <si>
    <t>JPE5V021</t>
  </si>
  <si>
    <t>3802-0</t>
  </si>
  <si>
    <t>JPE5V022</t>
  </si>
  <si>
    <t>LAITH ISMAIL RIDHA</t>
  </si>
  <si>
    <t>3803-0</t>
  </si>
  <si>
    <t>JPE5V023</t>
  </si>
  <si>
    <t>FAEZ ABDULATTEEF ABDULBAQI ALMUNDHERI</t>
  </si>
  <si>
    <t>971|50-2488352</t>
  </si>
  <si>
    <t>971|502488352</t>
  </si>
  <si>
    <t>3804-0</t>
  </si>
  <si>
    <t>JPE5V024</t>
  </si>
  <si>
    <t>AKEEL ABDUL RAZZAK</t>
  </si>
  <si>
    <t>akrazzak2002@yahoo.ca</t>
  </si>
  <si>
    <t>971|50-9715058</t>
  </si>
  <si>
    <t>971|0850</t>
  </si>
  <si>
    <t>3805-0</t>
  </si>
  <si>
    <t>JPE5V025</t>
  </si>
  <si>
    <t>DEVANAND BULANI</t>
  </si>
  <si>
    <t>971|50-6407911</t>
  </si>
  <si>
    <t>971|6407911</t>
  </si>
  <si>
    <t>3806-0</t>
  </si>
  <si>
    <t>JPE5V026</t>
  </si>
  <si>
    <t>WAEL ALSAAFIN</t>
  </si>
  <si>
    <t>3807-0</t>
  </si>
  <si>
    <t>JPE5V027</t>
  </si>
  <si>
    <t>3808-0</t>
  </si>
  <si>
    <t>JPE5V028</t>
  </si>
  <si>
    <t>SOHAIL RAZA ABDUL GHAFFAR</t>
  </si>
  <si>
    <t>971|50-3947857</t>
  </si>
  <si>
    <t>971|0097150465</t>
  </si>
  <si>
    <t>3809-0</t>
  </si>
  <si>
    <t>JPE5V029</t>
  </si>
  <si>
    <t>3810-0</t>
  </si>
  <si>
    <t>JPE5V030</t>
  </si>
  <si>
    <t>SHAKAR MOHD SALEH</t>
  </si>
  <si>
    <t>3811-0</t>
  </si>
  <si>
    <t>JPE5V031</t>
  </si>
  <si>
    <t>SALEH MOHD LALA GUL</t>
  </si>
  <si>
    <t>3812-0</t>
  </si>
  <si>
    <t>JPE5V032</t>
  </si>
  <si>
    <t>3813-0</t>
  </si>
  <si>
    <t>JPE5V033</t>
  </si>
  <si>
    <t>SHAUKAT HASSAN</t>
  </si>
  <si>
    <t>shaukat@masgroup.org</t>
  </si>
  <si>
    <t>3814-0</t>
  </si>
  <si>
    <t>JPE5V034</t>
  </si>
  <si>
    <t>ABDULLAH MOHAMMED H ALSOBIAI</t>
  </si>
  <si>
    <t>3815-0</t>
  </si>
  <si>
    <t>JPE5V035</t>
  </si>
  <si>
    <t>MAHAM IRFAN PARDESI</t>
  </si>
  <si>
    <t>971|55-5201073</t>
  </si>
  <si>
    <t>971|555201073</t>
  </si>
  <si>
    <t>3816-0</t>
  </si>
  <si>
    <t>JPE5V036</t>
  </si>
  <si>
    <t>3817-0</t>
  </si>
  <si>
    <t>JPE5V037</t>
  </si>
  <si>
    <t>MARYAM HAMZA RAZA HAMZA(DXB/V3939)</t>
  </si>
  <si>
    <t>3818-0</t>
  </si>
  <si>
    <t>JPE5V038</t>
  </si>
  <si>
    <t>MUSTAFA M M AL KAISSI</t>
  </si>
  <si>
    <t>3819-0</t>
  </si>
  <si>
    <t>JPF3VL001</t>
  </si>
  <si>
    <t>AHMED EBRAHEIM MOHAMED YOUSUF AL ALI</t>
  </si>
  <si>
    <t>AHMED@HOTMAIL.COM</t>
  </si>
  <si>
    <t>971|56-1135331</t>
  </si>
  <si>
    <t>JPS4VL001</t>
  </si>
  <si>
    <t>JASMINA VECERINA</t>
  </si>
  <si>
    <t>JASMINA@HOTMAIL.COM</t>
  </si>
  <si>
    <t>Serbia</t>
  </si>
  <si>
    <t>3820-0</t>
  </si>
  <si>
    <t>JPS4VL002</t>
  </si>
  <si>
    <t>JPF3VL002</t>
  </si>
  <si>
    <t>3821-0</t>
  </si>
  <si>
    <t>JPF3VL003</t>
  </si>
  <si>
    <t>FAXIAN YE</t>
  </si>
  <si>
    <t>yfxlq@hotmail.com</t>
  </si>
  <si>
    <t>971|51-0086137</t>
  </si>
  <si>
    <t>971|504507138</t>
  </si>
  <si>
    <t>JPS4VL003</t>
  </si>
  <si>
    <t>3822-0</t>
  </si>
  <si>
    <t>JPS4VL004</t>
  </si>
  <si>
    <t>JPF3VL004</t>
  </si>
  <si>
    <t>MARK MATTHEW FADEL</t>
  </si>
  <si>
    <t>971|50-4583552</t>
  </si>
  <si>
    <t>971|4583552</t>
  </si>
  <si>
    <t>3823-0</t>
  </si>
  <si>
    <t>JPS4VL005</t>
  </si>
  <si>
    <t>JPF3VL005</t>
  </si>
  <si>
    <t>3824-0</t>
  </si>
  <si>
    <t>JPF3VL006</t>
  </si>
  <si>
    <t>JPS4VL006</t>
  </si>
  <si>
    <t>3825-0</t>
  </si>
  <si>
    <t>JPS4VL007</t>
  </si>
  <si>
    <t>JPF3VL007</t>
  </si>
  <si>
    <t>3826-0</t>
  </si>
  <si>
    <t>JPF3VL009</t>
  </si>
  <si>
    <t>JPS4VL009</t>
  </si>
  <si>
    <t>3827-0</t>
  </si>
  <si>
    <t>JPF3VL010</t>
  </si>
  <si>
    <t>JPS4VL010</t>
  </si>
  <si>
    <t>3828-0</t>
  </si>
  <si>
    <t>JPF3VL011</t>
  </si>
  <si>
    <t>NOUHAD EL MASRI</t>
  </si>
  <si>
    <t>971|50-6501540</t>
  </si>
  <si>
    <t>JPS4VL011</t>
  </si>
  <si>
    <t>JEREMY EDWARD HANNINGTON AWORI</t>
  </si>
  <si>
    <t>971|0509555013</t>
  </si>
  <si>
    <t>JEREMY@GMAIL.COM</t>
  </si>
  <si>
    <t>971|50-9555013</t>
  </si>
  <si>
    <t>254|2888044</t>
  </si>
  <si>
    <t>3829-0</t>
  </si>
  <si>
    <t>JPF3VL012</t>
  </si>
  <si>
    <t>JPS4VL012</t>
  </si>
  <si>
    <t>MUHAMMAD SOHAIL DAYALA</t>
  </si>
  <si>
    <t>3830-0</t>
  </si>
  <si>
    <t>JPF3VL013</t>
  </si>
  <si>
    <t>JPS4VL013</t>
  </si>
  <si>
    <t>3831-0</t>
  </si>
  <si>
    <t>JPS4VL014</t>
  </si>
  <si>
    <t>JPF3VL014</t>
  </si>
  <si>
    <t>3832-0</t>
  </si>
  <si>
    <t>JPS4VL015</t>
  </si>
  <si>
    <t>JPF3VL015</t>
  </si>
  <si>
    <t>3833-0</t>
  </si>
  <si>
    <t>JPF3VL016</t>
  </si>
  <si>
    <t>JPS4VL016</t>
  </si>
  <si>
    <t>3834-0</t>
  </si>
  <si>
    <t>JPS4VL017</t>
  </si>
  <si>
    <t>JPF3VL017</t>
  </si>
  <si>
    <t>3835-0</t>
  </si>
  <si>
    <t>JPS4VL018</t>
  </si>
  <si>
    <t>JPF3VL018</t>
  </si>
  <si>
    <t>3836-0</t>
  </si>
  <si>
    <t>JPS4VL019</t>
  </si>
  <si>
    <t>AHMED NASIR</t>
  </si>
  <si>
    <t>971|5424365</t>
  </si>
  <si>
    <t>ahmed0361@hotmail.co.uk</t>
  </si>
  <si>
    <t>971|55-5424365</t>
  </si>
  <si>
    <t>JPF3VL019</t>
  </si>
  <si>
    <t>3837-0</t>
  </si>
  <si>
    <t>JPF3VL020</t>
  </si>
  <si>
    <t>3905728-04</t>
  </si>
  <si>
    <t>JPS4VL020</t>
  </si>
  <si>
    <t>3838-0</t>
  </si>
  <si>
    <t>JPF3VL021</t>
  </si>
  <si>
    <t>JPS4VL021</t>
  </si>
  <si>
    <t>3839-0</t>
  </si>
  <si>
    <t>JPS4VL022</t>
  </si>
  <si>
    <t>IMRAN MUHAMMAD HAROON</t>
  </si>
  <si>
    <t>GWG@EMIRATES.NET.AE</t>
  </si>
  <si>
    <t>971|50-3559911</t>
  </si>
  <si>
    <t>971|3559911</t>
  </si>
  <si>
    <t>JPF3VL022</t>
  </si>
  <si>
    <t>3840-0</t>
  </si>
  <si>
    <t>JPF3VL023</t>
  </si>
  <si>
    <t>JPS4VL023</t>
  </si>
  <si>
    <t>3841-0</t>
  </si>
  <si>
    <t>JPF3VL024</t>
  </si>
  <si>
    <t>JPS4VL024</t>
  </si>
  <si>
    <t>3842-0</t>
  </si>
  <si>
    <t>JPF3VL025</t>
  </si>
  <si>
    <t>JPS4VL025</t>
  </si>
  <si>
    <t>3843-0</t>
  </si>
  <si>
    <t>JPF3VL026</t>
  </si>
  <si>
    <t>SANGEETA DESAI</t>
  </si>
  <si>
    <t>JPS4VL026</t>
  </si>
  <si>
    <t>3844-0</t>
  </si>
  <si>
    <t>JPF3VL027</t>
  </si>
  <si>
    <t>AMAL SHAMAS</t>
  </si>
  <si>
    <t>amal_shamas@hotmail.com</t>
  </si>
  <si>
    <t>971|55-3106030</t>
  </si>
  <si>
    <t>JPS4VL027</t>
  </si>
  <si>
    <t>3845-0</t>
  </si>
  <si>
    <t>JPF3VL028</t>
  </si>
  <si>
    <t>JPS4VL028</t>
  </si>
  <si>
    <t>3846-0</t>
  </si>
  <si>
    <t>JPS4VL029</t>
  </si>
  <si>
    <t>JPF3VL029</t>
  </si>
  <si>
    <t>3847-0</t>
  </si>
  <si>
    <t>JPF3VL030</t>
  </si>
  <si>
    <t>SURESH SATWANI</t>
  </si>
  <si>
    <t>satyash@gmail.com</t>
  </si>
  <si>
    <t>971|50-6528098</t>
  </si>
  <si>
    <t>971|0506528098</t>
  </si>
  <si>
    <t>JPS4VL030</t>
  </si>
  <si>
    <t>3848-0</t>
  </si>
  <si>
    <t>JPF3VL031</t>
  </si>
  <si>
    <t>SHIVAM SHARMA</t>
  </si>
  <si>
    <t>ASHFAQUEG@MASHREG.COM</t>
  </si>
  <si>
    <t>971|50-6610125</t>
  </si>
  <si>
    <t>971|6610125</t>
  </si>
  <si>
    <t>JPS4VL031</t>
  </si>
  <si>
    <t>3849-0</t>
  </si>
  <si>
    <t>JPS4VL032</t>
  </si>
  <si>
    <t>JPF3VL032</t>
  </si>
  <si>
    <t>3850-0</t>
  </si>
  <si>
    <t>JPS4VL033</t>
  </si>
  <si>
    <t>JPF3VL033</t>
  </si>
  <si>
    <t>3851-0</t>
  </si>
  <si>
    <t>JPF3VL034</t>
  </si>
  <si>
    <t>JPS4VL034</t>
  </si>
  <si>
    <t>3852-0</t>
  </si>
  <si>
    <t>JPS4VL035</t>
  </si>
  <si>
    <t>JPF3VL035</t>
  </si>
  <si>
    <t>3853-0</t>
  </si>
  <si>
    <t>JPS4VL036</t>
  </si>
  <si>
    <t>JPF3VL036</t>
  </si>
  <si>
    <t>3854-0</t>
  </si>
  <si>
    <t>JPF3VL037</t>
  </si>
  <si>
    <t>JPS4VL037</t>
  </si>
  <si>
    <t>3855-0</t>
  </si>
  <si>
    <t>JPS4VL038</t>
  </si>
  <si>
    <t>JPF3VL038</t>
  </si>
  <si>
    <t>LYAN ALI BAKHSHANDEH</t>
  </si>
  <si>
    <t>971|0506516238</t>
  </si>
  <si>
    <t>971|50-0506516</t>
  </si>
  <si>
    <t>3856-0</t>
  </si>
  <si>
    <t>JPF3VL039</t>
  </si>
  <si>
    <t>JPS4VL039</t>
  </si>
  <si>
    <t>3857-0</t>
  </si>
  <si>
    <t>JPF3VL040</t>
  </si>
  <si>
    <t>SHIRAZ KHAN</t>
  </si>
  <si>
    <t>JPS4VL040</t>
  </si>
  <si>
    <t>3858-0</t>
  </si>
  <si>
    <t>JPF3VL041</t>
  </si>
  <si>
    <t>JPS4VL041</t>
  </si>
  <si>
    <t>3859-0</t>
  </si>
  <si>
    <t>JPF3VL042</t>
  </si>
  <si>
    <t>JPS4VL042</t>
  </si>
  <si>
    <t>3860-0</t>
  </si>
  <si>
    <t>JPS4VL043</t>
  </si>
  <si>
    <t>JPF3VL043</t>
  </si>
  <si>
    <t>3861-0</t>
  </si>
  <si>
    <t>JPS4VL044</t>
  </si>
  <si>
    <t>MAHER MANSOUR</t>
  </si>
  <si>
    <t>971|559221292</t>
  </si>
  <si>
    <t>maher.mansours@gmail.com</t>
  </si>
  <si>
    <t>971|55-9221292</t>
  </si>
  <si>
    <t>JPF3VL044</t>
  </si>
  <si>
    <t>3862-0</t>
  </si>
  <si>
    <t>JPS4VL045</t>
  </si>
  <si>
    <t>JPF3VL045</t>
  </si>
  <si>
    <t>3863-0</t>
  </si>
  <si>
    <t>JPS4VL046</t>
  </si>
  <si>
    <t>3864-0</t>
  </si>
  <si>
    <t>JPS4VL047</t>
  </si>
  <si>
    <t>HASSAN YOUSEF A ALOTAIBI</t>
  </si>
  <si>
    <t>971|50-6542258</t>
  </si>
  <si>
    <t>971|506542258</t>
  </si>
  <si>
    <t>JPF3VL047</t>
  </si>
  <si>
    <t>3865-0</t>
  </si>
  <si>
    <t>JPF3VL048</t>
  </si>
  <si>
    <t>ARVIND SARIN</t>
  </si>
  <si>
    <t>971|50-0506539</t>
  </si>
  <si>
    <t>971|0506539142</t>
  </si>
  <si>
    <t>JPS4V048</t>
  </si>
  <si>
    <t>3866-0</t>
  </si>
  <si>
    <t>JPS4V049</t>
  </si>
  <si>
    <t>JPF3VL049</t>
  </si>
  <si>
    <t>3867-0</t>
  </si>
  <si>
    <t>JPS4V050</t>
  </si>
  <si>
    <t>JPF3VL050</t>
  </si>
  <si>
    <t>3872-0</t>
  </si>
  <si>
    <t>JPS4V055</t>
  </si>
  <si>
    <t>JPF3VL055</t>
  </si>
  <si>
    <t>3873-0</t>
  </si>
  <si>
    <t>JPF3VL056</t>
  </si>
  <si>
    <t>JPS4V056</t>
  </si>
  <si>
    <t>3874-0</t>
  </si>
  <si>
    <t>JPS4V057</t>
  </si>
  <si>
    <t>ABDUL RAHAMAN MOHAMMAD</t>
  </si>
  <si>
    <t>ARAHAMAN@GULFITD.COM</t>
  </si>
  <si>
    <t>971|50-9388948</t>
  </si>
  <si>
    <t>971|509388948</t>
  </si>
  <si>
    <t>JPF3VL057</t>
  </si>
  <si>
    <t>3875-0</t>
  </si>
  <si>
    <t>JPS4V058</t>
  </si>
  <si>
    <t>JPF3VL058</t>
  </si>
  <si>
    <t>AZHAR HEMOUD</t>
  </si>
  <si>
    <t>CBINOTIFICATION.MORTGAGES@CBI.AE</t>
  </si>
  <si>
    <t>971|50-2977766</t>
  </si>
  <si>
    <t>3876-0</t>
  </si>
  <si>
    <t>JPF3VL059</t>
  </si>
  <si>
    <t>JPS4V059</t>
  </si>
  <si>
    <t>AMR AHMED MOHAMED ELGENEIDY</t>
  </si>
  <si>
    <t>971|56-2162211</t>
  </si>
  <si>
    <t>971|562162211</t>
  </si>
  <si>
    <t>3877-0</t>
  </si>
  <si>
    <t>JPF3VL060</t>
  </si>
  <si>
    <t>JPS4V060</t>
  </si>
  <si>
    <t>NISRINE EL KHOURY</t>
  </si>
  <si>
    <t>3878-0</t>
  </si>
  <si>
    <t>JPF3VL061</t>
  </si>
  <si>
    <t>JPS4V061</t>
  </si>
  <si>
    <t>KERSI HOMI PATEL</t>
  </si>
  <si>
    <t>971|0507745363</t>
  </si>
  <si>
    <t>971|50-7745363</t>
  </si>
  <si>
    <t>3879-0</t>
  </si>
  <si>
    <t>JPF3VL062</t>
  </si>
  <si>
    <t>JPS4V062</t>
  </si>
  <si>
    <t>3880-0</t>
  </si>
  <si>
    <t>JPS4V063</t>
  </si>
  <si>
    <t>MOHAMED ABDULLA ALI AL OBEIDLI</t>
  </si>
  <si>
    <t>971|50-7700002</t>
  </si>
  <si>
    <t>JPF3VL063</t>
  </si>
  <si>
    <t>3881-0</t>
  </si>
  <si>
    <t>JPF3VL064</t>
  </si>
  <si>
    <t>JPS4V064</t>
  </si>
  <si>
    <t>3882-0</t>
  </si>
  <si>
    <t>JPS4V065</t>
  </si>
  <si>
    <t>ASHA RODRIGUES</t>
  </si>
  <si>
    <t>JPF3VL065</t>
  </si>
  <si>
    <t>3883-0</t>
  </si>
  <si>
    <t>JPS4V066</t>
  </si>
  <si>
    <t>CHHAYA DUNGARWAL</t>
  </si>
  <si>
    <t>971|50-6454923</t>
  </si>
  <si>
    <t>971|645492333</t>
  </si>
  <si>
    <t>JPF3VL066</t>
  </si>
  <si>
    <t>MANEESH DUNGARWAL</t>
  </si>
  <si>
    <t>3884-0</t>
  </si>
  <si>
    <t>JPF3VL067</t>
  </si>
  <si>
    <t>JPS4V067</t>
  </si>
  <si>
    <t>3885-0</t>
  </si>
  <si>
    <t>JPS4V068</t>
  </si>
  <si>
    <t>JPF3VL068</t>
  </si>
  <si>
    <t>3886-0</t>
  </si>
  <si>
    <t>JPF3VL069</t>
  </si>
  <si>
    <t>JPS4V069</t>
  </si>
  <si>
    <t>3887-0</t>
  </si>
  <si>
    <t>JPF3VL070</t>
  </si>
  <si>
    <t>MICHAIL FIORENTZIS</t>
  </si>
  <si>
    <t>INTERGVLFAD@MAILME.AE</t>
  </si>
  <si>
    <t>971|50-6420694</t>
  </si>
  <si>
    <t>971|556420694</t>
  </si>
  <si>
    <t>JPS4V070</t>
  </si>
  <si>
    <t>3888-0</t>
  </si>
  <si>
    <t>JPF3VL071</t>
  </si>
  <si>
    <t>JPS4V071</t>
  </si>
  <si>
    <t>3889-0</t>
  </si>
  <si>
    <t>JPF3VL072</t>
  </si>
  <si>
    <t>JPS4V072</t>
  </si>
  <si>
    <t>3890-0</t>
  </si>
  <si>
    <t>JPF3VL073</t>
  </si>
  <si>
    <t>MOHAMMED ABDULAMIR MOHAMAD ALBAKER</t>
  </si>
  <si>
    <t>971|509428132</t>
  </si>
  <si>
    <t>sameer.masoudi@gmail.com</t>
  </si>
  <si>
    <t>971|50-6579660</t>
  </si>
  <si>
    <t>JPS4V073</t>
  </si>
  <si>
    <t>3891-0</t>
  </si>
  <si>
    <t>JPS4V074</t>
  </si>
  <si>
    <t>JPF3VL074</t>
  </si>
  <si>
    <t>3892-0</t>
  </si>
  <si>
    <t>JPS4V075</t>
  </si>
  <si>
    <t>JPF3VL075</t>
  </si>
  <si>
    <t>3893-0</t>
  </si>
  <si>
    <t>JPS4V076</t>
  </si>
  <si>
    <t>JPF3VL076</t>
  </si>
  <si>
    <t>3894-0</t>
  </si>
  <si>
    <t>JPS4V077</t>
  </si>
  <si>
    <t>JPF3VL077</t>
  </si>
  <si>
    <t>3895-0</t>
  </si>
  <si>
    <t>JPF3VL078</t>
  </si>
  <si>
    <t>JPS4V078</t>
  </si>
  <si>
    <t>3896-0</t>
  </si>
  <si>
    <t>JPF3VL079</t>
  </si>
  <si>
    <t>JPS4V079</t>
  </si>
  <si>
    <t>3897-0</t>
  </si>
  <si>
    <t>JPS4V080</t>
  </si>
  <si>
    <t>JPF3VL080</t>
  </si>
  <si>
    <t>3898-0</t>
  </si>
  <si>
    <t>JPF3VL081</t>
  </si>
  <si>
    <t>JPS4V081</t>
  </si>
  <si>
    <t>3899-0</t>
  </si>
  <si>
    <t>JPS4V082</t>
  </si>
  <si>
    <t>JPF3VL082</t>
  </si>
  <si>
    <t>3900-0</t>
  </si>
  <si>
    <t>JPS4V083</t>
  </si>
  <si>
    <t>JPF3VL083</t>
  </si>
  <si>
    <t>VINOD SHANTILAL ADANI</t>
  </si>
  <si>
    <t>qw@hotmail.com</t>
  </si>
  <si>
    <t>971|50-6578354</t>
  </si>
  <si>
    <t>3901-0</t>
  </si>
  <si>
    <t>JPS4V084</t>
  </si>
  <si>
    <t>3902-0</t>
  </si>
  <si>
    <t>JPS4V085</t>
  </si>
  <si>
    <t>JPF3VL085</t>
  </si>
  <si>
    <t>3903-0</t>
  </si>
  <si>
    <t>JPS4V086</t>
  </si>
  <si>
    <t>ANIL SHAHRI</t>
  </si>
  <si>
    <t>971|0505583785</t>
  </si>
  <si>
    <t>gobal@gmail.com</t>
  </si>
  <si>
    <t>971|52-9277770</t>
  </si>
  <si>
    <t>971|529277770</t>
  </si>
  <si>
    <t>JPF3VL086</t>
  </si>
  <si>
    <t>3904-0</t>
  </si>
  <si>
    <t>JPF3VL087</t>
  </si>
  <si>
    <t>JPS4V087</t>
  </si>
  <si>
    <t>3905-0</t>
  </si>
  <si>
    <t>JPS4V088</t>
  </si>
  <si>
    <t>PUTHUCODE SUBRAMANYAIYER SHANKARANARAYAN</t>
  </si>
  <si>
    <t>JPF3VL088</t>
  </si>
  <si>
    <t>3906-0</t>
  </si>
  <si>
    <t>JPF3VL089</t>
  </si>
  <si>
    <t>MAY ABDULLATIF H ALABDULLATIF</t>
  </si>
  <si>
    <t>971|52-9294646</t>
  </si>
  <si>
    <t>971|556475634</t>
  </si>
  <si>
    <t>JPS4V089</t>
  </si>
  <si>
    <t>3907-0</t>
  </si>
  <si>
    <t>JPF3VL090</t>
  </si>
  <si>
    <t>JPS4V090</t>
  </si>
  <si>
    <t>3908-0</t>
  </si>
  <si>
    <t>JPF3VL091</t>
  </si>
  <si>
    <t>PANKAJ KUMAR AGGARWAL</t>
  </si>
  <si>
    <t>971|50-5599257</t>
  </si>
  <si>
    <t>JPS4V091</t>
  </si>
  <si>
    <t>3909-0</t>
  </si>
  <si>
    <t>JPF3VL092</t>
  </si>
  <si>
    <t>AHMED S A BEN SASSI</t>
  </si>
  <si>
    <t>abensasi@gmail.com</t>
  </si>
  <si>
    <t>JPS4V092</t>
  </si>
  <si>
    <t>3910-0</t>
  </si>
  <si>
    <t>JPF3VL093</t>
  </si>
  <si>
    <t>JPS4V093</t>
  </si>
  <si>
    <t>3911-0</t>
  </si>
  <si>
    <t>JPF3VL094</t>
  </si>
  <si>
    <t>JPS4V094</t>
  </si>
  <si>
    <t>3912-0</t>
  </si>
  <si>
    <t>JPF3VS001</t>
  </si>
  <si>
    <t>3913-0</t>
  </si>
  <si>
    <t>JPF3VS002</t>
  </si>
  <si>
    <t>FRANCESC XAVIER ANGLADARIERA</t>
  </si>
  <si>
    <t>MERITXELL DOLCET ERTA</t>
  </si>
  <si>
    <t>3914-0</t>
  </si>
  <si>
    <t>JPF3VS003</t>
  </si>
  <si>
    <t>MUNIB MOHAMMED KHAN</t>
  </si>
  <si>
    <t>munib.khan@gmail.com</t>
  </si>
  <si>
    <t>971|52-8006484</t>
  </si>
  <si>
    <t>3915-0</t>
  </si>
  <si>
    <t>JPF3VS004</t>
  </si>
  <si>
    <t>KANCHAN DILIP BULCHANDANANI</t>
  </si>
  <si>
    <t>3916-0</t>
  </si>
  <si>
    <t>JPF3VS005</t>
  </si>
  <si>
    <t>AMBER SHEHZAD</t>
  </si>
  <si>
    <t>971|50-4259600</t>
  </si>
  <si>
    <t>971|504259600</t>
  </si>
  <si>
    <t>3917-0</t>
  </si>
  <si>
    <t>JPF3VS006</t>
  </si>
  <si>
    <t>LORRAINE DICKINSON</t>
  </si>
  <si>
    <t>04/3614422</t>
  </si>
  <si>
    <t>3918-0</t>
  </si>
  <si>
    <t>JPF3VS007</t>
  </si>
  <si>
    <t>NIAZ AHMED SIDDIQUI</t>
  </si>
  <si>
    <t>3919-0</t>
  </si>
  <si>
    <t>JPF3VS008</t>
  </si>
  <si>
    <t>HANY SAMIR SHALABY DEMIANE</t>
  </si>
  <si>
    <t>3920-0</t>
  </si>
  <si>
    <t>JPF3VS009</t>
  </si>
  <si>
    <t>ISAM ALI NAZMALDIN</t>
  </si>
  <si>
    <t>971|55-8070791</t>
  </si>
  <si>
    <t>971|0558070791</t>
  </si>
  <si>
    <t>3921-0</t>
  </si>
  <si>
    <t>JPF3VS010</t>
  </si>
  <si>
    <t>SHI YONGMEI</t>
  </si>
  <si>
    <t>3922-0</t>
  </si>
  <si>
    <t>JPF3VS011</t>
  </si>
  <si>
    <t>RIYAD AHMAD MAHMOOD TAYEM</t>
  </si>
  <si>
    <t>mansoury88@gmail.com</t>
  </si>
  <si>
    <t>971|50-7891199</t>
  </si>
  <si>
    <t>971|506440860</t>
  </si>
  <si>
    <t>3923-0</t>
  </si>
  <si>
    <t>JPF3VS012</t>
  </si>
  <si>
    <t>3924-0</t>
  </si>
  <si>
    <t>JPF3VS014</t>
  </si>
  <si>
    <t>3925-0</t>
  </si>
  <si>
    <t>JPF3VS015</t>
  </si>
  <si>
    <t>3926-0</t>
  </si>
  <si>
    <t>JPF3VS016</t>
  </si>
  <si>
    <t>WBN SALAH HOLDING LIMITED</t>
  </si>
  <si>
    <t>waddah.salah@pwc.com</t>
  </si>
  <si>
    <t>3927-0</t>
  </si>
  <si>
    <t>JPF3VS017</t>
  </si>
  <si>
    <t>3928-0</t>
  </si>
  <si>
    <t>JPF3VS018</t>
  </si>
  <si>
    <t>KAMAXI DIGAMBER VERNEKAR</t>
  </si>
  <si>
    <t>3929-0</t>
  </si>
  <si>
    <t>JPF3VS019</t>
  </si>
  <si>
    <t>MINA MOGHTADERI</t>
  </si>
  <si>
    <t>3617392-04</t>
  </si>
  <si>
    <t>3930-0</t>
  </si>
  <si>
    <t>JPF3VS020</t>
  </si>
  <si>
    <t>SHARON BOSE</t>
  </si>
  <si>
    <t>971|50-6570721</t>
  </si>
  <si>
    <t>3931-0</t>
  </si>
  <si>
    <t>JPF3VS021</t>
  </si>
  <si>
    <t>3932-0</t>
  </si>
  <si>
    <t>JPF3VS022</t>
  </si>
  <si>
    <t>3933-0</t>
  </si>
  <si>
    <t>JPF3VS023</t>
  </si>
  <si>
    <t>AKHIL KUMAR JAIN MANAK CHANDRA JAIN</t>
  </si>
  <si>
    <t>3934-0</t>
  </si>
  <si>
    <t>JPF3VS024</t>
  </si>
  <si>
    <t>3935-0</t>
  </si>
  <si>
    <t>JPF4V001</t>
  </si>
  <si>
    <t>3936-0</t>
  </si>
  <si>
    <t>JPF4V002</t>
  </si>
  <si>
    <t>NASHEER AHAMMAD K SHEIK SHABU SAHEB</t>
  </si>
  <si>
    <t>3937-0</t>
  </si>
  <si>
    <t>JPF4V003</t>
  </si>
  <si>
    <t>SAPNA BHAGCHANDANI</t>
  </si>
  <si>
    <t>RAM BHAGCHANDANI HASHMATAI</t>
  </si>
  <si>
    <t>sb8487@gmail.com</t>
  </si>
  <si>
    <t>971|50-5064572</t>
  </si>
  <si>
    <t>3938-0</t>
  </si>
  <si>
    <t>JPF4V004</t>
  </si>
  <si>
    <t>ASHOK BHAGCHANDANI</t>
  </si>
  <si>
    <t>971|50-6242585</t>
  </si>
  <si>
    <t>971|506242585</t>
  </si>
  <si>
    <t>GAURAV BHAGCHANDANI</t>
  </si>
  <si>
    <t>0@m.m</t>
  </si>
  <si>
    <t>971|52-8227115</t>
  </si>
  <si>
    <t>3939-0</t>
  </si>
  <si>
    <t>JPF4V005</t>
  </si>
  <si>
    <t>ABBASALI SHABBIR HUSEIN</t>
  </si>
  <si>
    <t>TARUK13@HOTMAIL.COM</t>
  </si>
  <si>
    <t>MAHA KAZI</t>
  </si>
  <si>
    <t>3940-0</t>
  </si>
  <si>
    <t>JPF4V006</t>
  </si>
  <si>
    <t>YOUNES MIRZA AGHA ASHHARI</t>
  </si>
  <si>
    <t>971|50-5586760</t>
  </si>
  <si>
    <t>3941-0</t>
  </si>
  <si>
    <t>JPF4V007</t>
  </si>
  <si>
    <t>SHIKHA KHATRI ASSANDAS KHATRI</t>
  </si>
  <si>
    <t>DILIP ARJUN KEWALRAMANI ARJUN KEWALRAMANI</t>
  </si>
  <si>
    <t>3942-0</t>
  </si>
  <si>
    <t>JPF4V008</t>
  </si>
  <si>
    <t>VADIM KIRYUSHIN</t>
  </si>
  <si>
    <t>3943-0</t>
  </si>
  <si>
    <t>JPF4V009</t>
  </si>
  <si>
    <t>3944-0</t>
  </si>
  <si>
    <t>JPF4V010</t>
  </si>
  <si>
    <t>MAZEN ALSAKKA AMINI</t>
  </si>
  <si>
    <t>3945-0</t>
  </si>
  <si>
    <t>JPF4V011</t>
  </si>
  <si>
    <t>4202127-04</t>
  </si>
  <si>
    <t>3946-0</t>
  </si>
  <si>
    <t>JPF4V012</t>
  </si>
  <si>
    <t>3947-0</t>
  </si>
  <si>
    <t>JPF4V013</t>
  </si>
  <si>
    <t>RAZAN FAWAZ MALEK ALMASRI</t>
  </si>
  <si>
    <t>3948-0</t>
  </si>
  <si>
    <t>JPT4V008</t>
  </si>
  <si>
    <t>MARK NAPPER</t>
  </si>
  <si>
    <t>971|50-0505750</t>
  </si>
  <si>
    <t>971|0505750438</t>
  </si>
  <si>
    <t>JPG3VL008</t>
  </si>
  <si>
    <t>3956-0</t>
  </si>
  <si>
    <t>JPW4V074</t>
  </si>
  <si>
    <t>3957-0</t>
  </si>
  <si>
    <t>JPO3VS030X</t>
  </si>
  <si>
    <t>YADOLLAH NEMATOLLAH KHALILI</t>
  </si>
  <si>
    <t>3958-0</t>
  </si>
  <si>
    <t>JPO3VS036X</t>
  </si>
  <si>
    <t>SAKSHI SETHI</t>
  </si>
  <si>
    <t>971|55-5824294</t>
  </si>
  <si>
    <t>971|55824294</t>
  </si>
  <si>
    <t>3961-0</t>
  </si>
  <si>
    <t>JOGINDER PAL SHARMA</t>
  </si>
  <si>
    <t>971|50-6241599</t>
  </si>
  <si>
    <t>971|506241599</t>
  </si>
  <si>
    <t>JPY4VL007</t>
  </si>
  <si>
    <t>3962-0</t>
  </si>
  <si>
    <t>JPY4VL008</t>
  </si>
  <si>
    <t>3963-0</t>
  </si>
  <si>
    <t>JPY4VL009</t>
  </si>
  <si>
    <t xml:space="preserve">exclusive agent with large pool landscaped and pargola </t>
  </si>
  <si>
    <t>3967-0</t>
  </si>
  <si>
    <t>JPS4V051</t>
  </si>
  <si>
    <t>JPF3VL051</t>
  </si>
  <si>
    <t>3968-0</t>
  </si>
  <si>
    <t>JPS4V052</t>
  </si>
  <si>
    <t>JPF3VL052</t>
  </si>
  <si>
    <t>KELIMU TUERXUN</t>
  </si>
  <si>
    <t>971|52-0528883</t>
  </si>
  <si>
    <t>3969-0</t>
  </si>
  <si>
    <t>JPS4V053</t>
  </si>
  <si>
    <t>JPF3VL053</t>
  </si>
  <si>
    <t>3970-0</t>
  </si>
  <si>
    <t>JPS4V054</t>
  </si>
  <si>
    <t>TRENDY INVESTMENTS LIMITED</t>
  </si>
  <si>
    <t>JPF3VL054</t>
  </si>
  <si>
    <t>4003-</t>
  </si>
  <si>
    <t>JP-P7-A</t>
  </si>
  <si>
    <t>4004-</t>
  </si>
  <si>
    <t>JP-P7-B</t>
  </si>
  <si>
    <t>4005-</t>
  </si>
  <si>
    <t>JP-P7-C</t>
  </si>
  <si>
    <t>4006-</t>
  </si>
  <si>
    <t>JPR4VL034</t>
  </si>
  <si>
    <t>4007-</t>
  </si>
  <si>
    <t>MUHAMMAD SHABBIR</t>
  </si>
  <si>
    <t>Rented Y Sector</t>
  </si>
  <si>
    <t>JPY4VL057</t>
  </si>
  <si>
    <t>4008-</t>
  </si>
  <si>
    <t>ARSHAD GULZAR</t>
  </si>
  <si>
    <t>ARSHAD@HOTMAIL.COM</t>
  </si>
  <si>
    <t>971|50-4584138</t>
  </si>
  <si>
    <t>971|4584138</t>
  </si>
  <si>
    <t>JPY4VL058</t>
  </si>
  <si>
    <t>4009-</t>
  </si>
  <si>
    <t>JPY4VL059</t>
  </si>
  <si>
    <t>AMER SAMIR EL HAJJ</t>
  </si>
  <si>
    <t>AMER.ELHAJJ@GMAIL.COM</t>
  </si>
  <si>
    <t>971|55-7596061</t>
  </si>
  <si>
    <t>4010-</t>
  </si>
  <si>
    <t>JPY4VL060</t>
  </si>
  <si>
    <t>4011-</t>
  </si>
  <si>
    <t>jpr4v061</t>
  </si>
  <si>
    <t>JPY4VL061</t>
  </si>
  <si>
    <t>4012-</t>
  </si>
  <si>
    <t>SIBI JOSE</t>
  </si>
  <si>
    <t>2613789-04</t>
  </si>
  <si>
    <t>JPY4VL062</t>
  </si>
  <si>
    <t>HELENA SEBASTIAN SIBI JOSE</t>
  </si>
  <si>
    <t>2613799-04</t>
  </si>
  <si>
    <t>4013-</t>
  </si>
  <si>
    <t>Jumeirah Park Pavilion</t>
  </si>
  <si>
    <t>G</t>
  </si>
  <si>
    <t>4555-</t>
  </si>
  <si>
    <t>JPE3VL001_X</t>
  </si>
  <si>
    <t>4563-</t>
  </si>
  <si>
    <t>JP4H001</t>
  </si>
  <si>
    <t>4564-</t>
  </si>
  <si>
    <t>JP4H002</t>
  </si>
  <si>
    <t>4565-</t>
  </si>
  <si>
    <t>JP4H003</t>
  </si>
  <si>
    <t>4566-</t>
  </si>
  <si>
    <t>JP4H004</t>
  </si>
  <si>
    <t>4567-</t>
  </si>
  <si>
    <t>JP4H005</t>
  </si>
  <si>
    <t>4568-</t>
  </si>
  <si>
    <t>JP4H006</t>
  </si>
  <si>
    <t>4569-</t>
  </si>
  <si>
    <t>JP4H007</t>
  </si>
  <si>
    <t>4570-</t>
  </si>
  <si>
    <t>JP4H008</t>
  </si>
  <si>
    <t>4571-</t>
  </si>
  <si>
    <t>JP4H009</t>
  </si>
  <si>
    <t>4572-</t>
  </si>
  <si>
    <t>JP4H010</t>
  </si>
  <si>
    <t>4573-</t>
  </si>
  <si>
    <t>JP4H011</t>
  </si>
  <si>
    <t>4574-</t>
  </si>
  <si>
    <t>JP4H012</t>
  </si>
  <si>
    <t>4575-</t>
  </si>
  <si>
    <t>JP4H013</t>
  </si>
  <si>
    <t>4576-</t>
  </si>
  <si>
    <t>JP4H014</t>
  </si>
  <si>
    <t>4577-</t>
  </si>
  <si>
    <t>JP4H015</t>
  </si>
  <si>
    <t>4578-</t>
  </si>
  <si>
    <t>JP4H016</t>
  </si>
  <si>
    <t>4579-</t>
  </si>
  <si>
    <t>JP4H017</t>
  </si>
  <si>
    <t>4580-</t>
  </si>
  <si>
    <t>JP4H018</t>
  </si>
  <si>
    <t>4581-</t>
  </si>
  <si>
    <t>JP4H019</t>
  </si>
  <si>
    <t>4582-</t>
  </si>
  <si>
    <t>JP4H020</t>
  </si>
  <si>
    <t>4583-</t>
  </si>
  <si>
    <t>JP4H021</t>
  </si>
  <si>
    <t>4584-</t>
  </si>
  <si>
    <t>JP4H022</t>
  </si>
  <si>
    <t>4585-</t>
  </si>
  <si>
    <t>JP4H023</t>
  </si>
  <si>
    <t>4586-</t>
  </si>
  <si>
    <t>JP4H024</t>
  </si>
  <si>
    <t>4587-</t>
  </si>
  <si>
    <t>JP4H025</t>
  </si>
  <si>
    <t>4588-</t>
  </si>
  <si>
    <t>JP4H026</t>
  </si>
  <si>
    <t>4589-</t>
  </si>
  <si>
    <t>JP4H027</t>
  </si>
  <si>
    <t>4590-</t>
  </si>
  <si>
    <t>JP4H028</t>
  </si>
  <si>
    <t>4591-</t>
  </si>
  <si>
    <t>JP4H029</t>
  </si>
  <si>
    <t>4592-</t>
  </si>
  <si>
    <t>JP4H030</t>
  </si>
  <si>
    <t>4593-</t>
  </si>
  <si>
    <t>JP4H031</t>
  </si>
  <si>
    <t>4594-</t>
  </si>
  <si>
    <t>JP4H032</t>
  </si>
  <si>
    <t>4595-</t>
  </si>
  <si>
    <t>JP4H033</t>
  </si>
  <si>
    <t>4596-</t>
  </si>
  <si>
    <t>JP4H034</t>
  </si>
  <si>
    <t>4597-</t>
  </si>
  <si>
    <t>JP4H035</t>
  </si>
  <si>
    <t>4598-</t>
  </si>
  <si>
    <t>JP4H036</t>
  </si>
  <si>
    <t>4599-</t>
  </si>
  <si>
    <t>JP4H037</t>
  </si>
  <si>
    <t>4600-</t>
  </si>
  <si>
    <t>JP4H038</t>
  </si>
  <si>
    <t>4601-</t>
  </si>
  <si>
    <t>JP4H039</t>
  </si>
  <si>
    <t>4602-</t>
  </si>
  <si>
    <t>JP4H040</t>
  </si>
  <si>
    <t>4603-</t>
  </si>
  <si>
    <t>JP4H041</t>
  </si>
  <si>
    <t>4604-</t>
  </si>
  <si>
    <t>JP4H042</t>
  </si>
  <si>
    <t>4605-</t>
  </si>
  <si>
    <t>JP4H043</t>
  </si>
  <si>
    <t>4606-</t>
  </si>
  <si>
    <t>JP4H044</t>
  </si>
  <si>
    <t>4607-</t>
  </si>
  <si>
    <t>JP4H045</t>
  </si>
  <si>
    <t>4608-</t>
  </si>
  <si>
    <t>JP4H046</t>
  </si>
  <si>
    <t>4609-</t>
  </si>
  <si>
    <t>JP4H047</t>
  </si>
  <si>
    <t>4610-</t>
  </si>
  <si>
    <t>JP4H048</t>
  </si>
  <si>
    <t>4611-</t>
  </si>
  <si>
    <t>JP4H049</t>
  </si>
  <si>
    <t>4612-</t>
  </si>
  <si>
    <t>JP4H050</t>
  </si>
  <si>
    <t>4613-</t>
  </si>
  <si>
    <t>JP4H053</t>
  </si>
  <si>
    <t>4614-</t>
  </si>
  <si>
    <t>JP4H054</t>
  </si>
  <si>
    <t>4615-</t>
  </si>
  <si>
    <t>JP4H055</t>
  </si>
  <si>
    <t>4616-</t>
  </si>
  <si>
    <t>JP4H056</t>
  </si>
  <si>
    <t>4617-</t>
  </si>
  <si>
    <t>JP4H057</t>
  </si>
  <si>
    <t>4618-</t>
  </si>
  <si>
    <t>JP4H058</t>
  </si>
  <si>
    <t>4619-</t>
  </si>
  <si>
    <t>JP4H059</t>
  </si>
  <si>
    <t>4620-</t>
  </si>
  <si>
    <t>JP4H060</t>
  </si>
  <si>
    <t>4621-</t>
  </si>
  <si>
    <t>JP4H061</t>
  </si>
  <si>
    <t>4622-</t>
  </si>
  <si>
    <t>JP4H087</t>
  </si>
  <si>
    <t>4623-</t>
  </si>
  <si>
    <t>JP4H086</t>
  </si>
  <si>
    <t>4624-</t>
  </si>
  <si>
    <t>JP4H085</t>
  </si>
  <si>
    <t>4625-</t>
  </si>
  <si>
    <t>JP4H084</t>
  </si>
  <si>
    <t>4626-</t>
  </si>
  <si>
    <t>JP4H083</t>
  </si>
  <si>
    <t>4627-</t>
  </si>
  <si>
    <t>JP4H082</t>
  </si>
  <si>
    <t>4628-</t>
  </si>
  <si>
    <t>JP4H081</t>
  </si>
  <si>
    <t>4629-</t>
  </si>
  <si>
    <t>JP4H080</t>
  </si>
  <si>
    <t>4630-</t>
  </si>
  <si>
    <t>JP4H079</t>
  </si>
  <si>
    <t>4631-</t>
  </si>
  <si>
    <t>JP4H078</t>
  </si>
  <si>
    <t>4632-</t>
  </si>
  <si>
    <t>JP4H077</t>
  </si>
  <si>
    <t>4633-</t>
  </si>
  <si>
    <t>JP4H076</t>
  </si>
  <si>
    <t>4634-</t>
  </si>
  <si>
    <t>JP4H075</t>
  </si>
  <si>
    <t>4635-</t>
  </si>
  <si>
    <t>JP4H074</t>
  </si>
  <si>
    <t>4636-</t>
  </si>
  <si>
    <t>JP4H073</t>
  </si>
  <si>
    <t>4637-</t>
  </si>
  <si>
    <t>JP4H072</t>
  </si>
  <si>
    <t>4638-</t>
  </si>
  <si>
    <t>JP4H071</t>
  </si>
  <si>
    <t>4639-</t>
  </si>
  <si>
    <t>JP4H070</t>
  </si>
  <si>
    <t>4640-</t>
  </si>
  <si>
    <t>JP4H069</t>
  </si>
  <si>
    <t>4641-</t>
  </si>
  <si>
    <t>JP4H068</t>
  </si>
  <si>
    <t>4642-</t>
  </si>
  <si>
    <t>JP4H067</t>
  </si>
  <si>
    <t>4643-</t>
  </si>
  <si>
    <t>JP4H066</t>
  </si>
  <si>
    <t>4644-</t>
  </si>
  <si>
    <t>JP4H065</t>
  </si>
  <si>
    <t>4645-</t>
  </si>
  <si>
    <t>JP4H064</t>
  </si>
  <si>
    <t>4646-</t>
  </si>
  <si>
    <t>JP4H063</t>
  </si>
  <si>
    <t>4647-</t>
  </si>
  <si>
    <t>JP4H107</t>
  </si>
  <si>
    <t>4648-</t>
  </si>
  <si>
    <t>JP4H106</t>
  </si>
  <si>
    <t>4649-</t>
  </si>
  <si>
    <t>JP4H105</t>
  </si>
  <si>
    <t>4650-</t>
  </si>
  <si>
    <t>JP4H104</t>
  </si>
  <si>
    <t>4651-</t>
  </si>
  <si>
    <t>JP4H103</t>
  </si>
  <si>
    <t>4652-</t>
  </si>
  <si>
    <t>JP4H102</t>
  </si>
  <si>
    <t>4653-</t>
  </si>
  <si>
    <t>JP4H101</t>
  </si>
  <si>
    <t>4654-</t>
  </si>
  <si>
    <t>JP4H100</t>
  </si>
  <si>
    <t>4655-</t>
  </si>
  <si>
    <t>JP4H099</t>
  </si>
  <si>
    <t>4656-</t>
  </si>
  <si>
    <t>JP4H098</t>
  </si>
  <si>
    <t>4657-</t>
  </si>
  <si>
    <t>JP4H097</t>
  </si>
  <si>
    <t>4658-</t>
  </si>
  <si>
    <t>JP4H096</t>
  </si>
  <si>
    <t>4659-</t>
  </si>
  <si>
    <t>JP4H095</t>
  </si>
  <si>
    <t>4660-</t>
  </si>
  <si>
    <t>JP4H094</t>
  </si>
  <si>
    <t>4661-</t>
  </si>
  <si>
    <t>JP4H093</t>
  </si>
  <si>
    <t>4662-</t>
  </si>
  <si>
    <t>JP4H092</t>
  </si>
  <si>
    <t>4663-</t>
  </si>
  <si>
    <t>JP4H091</t>
  </si>
  <si>
    <t>4664-</t>
  </si>
  <si>
    <t>JP4H090</t>
  </si>
  <si>
    <t>4665-</t>
  </si>
  <si>
    <t>JP4H108</t>
  </si>
  <si>
    <t>4666-</t>
  </si>
  <si>
    <t>JP4H109</t>
  </si>
  <si>
    <t>4667-</t>
  </si>
  <si>
    <t>JP4H089</t>
  </si>
  <si>
    <t>4668-</t>
  </si>
  <si>
    <t>JP4H110</t>
  </si>
  <si>
    <t>4669-</t>
  </si>
  <si>
    <t>4670-</t>
  </si>
  <si>
    <t>JP4H113</t>
  </si>
  <si>
    <t>4671-</t>
  </si>
  <si>
    <t>JP4H114</t>
  </si>
  <si>
    <t>4672-</t>
  </si>
  <si>
    <t>JP4H115</t>
  </si>
  <si>
    <t>4673-</t>
  </si>
  <si>
    <t>JP4H116</t>
  </si>
  <si>
    <t>4674-</t>
  </si>
  <si>
    <t>JP4H117</t>
  </si>
  <si>
    <t>4675-</t>
  </si>
  <si>
    <t>JP4H118</t>
  </si>
  <si>
    <t>4676-</t>
  </si>
  <si>
    <t>JP4H119</t>
  </si>
  <si>
    <t>4677-</t>
  </si>
  <si>
    <t>JP4H120</t>
  </si>
  <si>
    <t>4678-</t>
  </si>
  <si>
    <t>JP4H121</t>
  </si>
  <si>
    <t>4679-</t>
  </si>
  <si>
    <t>JP4H122</t>
  </si>
  <si>
    <t>4680-</t>
  </si>
  <si>
    <t>JP4H123</t>
  </si>
  <si>
    <t>4681-</t>
  </si>
  <si>
    <t>JP4H124</t>
  </si>
  <si>
    <t>4682-</t>
  </si>
  <si>
    <t>JP4H125</t>
  </si>
  <si>
    <t>4683-</t>
  </si>
  <si>
    <t>JP4H126</t>
  </si>
  <si>
    <t>4684-</t>
  </si>
  <si>
    <t>JP4H127</t>
  </si>
  <si>
    <t>4685-</t>
  </si>
  <si>
    <t>JP4H130</t>
  </si>
  <si>
    <t>4686-</t>
  </si>
  <si>
    <t>JP4H131</t>
  </si>
  <si>
    <t>4687-</t>
  </si>
  <si>
    <t>JP4H132</t>
  </si>
  <si>
    <t>4688-</t>
  </si>
  <si>
    <t>JP4H133</t>
  </si>
  <si>
    <t>4689-</t>
  </si>
  <si>
    <t>JP4H134</t>
  </si>
  <si>
    <t>4690-</t>
  </si>
  <si>
    <t>JP4H135</t>
  </si>
  <si>
    <t>4691-</t>
  </si>
  <si>
    <t>JP4H136</t>
  </si>
  <si>
    <t>4692-</t>
  </si>
  <si>
    <t>JP4H137</t>
  </si>
  <si>
    <t>4693-</t>
  </si>
  <si>
    <t>JP4H140</t>
  </si>
  <si>
    <t>4694-</t>
  </si>
  <si>
    <t>JP4H141</t>
  </si>
  <si>
    <t>4695-</t>
  </si>
  <si>
    <t>JP4H142</t>
  </si>
  <si>
    <t>4696-</t>
  </si>
  <si>
    <t>JP4H143</t>
  </si>
  <si>
    <t>4697-</t>
  </si>
  <si>
    <t>JP4H144</t>
  </si>
  <si>
    <t>4698-</t>
  </si>
  <si>
    <t>JP4H145</t>
  </si>
  <si>
    <t>4699-</t>
  </si>
  <si>
    <t>JP4H146</t>
  </si>
  <si>
    <t>4700-</t>
  </si>
  <si>
    <t>JP4H147</t>
  </si>
  <si>
    <t>4701-</t>
  </si>
  <si>
    <t>JP4H129</t>
  </si>
  <si>
    <t>4702-</t>
  </si>
  <si>
    <t>4703-</t>
  </si>
  <si>
    <t>4704-</t>
  </si>
  <si>
    <t>JP4H062</t>
  </si>
  <si>
    <t>4705-</t>
  </si>
  <si>
    <t>JP4H088</t>
  </si>
  <si>
    <t>4706-</t>
  </si>
  <si>
    <t>JP4H111</t>
  </si>
  <si>
    <t>4707-</t>
  </si>
  <si>
    <t>JP4H128</t>
  </si>
  <si>
    <t>4708-</t>
  </si>
  <si>
    <t>JP4H139</t>
  </si>
  <si>
    <t>4709-</t>
  </si>
  <si>
    <t>JP4H138</t>
  </si>
  <si>
    <t>4718-</t>
  </si>
  <si>
    <t>JPRVIL001</t>
  </si>
  <si>
    <t>HAMZAH YOUSEF TAREQ ZAKI ABU ZANNAD</t>
  </si>
  <si>
    <t>971|50-5541636</t>
  </si>
  <si>
    <t>971|505541636</t>
  </si>
  <si>
    <t>4719-</t>
  </si>
  <si>
    <t>JPRVIL002</t>
  </si>
  <si>
    <t>ALI SHARIFI</t>
  </si>
  <si>
    <t>971|50-7187171</t>
  </si>
  <si>
    <t>971|507187171</t>
  </si>
  <si>
    <t>821-0</t>
  </si>
  <si>
    <t>Main Land For Jumeriah Park</t>
  </si>
  <si>
    <t>842-0</t>
  </si>
  <si>
    <t>JPB5V001</t>
  </si>
  <si>
    <t>CHETANMAL KHEMCHAND RAMACHANDANI</t>
  </si>
  <si>
    <t>ckramchandani@gmail.com</t>
  </si>
  <si>
    <t>971|55-6434400</t>
  </si>
  <si>
    <t>Date Created</t>
  </si>
  <si>
    <t>Actual Date Added</t>
  </si>
  <si>
    <t>Client's Name</t>
  </si>
  <si>
    <t>Mobile</t>
  </si>
  <si>
    <t>Source</t>
  </si>
  <si>
    <t>Project (Offer)</t>
  </si>
  <si>
    <t>Comments from Admin for Agents</t>
  </si>
  <si>
    <t>Agent's Comment to follow up the lead</t>
  </si>
  <si>
    <t>Comments from DIRECTORS</t>
  </si>
  <si>
    <t>TYPE OF LEAD</t>
  </si>
  <si>
    <t>Adnan Al Awadhi</t>
  </si>
  <si>
    <t>adnanalawadhi@yahoo.com</t>
  </si>
  <si>
    <t>0506582002</t>
  </si>
  <si>
    <t xml:space="preserve"> H&amp;S DATA</t>
  </si>
  <si>
    <t>MINA RASHID</t>
  </si>
  <si>
    <t xml:space="preserve">pls remove his name </t>
  </si>
  <si>
    <t>Reena Mittal</t>
  </si>
  <si>
    <t>reenamittal_2002@yahoo.com</t>
  </si>
  <si>
    <t>0553309185</t>
  </si>
  <si>
    <t>not interested at all i will drop a watzup</t>
  </si>
  <si>
    <t>Hiren Hamlai</t>
  </si>
  <si>
    <t>hirenhamlai@rediffmail.com</t>
  </si>
  <si>
    <t>05050220204</t>
  </si>
  <si>
    <t>wrong number</t>
  </si>
  <si>
    <t>Ranjeet kumar kookada</t>
  </si>
  <si>
    <t>Rkookada@gmail.com</t>
  </si>
  <si>
    <t>0566033614</t>
  </si>
  <si>
    <t xml:space="preserve">not looking at any property investment </t>
  </si>
  <si>
    <t>Muhammed Finos</t>
  </si>
  <si>
    <t>mohdfinosali@hotmail.com</t>
  </si>
  <si>
    <t>0097470133311</t>
  </si>
  <si>
    <t>bought already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</si>
</sst>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5">
    <numFmt numFmtId="164" formatCode="d&quot;-&quot;mmm&quot;-&quot;yyyy"/>
    <numFmt numFmtId="165" formatCode="dd-mmmm-yy"/>
    <numFmt numFmtId="166" formatCode="d-mmmm-yy"/>
    <numFmt numFmtId="167" formatCode="m/d/yyyy"/>
    <numFmt numFmtId="168" formatCode="&quot;$&quot;#,##0"/>
    <numFmt numFmtId="169" formatCode="m-d-yy"/>
    <numFmt numFmtId="170" formatCode="m/d/yy"/>
    <numFmt numFmtId="171" formatCode="m-d-yyyy"/>
    <numFmt numFmtId="172" formatCode="d-mmm-yy"/>
    <numFmt numFmtId="173" formatCode="mmm - d-yyyy"/>
    <numFmt numFmtId="174" formatCode="mmm. d, yyyy"/>
    <numFmt numFmtId="175" formatCode="mmm d, yyyy"/>
    <numFmt numFmtId="176" formatCode="m/d/yyyy h:mm am/pm"/>
    <numFmt numFmtId="177" formatCode="mmm-d-yyyy"/>
    <numFmt numFmtId="178" formatCode="mmm-d-yy"/>
  </numFmts>
  <fonts count="42">
    <font>
      <sz val="10.0"/>
      <color rgb="FF000000"/>
      <name val="Arial"/>
    </font>
    <font>
      <b/>
      <sz val="12.0"/>
      <color rgb="FFFFFFFF"/>
      <name val="Calibri"/>
    </font>
    <font>
      <sz val="12.0"/>
      <name val="Arial"/>
    </font>
    <font>
      <sz val="12.0"/>
    </font>
    <font>
      <sz val="11.0"/>
      <color rgb="FF000000"/>
      <name val="Calibri"/>
    </font>
    <font>
      <sz val="11.0"/>
      <name val="Calibri"/>
    </font>
    <font/>
    <font>
      <b/>
      <sz val="11.0"/>
      <color rgb="FF000000"/>
      <name val="Calibri"/>
    </font>
    <font>
      <sz val="11.0"/>
      <color rgb="FF303030"/>
      <name val="Calibri"/>
    </font>
    <font>
      <b/>
      <sz val="11.0"/>
      <name val="Calibri"/>
    </font>
    <font>
      <u/>
      <sz val="11.0"/>
      <color rgb="FF303030"/>
      <name val="Calibri"/>
    </font>
    <font>
      <name val="Calibri"/>
    </font>
    <font>
      <name val="Arial"/>
    </font>
    <font>
      <b/>
      <sz val="11.0"/>
      <color rgb="FF000000"/>
      <name val="Arial"/>
    </font>
    <font>
      <color rgb="FF000000"/>
      <name val="Arial"/>
    </font>
    <font>
      <color rgb="FF000000"/>
      <name val="Roboto"/>
    </font>
    <font>
      <u/>
      <color rgb="FF000000"/>
      <name val="Roboto"/>
    </font>
    <font>
      <color rgb="FF1155CC"/>
      <name val="Arial"/>
    </font>
    <font>
      <u/>
      <color rgb="FF1155CC"/>
      <name val="Arial"/>
    </font>
    <font>
      <u/>
      <color rgb="FF1155CC"/>
      <name val="Roboto"/>
    </font>
    <font>
      <color rgb="FF222222"/>
      <name val="Roboto"/>
    </font>
    <font>
      <u/>
      <color rgb="FF1155CC"/>
      <name val="Roboto"/>
    </font>
    <font>
      <color rgb="FF222222"/>
      <name val="Docs-Roboto"/>
    </font>
    <font>
      <b/>
      <color rgb="FFFFFFFF"/>
    </font>
    <font>
      <b/>
      <color rgb="FFFFFFFF"/>
      <name val="Arial"/>
    </font>
    <font>
      <name val="Verdana"/>
    </font>
    <font>
      <b/>
      <name val="Arial"/>
    </font>
    <font>
      <b/>
    </font>
    <font>
      <u/>
      <sz val="9.0"/>
      <color rgb="FF980000"/>
      <name val="Arial"/>
    </font>
    <font>
      <u/>
      <sz val="9.0"/>
      <color rgb="FF980000"/>
      <name val="Arial"/>
    </font>
    <font>
      <sz val="9.0"/>
      <color rgb="FF980000"/>
      <name val="Arial"/>
    </font>
    <font>
      <color rgb="FF980000"/>
    </font>
    <font>
      <u/>
      <sz val="9.0"/>
      <color rgb="FF980000"/>
      <name val="Arial"/>
    </font>
    <font>
      <color rgb="FF980000"/>
      <name val="Arial"/>
    </font>
    <font>
      <u/>
      <sz val="9.0"/>
      <color rgb="FF333435"/>
      <name val="Arial"/>
    </font>
    <font>
      <u/>
      <sz val="9.0"/>
      <color rgb="FF000000"/>
      <name val="Arial"/>
    </font>
    <font>
      <sz val="9.0"/>
      <color rgb="FF000000"/>
      <name val="Arial"/>
    </font>
    <font>
      <u/>
      <sz val="9.0"/>
      <color rgb="FF333435"/>
      <name val="Arial"/>
    </font>
    <font>
      <sz val="9.0"/>
      <color rgb="FF222222"/>
      <name val="Arial"/>
    </font>
    <font>
      <u/>
      <sz val="9.0"/>
      <color rgb="FF015BA7"/>
      <name val="Arial"/>
    </font>
    <font>
      <u/>
      <sz val="9.0"/>
      <color rgb="FF980000"/>
      <name val="Arial"/>
    </font>
    <font>
      <b/>
      <sz val="11.0"/>
      <color rgb="FFFFFFFF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0000FF"/>
        <bgColor rgb="FF0000FF"/>
      </patternFill>
    </fill>
    <fill>
      <patternFill patternType="solid">
        <fgColor rgb="FFFF9900"/>
        <bgColor rgb="FFFF9900"/>
      </patternFill>
    </fill>
    <fill>
      <patternFill patternType="solid">
        <fgColor rgb="FF00FFFF"/>
        <bgColor rgb="FF00FFFF"/>
      </patternFill>
    </fill>
    <fill>
      <patternFill patternType="solid">
        <fgColor rgb="FFE3F3FF"/>
        <bgColor rgb="FFE3F3FF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/>
      <bottom style="thin">
        <color rgb="FF000000"/>
      </bottom>
    </border>
    <border>
      <right/>
    </border>
  </borders>
  <cellStyleXfs count="1">
    <xf borderId="0" fillId="0" fontId="0" numFmtId="0" applyAlignment="1" applyFont="1"/>
  </cellStyleXfs>
  <cellXfs count="164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left" shrinkToFit="0" vertical="bottom" wrapText="1"/>
    </xf>
    <xf borderId="1" fillId="2" fontId="1" numFmtId="0" xfId="0" applyAlignment="1" applyBorder="1" applyFont="1">
      <alignment horizontal="left" shrinkToFit="0" vertical="bottom" wrapText="1"/>
    </xf>
    <xf borderId="1" fillId="2" fontId="1" numFmtId="0" xfId="0" applyAlignment="1" applyBorder="1" applyFont="1">
      <alignment horizontal="left" shrinkToFit="0" vertical="bottom" wrapText="1"/>
    </xf>
    <xf borderId="1" fillId="2" fontId="1" numFmtId="0" xfId="0" applyAlignment="1" applyBorder="1" applyFont="1">
      <alignment horizontal="left" readingOrder="0" shrinkToFit="0" vertical="bottom" wrapText="1"/>
    </xf>
    <xf borderId="1" fillId="0" fontId="2" numFmtId="0" xfId="0" applyAlignment="1" applyBorder="1" applyFont="1">
      <alignment horizontal="center" shrinkToFit="0" vertical="bottom" wrapText="1"/>
    </xf>
    <xf borderId="1" fillId="0" fontId="3" numFmtId="0" xfId="0" applyAlignment="1" applyBorder="1" applyFont="1">
      <alignment horizontal="center" shrinkToFit="0" wrapText="1"/>
    </xf>
    <xf borderId="1" fillId="0" fontId="4" numFmtId="165" xfId="0" applyAlignment="1" applyBorder="1" applyFont="1" applyNumberFormat="1">
      <alignment horizontal="left" readingOrder="0" shrinkToFit="0" vertical="bottom" wrapText="1"/>
    </xf>
    <xf borderId="1" fillId="0" fontId="4" numFmtId="0" xfId="0" applyAlignment="1" applyBorder="1" applyFont="1">
      <alignment horizontal="left" readingOrder="0" shrinkToFit="0" vertical="bottom" wrapText="1"/>
    </xf>
    <xf borderId="1" fillId="0" fontId="5" numFmtId="0" xfId="0" applyAlignment="1" applyBorder="1" applyFont="1">
      <alignment horizontal="left" readingOrder="0" shrinkToFit="0" wrapText="1"/>
    </xf>
    <xf borderId="1" fillId="0" fontId="6" numFmtId="0" xfId="0" applyAlignment="1" applyBorder="1" applyFont="1">
      <alignment horizontal="center" shrinkToFit="0" wrapText="1"/>
    </xf>
    <xf borderId="1" fillId="0" fontId="4" numFmtId="166" xfId="0" applyAlignment="1" applyBorder="1" applyFont="1" applyNumberFormat="1">
      <alignment horizontal="left" readingOrder="0" shrinkToFit="0" vertical="bottom" wrapText="1"/>
    </xf>
    <xf borderId="1" fillId="0" fontId="4" numFmtId="0" xfId="0" applyAlignment="1" applyBorder="1" applyFont="1">
      <alignment horizontal="left" shrinkToFit="0" vertical="bottom" wrapText="1"/>
    </xf>
    <xf borderId="1" fillId="0" fontId="7" numFmtId="0" xfId="0" applyAlignment="1" applyBorder="1" applyFont="1">
      <alignment horizontal="left" readingOrder="0" shrinkToFit="0" vertical="bottom" wrapText="1"/>
    </xf>
    <xf quotePrefix="1" borderId="1" fillId="0" fontId="5" numFmtId="0" xfId="0" applyAlignment="1" applyBorder="1" applyFont="1">
      <alignment horizontal="left" readingOrder="0" shrinkToFit="0" wrapText="1"/>
    </xf>
    <xf borderId="1" fillId="0" fontId="5" numFmtId="0" xfId="0" applyAlignment="1" applyBorder="1" applyFont="1">
      <alignment horizontal="left" shrinkToFit="0" wrapText="1"/>
    </xf>
    <xf borderId="1" fillId="0" fontId="5" numFmtId="167" xfId="0" applyAlignment="1" applyBorder="1" applyFont="1" applyNumberFormat="1">
      <alignment horizontal="left" readingOrder="0" shrinkToFit="0" wrapText="1"/>
    </xf>
    <xf borderId="1" fillId="0" fontId="5" numFmtId="0" xfId="0" applyAlignment="1" applyBorder="1" applyFont="1">
      <alignment horizontal="left" shrinkToFit="0" vertical="bottom" wrapText="1"/>
    </xf>
    <xf quotePrefix="1" borderId="1" fillId="0" fontId="5" numFmtId="0" xfId="0" applyAlignment="1" applyBorder="1" applyFont="1">
      <alignment horizontal="left" shrinkToFit="0" vertical="bottom" wrapText="1"/>
    </xf>
    <xf borderId="1" fillId="0" fontId="6" numFmtId="0" xfId="0" applyAlignment="1" applyBorder="1" applyFont="1">
      <alignment horizontal="center" readingOrder="0" shrinkToFit="0" wrapText="1"/>
    </xf>
    <xf quotePrefix="1" borderId="1" fillId="0" fontId="4" numFmtId="0" xfId="0" applyAlignment="1" applyBorder="1" applyFont="1">
      <alignment horizontal="left" shrinkToFit="0" vertical="bottom" wrapText="1"/>
    </xf>
    <xf borderId="1" fillId="0" fontId="7" numFmtId="0" xfId="0" applyAlignment="1" applyBorder="1" applyFont="1">
      <alignment horizontal="left" shrinkToFit="0" vertical="bottom" wrapText="1"/>
    </xf>
    <xf borderId="1" fillId="0" fontId="5" numFmtId="168" xfId="0" applyAlignment="1" applyBorder="1" applyFont="1" applyNumberFormat="1">
      <alignment horizontal="left" readingOrder="0" shrinkToFit="0" wrapText="1"/>
    </xf>
    <xf borderId="1" fillId="3" fontId="8" numFmtId="0" xfId="0" applyAlignment="1" applyBorder="1" applyFill="1" applyFont="1">
      <alignment horizontal="left" shrinkToFit="0" vertical="bottom" wrapText="1"/>
    </xf>
    <xf quotePrefix="1" borderId="1" fillId="3" fontId="8" numFmtId="0" xfId="0" applyAlignment="1" applyBorder="1" applyFont="1">
      <alignment horizontal="left" shrinkToFit="0" vertical="bottom" wrapText="1"/>
    </xf>
    <xf borderId="1" fillId="0" fontId="9" numFmtId="0" xfId="0" applyAlignment="1" applyBorder="1" applyFont="1">
      <alignment horizontal="left" shrinkToFit="0" vertical="bottom" wrapText="1"/>
    </xf>
    <xf borderId="1" fillId="3" fontId="4" numFmtId="169" xfId="0" applyAlignment="1" applyBorder="1" applyFont="1" applyNumberFormat="1">
      <alignment horizontal="left" shrinkToFit="0" vertical="bottom" wrapText="1"/>
    </xf>
    <xf borderId="1" fillId="0" fontId="5" numFmtId="169" xfId="0" applyAlignment="1" applyBorder="1" applyFont="1" applyNumberFormat="1">
      <alignment horizontal="left" readingOrder="0" shrinkToFit="0" wrapText="1"/>
    </xf>
    <xf borderId="1" fillId="0" fontId="8" numFmtId="0" xfId="0" applyAlignment="1" applyBorder="1" applyFont="1">
      <alignment horizontal="left" shrinkToFit="0" vertical="bottom" wrapText="1"/>
    </xf>
    <xf borderId="0" fillId="0" fontId="6" numFmtId="0" xfId="0" applyAlignment="1" applyFont="1">
      <alignment shrinkToFit="0" wrapText="1"/>
    </xf>
    <xf borderId="1" fillId="0" fontId="5" numFmtId="167" xfId="0" applyAlignment="1" applyBorder="1" applyFont="1" applyNumberFormat="1">
      <alignment horizontal="left" shrinkToFit="0" vertical="bottom" wrapText="1"/>
    </xf>
    <xf borderId="1" fillId="0" fontId="5" numFmtId="170" xfId="0" applyAlignment="1" applyBorder="1" applyFont="1" applyNumberFormat="1">
      <alignment horizontal="left" shrinkToFit="0" vertical="bottom" wrapText="1"/>
    </xf>
    <xf borderId="1" fillId="0" fontId="5" numFmtId="171" xfId="0" applyAlignment="1" applyBorder="1" applyFont="1" applyNumberFormat="1">
      <alignment horizontal="left" shrinkToFit="0" vertical="bottom" wrapText="1"/>
    </xf>
    <xf borderId="1" fillId="0" fontId="5" numFmtId="172" xfId="0" applyAlignment="1" applyBorder="1" applyFont="1" applyNumberFormat="1">
      <alignment horizontal="left" shrinkToFit="0" vertical="bottom" wrapText="1"/>
    </xf>
    <xf borderId="1" fillId="0" fontId="4" numFmtId="172" xfId="0" applyAlignment="1" applyBorder="1" applyFont="1" applyNumberFormat="1">
      <alignment horizontal="left" shrinkToFit="0" vertical="bottom" wrapText="1"/>
    </xf>
    <xf borderId="1" fillId="3" fontId="10" numFmtId="0" xfId="0" applyAlignment="1" applyBorder="1" applyFont="1">
      <alignment horizontal="left" shrinkToFit="0" vertical="bottom" wrapText="1"/>
    </xf>
    <xf borderId="1" fillId="3" fontId="5" numFmtId="173" xfId="0" applyAlignment="1" applyBorder="1" applyFont="1" applyNumberFormat="1">
      <alignment horizontal="left" shrinkToFit="0" vertical="bottom" wrapText="1"/>
    </xf>
    <xf borderId="1" fillId="3" fontId="5" numFmtId="0" xfId="0" applyAlignment="1" applyBorder="1" applyFont="1">
      <alignment horizontal="left" shrinkToFit="0" vertical="bottom" wrapText="1"/>
    </xf>
    <xf borderId="1" fillId="3" fontId="6" numFmtId="0" xfId="0" applyAlignment="1" applyBorder="1" applyFont="1">
      <alignment shrinkToFit="0" wrapText="1"/>
    </xf>
    <xf borderId="1" fillId="0" fontId="6" numFmtId="0" xfId="0" applyBorder="1" applyFont="1"/>
    <xf borderId="1" fillId="3" fontId="11" numFmtId="0" xfId="0" applyAlignment="1" applyBorder="1" applyFont="1">
      <alignment horizontal="left" shrinkToFit="0" wrapText="1"/>
    </xf>
    <xf borderId="0" fillId="3" fontId="11" numFmtId="0" xfId="0" applyAlignment="1" applyFont="1">
      <alignment horizontal="left" shrinkToFit="0" wrapText="1"/>
    </xf>
    <xf borderId="0" fillId="0" fontId="6" numFmtId="0" xfId="0" applyAlignment="1" applyFont="1">
      <alignment horizontal="center" shrinkToFit="0" wrapText="1"/>
    </xf>
    <xf borderId="1" fillId="0" fontId="12" numFmtId="0" xfId="0" applyAlignment="1" applyBorder="1" applyFont="1">
      <alignment vertical="bottom"/>
    </xf>
    <xf borderId="2" fillId="0" fontId="12" numFmtId="0" xfId="0" applyAlignment="1" applyBorder="1" applyFont="1">
      <alignment vertical="bottom"/>
    </xf>
    <xf borderId="2" fillId="0" fontId="12" numFmtId="0" xfId="0" applyAlignment="1" applyBorder="1" applyFont="1">
      <alignment horizontal="center" vertical="bottom"/>
    </xf>
    <xf borderId="0" fillId="0" fontId="12" numFmtId="0" xfId="0" applyAlignment="1" applyFont="1">
      <alignment vertical="bottom"/>
    </xf>
    <xf borderId="3" fillId="0" fontId="12" numFmtId="0" xfId="0" applyAlignment="1" applyBorder="1" applyFont="1">
      <alignment vertical="bottom"/>
    </xf>
    <xf borderId="4" fillId="0" fontId="12" numFmtId="0" xfId="0" applyAlignment="1" applyBorder="1" applyFont="1">
      <alignment vertical="bottom"/>
    </xf>
    <xf borderId="4" fillId="0" fontId="12" numFmtId="0" xfId="0" applyAlignment="1" applyBorder="1" applyFont="1">
      <alignment horizontal="center" vertical="bottom"/>
    </xf>
    <xf borderId="5" fillId="0" fontId="12" numFmtId="0" xfId="0" applyAlignment="1" applyBorder="1" applyFont="1">
      <alignment shrinkToFit="0" vertical="bottom" wrapText="0"/>
    </xf>
    <xf borderId="5" fillId="0" fontId="12" numFmtId="0" xfId="0" applyAlignment="1" applyBorder="1" applyFont="1">
      <alignment vertical="bottom"/>
    </xf>
    <xf borderId="1" fillId="4" fontId="13" numFmtId="174" xfId="0" applyAlignment="1" applyBorder="1" applyFill="1" applyFont="1" applyNumberFormat="1">
      <alignment horizontal="center" vertical="bottom"/>
    </xf>
    <xf borderId="1" fillId="4" fontId="13" numFmtId="0" xfId="0" applyAlignment="1" applyBorder="1" applyFont="1">
      <alignment horizontal="center" vertical="bottom"/>
    </xf>
    <xf borderId="1" fillId="4" fontId="13" numFmtId="0" xfId="0" applyAlignment="1" applyBorder="1" applyFont="1">
      <alignment horizontal="center" shrinkToFit="0" vertical="bottom" wrapText="0"/>
    </xf>
    <xf borderId="1" fillId="4" fontId="13" numFmtId="0" xfId="0" applyAlignment="1" applyBorder="1" applyFont="1">
      <alignment horizontal="center" readingOrder="0" vertical="bottom"/>
    </xf>
    <xf borderId="1" fillId="4" fontId="13" numFmtId="0" xfId="0" applyAlignment="1" applyBorder="1" applyFont="1">
      <alignment horizontal="center" shrinkToFit="0" vertical="bottom" wrapText="1"/>
    </xf>
    <xf borderId="0" fillId="4" fontId="12" numFmtId="0" xfId="0" applyAlignment="1" applyFont="1">
      <alignment vertical="bottom"/>
    </xf>
    <xf borderId="1" fillId="0" fontId="14" numFmtId="174" xfId="0" applyAlignment="1" applyBorder="1" applyFont="1" applyNumberFormat="1">
      <alignment horizontal="center" vertical="bottom"/>
    </xf>
    <xf borderId="1" fillId="3" fontId="15" numFmtId="0" xfId="0" applyAlignment="1" applyBorder="1" applyFont="1">
      <alignment horizontal="center" vertical="bottom"/>
    </xf>
    <xf borderId="1" fillId="3" fontId="16" numFmtId="0" xfId="0" applyAlignment="1" applyBorder="1" applyFont="1">
      <alignment horizontal="center" shrinkToFit="0" vertical="bottom" wrapText="0"/>
    </xf>
    <xf borderId="1" fillId="0" fontId="14" numFmtId="0" xfId="0" applyAlignment="1" applyBorder="1" applyFont="1">
      <alignment horizontal="center" vertical="bottom"/>
    </xf>
    <xf borderId="1" fillId="0" fontId="12" numFmtId="0" xfId="0" applyAlignment="1" applyBorder="1" applyFont="1">
      <alignment horizontal="center" vertical="bottom"/>
    </xf>
    <xf borderId="1" fillId="3" fontId="12" numFmtId="0" xfId="0" applyAlignment="1" applyBorder="1" applyFont="1">
      <alignment readingOrder="0" vertical="bottom"/>
    </xf>
    <xf borderId="1" fillId="5" fontId="14" numFmtId="0" xfId="0" applyAlignment="1" applyBorder="1" applyFill="1" applyFont="1">
      <alignment horizontal="center" vertical="bottom"/>
    </xf>
    <xf borderId="1" fillId="0" fontId="12" numFmtId="0" xfId="0" applyAlignment="1" applyBorder="1" applyFont="1">
      <alignment readingOrder="0" vertical="bottom"/>
    </xf>
    <xf borderId="1" fillId="0" fontId="14" numFmtId="0" xfId="0" applyAlignment="1" applyBorder="1" applyFont="1">
      <alignment horizontal="center" shrinkToFit="0" vertical="bottom" wrapText="0"/>
    </xf>
    <xf borderId="1" fillId="3" fontId="14" numFmtId="0" xfId="0" applyAlignment="1" applyBorder="1" applyFont="1">
      <alignment horizontal="center" vertical="bottom"/>
    </xf>
    <xf quotePrefix="1" borderId="1" fillId="0" fontId="14" numFmtId="0" xfId="0" applyAlignment="1" applyBorder="1" applyFont="1">
      <alignment horizontal="center" vertical="bottom"/>
    </xf>
    <xf quotePrefix="1" borderId="1" fillId="3" fontId="15" numFmtId="0" xfId="0" applyAlignment="1" applyBorder="1" applyFont="1">
      <alignment horizontal="center" vertical="bottom"/>
    </xf>
    <xf borderId="1" fillId="0" fontId="14" numFmtId="175" xfId="0" applyAlignment="1" applyBorder="1" applyFont="1" applyNumberFormat="1">
      <alignment horizontal="center" vertical="bottom"/>
    </xf>
    <xf borderId="1" fillId="0" fontId="14" numFmtId="0" xfId="0" applyAlignment="1" applyBorder="1" applyFont="1">
      <alignment horizontal="center" shrinkToFit="0" vertical="bottom" wrapText="0"/>
    </xf>
    <xf borderId="1" fillId="0" fontId="15" numFmtId="0" xfId="0" applyAlignment="1" applyBorder="1" applyFont="1">
      <alignment horizontal="center" vertical="bottom"/>
    </xf>
    <xf borderId="1" fillId="3" fontId="14" numFmtId="0" xfId="0" applyAlignment="1" applyBorder="1" applyFont="1">
      <alignment vertical="bottom"/>
    </xf>
    <xf quotePrefix="1" borderId="1" fillId="0" fontId="17" numFmtId="0" xfId="0" applyAlignment="1" applyBorder="1" applyFont="1">
      <alignment horizontal="center" vertical="bottom"/>
    </xf>
    <xf borderId="1" fillId="0" fontId="17" numFmtId="0" xfId="0" applyAlignment="1" applyBorder="1" applyFont="1">
      <alignment horizontal="center" vertical="bottom"/>
    </xf>
    <xf borderId="1" fillId="3" fontId="17" numFmtId="0" xfId="0" applyAlignment="1" applyBorder="1" applyFont="1">
      <alignment horizontal="center" vertical="bottom"/>
    </xf>
    <xf borderId="1" fillId="3" fontId="18" numFmtId="0" xfId="0" applyAlignment="1" applyBorder="1" applyFont="1">
      <alignment horizontal="center" vertical="bottom"/>
    </xf>
    <xf borderId="1" fillId="3" fontId="15" numFmtId="0" xfId="0" applyAlignment="1" applyBorder="1" applyFont="1">
      <alignment vertical="bottom"/>
    </xf>
    <xf borderId="1" fillId="3" fontId="19" numFmtId="0" xfId="0" applyAlignment="1" applyBorder="1" applyFont="1">
      <alignment horizontal="center" vertical="bottom"/>
    </xf>
    <xf borderId="1" fillId="3" fontId="20" numFmtId="176" xfId="0" applyAlignment="1" applyBorder="1" applyFont="1" applyNumberFormat="1">
      <alignment horizontal="right" vertical="top"/>
    </xf>
    <xf borderId="1" fillId="3" fontId="21" numFmtId="0" xfId="0" applyAlignment="1" applyBorder="1" applyFont="1">
      <alignment vertical="top"/>
    </xf>
    <xf borderId="1" fillId="3" fontId="20" numFmtId="0" xfId="0" applyAlignment="1" applyBorder="1" applyFont="1">
      <alignment vertical="top"/>
    </xf>
    <xf borderId="1" fillId="3" fontId="20" numFmtId="0" xfId="0" applyAlignment="1" applyBorder="1" applyFont="1">
      <alignment horizontal="center" readingOrder="0" vertical="top"/>
    </xf>
    <xf borderId="1" fillId="3" fontId="20" numFmtId="0" xfId="0" applyAlignment="1" applyBorder="1" applyFont="1">
      <alignment horizontal="center" vertical="top"/>
    </xf>
    <xf borderId="1" fillId="0" fontId="22" numFmtId="0" xfId="0" applyAlignment="1" applyBorder="1" applyFont="1">
      <alignment horizontal="left" readingOrder="0"/>
    </xf>
    <xf borderId="0" fillId="0" fontId="6" numFmtId="0" xfId="0" applyAlignment="1" applyFont="1">
      <alignment horizontal="center"/>
    </xf>
    <xf borderId="0" fillId="6" fontId="12" numFmtId="0" xfId="0" applyAlignment="1" applyFill="1" applyFont="1">
      <alignment readingOrder="0" vertical="bottom"/>
    </xf>
    <xf borderId="0" fillId="0" fontId="6" numFmtId="0" xfId="0" applyAlignment="1" applyFont="1">
      <alignment readingOrder="0"/>
    </xf>
    <xf borderId="0" fillId="0" fontId="6" numFmtId="0" xfId="0" applyAlignment="1" applyFont="1">
      <alignment readingOrder="0" shrinkToFit="0" wrapText="1"/>
    </xf>
    <xf borderId="0" fillId="4" fontId="23" numFmtId="0" xfId="0" applyAlignment="1" applyFont="1">
      <alignment horizontal="center" readingOrder="0"/>
    </xf>
    <xf borderId="1" fillId="4" fontId="24" numFmtId="0" xfId="0" applyAlignment="1" applyBorder="1" applyFont="1">
      <alignment horizontal="left" readingOrder="0" vertical="bottom"/>
    </xf>
    <xf borderId="1" fillId="4" fontId="23" numFmtId="0" xfId="0" applyAlignment="1" applyBorder="1" applyFont="1">
      <alignment readingOrder="0"/>
    </xf>
    <xf borderId="1" fillId="0" fontId="6" numFmtId="177" xfId="0" applyAlignment="1" applyBorder="1" applyFont="1" applyNumberFormat="1">
      <alignment horizontal="center" readingOrder="0"/>
    </xf>
    <xf borderId="1" fillId="0" fontId="12" numFmtId="0" xfId="0" applyAlignment="1" applyBorder="1" applyFont="1">
      <alignment horizontal="left" vertical="bottom"/>
    </xf>
    <xf borderId="1" fillId="0" fontId="12" numFmtId="0" xfId="0" applyAlignment="1" applyBorder="1" applyFont="1">
      <alignment horizontal="left" readingOrder="0" vertical="bottom"/>
    </xf>
    <xf borderId="1" fillId="0" fontId="6" numFmtId="0" xfId="0" applyAlignment="1" applyBorder="1" applyFont="1">
      <alignment readingOrder="0"/>
    </xf>
    <xf borderId="1" fillId="0" fontId="25" numFmtId="0" xfId="0" applyAlignment="1" applyBorder="1" applyFont="1">
      <alignment horizontal="left" readingOrder="0" shrinkToFit="0" vertical="bottom" wrapText="0"/>
    </xf>
    <xf borderId="1" fillId="0" fontId="25" numFmtId="0" xfId="0" applyAlignment="1" applyBorder="1" applyFont="1">
      <alignment horizontal="left" shrinkToFit="0" vertical="bottom" wrapText="0"/>
    </xf>
    <xf borderId="0" fillId="0" fontId="25" numFmtId="0" xfId="0" applyAlignment="1" applyFont="1">
      <alignment horizontal="left" readingOrder="0" shrinkToFit="0" vertical="bottom" wrapText="0"/>
    </xf>
    <xf borderId="3" fillId="0" fontId="12" numFmtId="171" xfId="0" applyAlignment="1" applyBorder="1" applyFont="1" applyNumberFormat="1">
      <alignment horizontal="center" vertical="bottom"/>
    </xf>
    <xf borderId="1" fillId="0" fontId="25" numFmtId="0" xfId="0" applyAlignment="1" applyBorder="1" applyFont="1">
      <alignment horizontal="left" vertical="bottom"/>
    </xf>
    <xf borderId="4" fillId="0" fontId="12" numFmtId="0" xfId="0" applyAlignment="1" applyBorder="1" applyFont="1">
      <alignment horizontal="left" vertical="bottom"/>
    </xf>
    <xf borderId="1" fillId="0" fontId="25" numFmtId="0" xfId="0" applyAlignment="1" applyBorder="1" applyFont="1">
      <alignment horizontal="left" readingOrder="0" shrinkToFit="0" vertical="bottom" wrapText="0"/>
    </xf>
    <xf borderId="1" fillId="0" fontId="25" numFmtId="0" xfId="0" applyAlignment="1" applyBorder="1" applyFont="1">
      <alignment horizontal="left" shrinkToFit="0" vertical="bottom" wrapText="0"/>
    </xf>
    <xf borderId="2" fillId="0" fontId="25" numFmtId="0" xfId="0" applyAlignment="1" applyBorder="1" applyFont="1">
      <alignment horizontal="left" vertical="bottom"/>
    </xf>
    <xf borderId="3" fillId="0" fontId="12" numFmtId="0" xfId="0" applyAlignment="1" applyBorder="1" applyFont="1">
      <alignment horizontal="left" vertical="bottom"/>
    </xf>
    <xf borderId="4" fillId="0" fontId="25" numFmtId="0" xfId="0" applyAlignment="1" applyBorder="1" applyFont="1">
      <alignment horizontal="left" vertical="bottom"/>
    </xf>
    <xf borderId="1" fillId="0" fontId="12" numFmtId="178" xfId="0" applyAlignment="1" applyBorder="1" applyFont="1" applyNumberFormat="1">
      <alignment horizontal="center" vertical="bottom"/>
    </xf>
    <xf borderId="1" fillId="0" fontId="12" numFmtId="167" xfId="0" applyAlignment="1" applyBorder="1" applyFont="1" applyNumberFormat="1">
      <alignment horizontal="center" vertical="bottom"/>
    </xf>
    <xf borderId="2" fillId="0" fontId="25" numFmtId="0" xfId="0" applyAlignment="1" applyBorder="1" applyFont="1">
      <alignment horizontal="center" vertical="bottom"/>
    </xf>
    <xf borderId="3" fillId="0" fontId="12" numFmtId="167" xfId="0" applyAlignment="1" applyBorder="1" applyFont="1" applyNumberFormat="1">
      <alignment horizontal="center" vertical="bottom"/>
    </xf>
    <xf borderId="4" fillId="0" fontId="25" numFmtId="0" xfId="0" applyAlignment="1" applyBorder="1" applyFont="1">
      <alignment horizontal="center" vertical="bottom"/>
    </xf>
    <xf borderId="0" fillId="0" fontId="6" numFmtId="0" xfId="0" applyAlignment="1" applyFont="1">
      <alignment horizontal="left"/>
    </xf>
    <xf borderId="0" fillId="0" fontId="26" numFmtId="0" xfId="0" applyAlignment="1" applyFont="1">
      <alignment vertical="bottom"/>
    </xf>
    <xf borderId="0" fillId="0" fontId="27" numFmtId="0" xfId="0" applyAlignment="1" applyFont="1">
      <alignment horizontal="left" readingOrder="0"/>
    </xf>
    <xf borderId="0" fillId="0" fontId="27" numFmtId="0" xfId="0" applyAlignment="1" applyFont="1">
      <alignment readingOrder="0"/>
    </xf>
    <xf borderId="0" fillId="3" fontId="28" numFmtId="0" xfId="0" applyAlignment="1" applyFont="1">
      <alignment vertical="top"/>
    </xf>
    <xf borderId="0" fillId="0" fontId="29" numFmtId="0" xfId="0" applyAlignment="1" applyFont="1">
      <alignment vertical="top"/>
    </xf>
    <xf borderId="0" fillId="0" fontId="30" numFmtId="0" xfId="0" applyAlignment="1" applyFont="1">
      <alignment vertical="top"/>
    </xf>
    <xf borderId="0" fillId="0" fontId="31" numFmtId="0" xfId="0" applyFont="1"/>
    <xf borderId="0" fillId="3" fontId="32" numFmtId="0" xfId="0" applyAlignment="1" applyFont="1">
      <alignment readingOrder="0" vertical="top"/>
    </xf>
    <xf borderId="0" fillId="3" fontId="30" numFmtId="167" xfId="0" applyAlignment="1" applyFont="1" applyNumberFormat="1">
      <alignment horizontal="right" vertical="top"/>
    </xf>
    <xf borderId="6" fillId="0" fontId="30" numFmtId="0" xfId="0" applyAlignment="1" applyBorder="1" applyFont="1">
      <alignment shrinkToFit="0" vertical="top" wrapText="0"/>
    </xf>
    <xf borderId="0" fillId="0" fontId="33" numFmtId="0" xfId="0" applyAlignment="1" applyFont="1">
      <alignment readingOrder="0" vertical="bottom"/>
    </xf>
    <xf borderId="0" fillId="0" fontId="31" numFmtId="0" xfId="0" applyAlignment="1" applyFont="1">
      <alignment readingOrder="0"/>
    </xf>
    <xf borderId="6" fillId="3" fontId="30" numFmtId="0" xfId="0" applyAlignment="1" applyBorder="1" applyFont="1">
      <alignment shrinkToFit="0" vertical="bottom" wrapText="0"/>
    </xf>
    <xf borderId="0" fillId="3" fontId="34" numFmtId="0" xfId="0" applyAlignment="1" applyFont="1">
      <alignment vertical="top"/>
    </xf>
    <xf borderId="0" fillId="0" fontId="35" numFmtId="0" xfId="0" applyAlignment="1" applyFont="1">
      <alignment vertical="top"/>
    </xf>
    <xf borderId="0" fillId="0" fontId="36" numFmtId="0" xfId="0" applyAlignment="1" applyFont="1">
      <alignment vertical="top"/>
    </xf>
    <xf borderId="0" fillId="3" fontId="37" numFmtId="0" xfId="0" applyAlignment="1" applyFont="1">
      <alignment readingOrder="0" vertical="top"/>
    </xf>
    <xf borderId="0" fillId="3" fontId="38" numFmtId="167" xfId="0" applyAlignment="1" applyFont="1" applyNumberFormat="1">
      <alignment horizontal="right" vertical="top"/>
    </xf>
    <xf borderId="6" fillId="3" fontId="36" numFmtId="0" xfId="0" applyAlignment="1" applyBorder="1" applyFont="1">
      <alignment shrinkToFit="0" vertical="bottom" wrapText="0"/>
    </xf>
    <xf borderId="0" fillId="0" fontId="12" numFmtId="0" xfId="0" applyAlignment="1" applyFont="1">
      <alignment readingOrder="0" vertical="bottom"/>
    </xf>
    <xf borderId="0" fillId="3" fontId="38" numFmtId="0" xfId="0" applyAlignment="1" applyFont="1">
      <alignment vertical="top"/>
    </xf>
    <xf borderId="0" fillId="0" fontId="12" numFmtId="0" xfId="0" applyAlignment="1" applyFont="1">
      <alignment vertical="bottom"/>
    </xf>
    <xf borderId="0" fillId="3" fontId="36" numFmtId="0" xfId="0" applyAlignment="1" applyFont="1">
      <alignment readingOrder="0" vertical="bottom"/>
    </xf>
    <xf borderId="6" fillId="3" fontId="30" numFmtId="0" xfId="0" applyAlignment="1" applyBorder="1" applyFont="1">
      <alignment shrinkToFit="0" vertical="top" wrapText="0"/>
    </xf>
    <xf borderId="0" fillId="0" fontId="39" numFmtId="0" xfId="0" applyAlignment="1" applyFont="1">
      <alignment vertical="top"/>
    </xf>
    <xf borderId="6" fillId="3" fontId="38" numFmtId="0" xfId="0" applyAlignment="1" applyBorder="1" applyFont="1">
      <alignment shrinkToFit="0" vertical="top" wrapText="0"/>
    </xf>
    <xf borderId="0" fillId="0" fontId="30" numFmtId="0" xfId="0" applyAlignment="1" applyFont="1">
      <alignment vertical="top"/>
    </xf>
    <xf borderId="6" fillId="0" fontId="33" numFmtId="0" xfId="0" applyAlignment="1" applyBorder="1" applyFont="1">
      <alignment shrinkToFit="0" vertical="bottom" wrapText="0"/>
    </xf>
    <xf borderId="0" fillId="0" fontId="30" numFmtId="0" xfId="0" applyAlignment="1" applyFont="1">
      <alignment readingOrder="0" vertical="top"/>
    </xf>
    <xf borderId="0" fillId="0" fontId="33" numFmtId="0" xfId="0" applyAlignment="1" applyFont="1">
      <alignment vertical="bottom"/>
    </xf>
    <xf borderId="0" fillId="7" fontId="40" numFmtId="0" xfId="0" applyAlignment="1" applyFill="1" applyFont="1">
      <alignment vertical="top"/>
    </xf>
    <xf borderId="0" fillId="7" fontId="30" numFmtId="167" xfId="0" applyAlignment="1" applyFont="1" applyNumberFormat="1">
      <alignment horizontal="right" vertical="top"/>
    </xf>
    <xf borderId="0" fillId="0" fontId="36" numFmtId="0" xfId="0" applyAlignment="1" applyFont="1">
      <alignment vertical="top"/>
    </xf>
    <xf borderId="0" fillId="3" fontId="33" numFmtId="0" xfId="0" applyAlignment="1" applyFont="1">
      <alignment vertical="top"/>
    </xf>
    <xf borderId="0" fillId="0" fontId="12" numFmtId="0" xfId="0" applyAlignment="1" applyFont="1">
      <alignment vertical="bottom"/>
    </xf>
    <xf borderId="0" fillId="3" fontId="12" numFmtId="0" xfId="0" applyAlignment="1" applyFont="1">
      <alignment vertical="top"/>
    </xf>
    <xf quotePrefix="1" borderId="0" fillId="0" fontId="12" numFmtId="0" xfId="0" applyAlignment="1" applyFont="1">
      <alignment vertical="bottom"/>
    </xf>
    <xf borderId="0" fillId="4" fontId="41" numFmtId="0" xfId="0" applyAlignment="1" applyFont="1">
      <alignment readingOrder="0" shrinkToFit="0" vertical="bottom" wrapText="0"/>
    </xf>
    <xf borderId="0" fillId="4" fontId="23" numFmtId="0" xfId="0" applyAlignment="1" applyFont="1">
      <alignment readingOrder="0"/>
    </xf>
    <xf borderId="0" fillId="4" fontId="23" numFmtId="0" xfId="0" applyFont="1"/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horizontal="center" readingOrder="0" shrinkToFit="0" vertical="bottom" wrapText="0"/>
    </xf>
    <xf borderId="0" fillId="0" fontId="27" numFmtId="0" xfId="0" applyAlignment="1" applyFont="1">
      <alignment horizontal="center" readingOrder="0" shrinkToFit="0" vertical="center" wrapText="1"/>
    </xf>
    <xf borderId="0" fillId="0" fontId="27" numFmtId="0" xfId="0" applyAlignment="1" applyFont="1">
      <alignment horizontal="center" readingOrder="0" vertical="center"/>
    </xf>
    <xf borderId="0" fillId="0" fontId="12" numFmtId="167" xfId="0" applyAlignment="1" applyFont="1" applyNumberFormat="1">
      <alignment horizontal="right" vertical="bottom"/>
    </xf>
    <xf borderId="0" fillId="0" fontId="6" numFmtId="167" xfId="0" applyAlignment="1" applyFont="1" applyNumberFormat="1">
      <alignment readingOrder="0"/>
    </xf>
    <xf borderId="0" fillId="0" fontId="12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Alshiha@hotmail.com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mailto:xx@gmail.com" TargetMode="External"/><Relationship Id="rId22" Type="http://schemas.openxmlformats.org/officeDocument/2006/relationships/hyperlink" Target="https://nshama.my.salesforce.com/00Q1R00001AhyRN" TargetMode="External"/><Relationship Id="rId21" Type="http://schemas.openxmlformats.org/officeDocument/2006/relationships/hyperlink" Target="https://nshama.my.salesforce.com/00Q1R00001AhyRN" TargetMode="External"/><Relationship Id="rId24" Type="http://schemas.openxmlformats.org/officeDocument/2006/relationships/hyperlink" Target="https://nshama.my.salesforce.com/00Q1R00001AhyOE" TargetMode="External"/><Relationship Id="rId23" Type="http://schemas.openxmlformats.org/officeDocument/2006/relationships/hyperlink" Target="mailto:xxx@hotmail.com" TargetMode="External"/><Relationship Id="rId1" Type="http://schemas.openxmlformats.org/officeDocument/2006/relationships/hyperlink" Target="mailto:ayouba561@yahoo.com" TargetMode="External"/><Relationship Id="rId2" Type="http://schemas.openxmlformats.org/officeDocument/2006/relationships/hyperlink" Target="mailto:abortaj12@gmail.com" TargetMode="External"/><Relationship Id="rId3" Type="http://schemas.openxmlformats.org/officeDocument/2006/relationships/hyperlink" Target="mailto:alberto.belladonna@gmail.com" TargetMode="External"/><Relationship Id="rId4" Type="http://schemas.openxmlformats.org/officeDocument/2006/relationships/hyperlink" Target="mailto:jamilsaj@outlook.com" TargetMode="External"/><Relationship Id="rId9" Type="http://schemas.openxmlformats.org/officeDocument/2006/relationships/hyperlink" Target="mailto:no@email.com" TargetMode="External"/><Relationship Id="rId26" Type="http://schemas.openxmlformats.org/officeDocument/2006/relationships/hyperlink" Target="mailto:amaan_iqbal@icloud.com" TargetMode="External"/><Relationship Id="rId25" Type="http://schemas.openxmlformats.org/officeDocument/2006/relationships/hyperlink" Target="https://nshama.my.salesforce.com/00Q1R00001AhyOE" TargetMode="External"/><Relationship Id="rId28" Type="http://schemas.openxmlformats.org/officeDocument/2006/relationships/hyperlink" Target="https://nshama.my.salesforce.com/00Q1R00001AhyMr" TargetMode="External"/><Relationship Id="rId27" Type="http://schemas.openxmlformats.org/officeDocument/2006/relationships/hyperlink" Target="https://nshama.my.salesforce.com/00Q1R00001AhyMr" TargetMode="External"/><Relationship Id="rId5" Type="http://schemas.openxmlformats.org/officeDocument/2006/relationships/hyperlink" Target="mailto:mamdo1908@gmail.com" TargetMode="External"/><Relationship Id="rId6" Type="http://schemas.openxmlformats.org/officeDocument/2006/relationships/hyperlink" Target="mailto:xon@outlook.com" TargetMode="External"/><Relationship Id="rId29" Type="http://schemas.openxmlformats.org/officeDocument/2006/relationships/hyperlink" Target="mailto:ashfaqpavez@gmail.com" TargetMode="External"/><Relationship Id="rId7" Type="http://schemas.openxmlformats.org/officeDocument/2006/relationships/hyperlink" Target="mailto:ceumi@hotmail.com" TargetMode="External"/><Relationship Id="rId8" Type="http://schemas.openxmlformats.org/officeDocument/2006/relationships/hyperlink" Target="mailto:skylinesfuture@gmail.com" TargetMode="External"/><Relationship Id="rId31" Type="http://schemas.openxmlformats.org/officeDocument/2006/relationships/hyperlink" Target="https://nshama.my.salesforce.com/00Q1R00001AhyMS" TargetMode="External"/><Relationship Id="rId30" Type="http://schemas.openxmlformats.org/officeDocument/2006/relationships/hyperlink" Target="https://nshama.my.salesforce.com/00Q1R00001AhyMS" TargetMode="External"/><Relationship Id="rId11" Type="http://schemas.openxmlformats.org/officeDocument/2006/relationships/hyperlink" Target="mailto:x@gmail.com" TargetMode="External"/><Relationship Id="rId33" Type="http://schemas.openxmlformats.org/officeDocument/2006/relationships/hyperlink" Target="https://nshama.my.salesforce.com/00Q1R00001Ahxnh" TargetMode="External"/><Relationship Id="rId10" Type="http://schemas.openxmlformats.org/officeDocument/2006/relationships/hyperlink" Target="mailto:fsebastian@faseba.com" TargetMode="External"/><Relationship Id="rId32" Type="http://schemas.openxmlformats.org/officeDocument/2006/relationships/hyperlink" Target="mailto:ashfaqpavez@gmail.com" TargetMode="External"/><Relationship Id="rId13" Type="http://schemas.openxmlformats.org/officeDocument/2006/relationships/hyperlink" Target="mailto:sagershah@gmail.om" TargetMode="External"/><Relationship Id="rId35" Type="http://schemas.openxmlformats.org/officeDocument/2006/relationships/hyperlink" Target="mailto:xxx@hotmail.com" TargetMode="External"/><Relationship Id="rId12" Type="http://schemas.openxmlformats.org/officeDocument/2006/relationships/hyperlink" Target="mailto:gaughan.liam@gmail.com" TargetMode="External"/><Relationship Id="rId34" Type="http://schemas.openxmlformats.org/officeDocument/2006/relationships/hyperlink" Target="https://nshama.my.salesforce.com/00Q1R00001Ahxnh" TargetMode="External"/><Relationship Id="rId15" Type="http://schemas.openxmlformats.org/officeDocument/2006/relationships/hyperlink" Target="https://nshama.my.salesforce.com/00Q1R00001Ahykt" TargetMode="External"/><Relationship Id="rId37" Type="http://schemas.openxmlformats.org/officeDocument/2006/relationships/hyperlink" Target="https://nshama.my.salesforce.com/00Q1R00001AhxRj" TargetMode="External"/><Relationship Id="rId14" Type="http://schemas.openxmlformats.org/officeDocument/2006/relationships/hyperlink" Target="mailto:architect-chabarek@hotmail.com" TargetMode="External"/><Relationship Id="rId36" Type="http://schemas.openxmlformats.org/officeDocument/2006/relationships/hyperlink" Target="https://nshama.my.salesforce.com/00Q1R00001AhxRj" TargetMode="External"/><Relationship Id="rId17" Type="http://schemas.openxmlformats.org/officeDocument/2006/relationships/hyperlink" Target="mailto:xx@hotmail.com" TargetMode="External"/><Relationship Id="rId39" Type="http://schemas.openxmlformats.org/officeDocument/2006/relationships/drawing" Target="../drawings/drawing3.xml"/><Relationship Id="rId16" Type="http://schemas.openxmlformats.org/officeDocument/2006/relationships/hyperlink" Target="https://nshama.my.salesforce.com/00Q1R00001Ahykt" TargetMode="External"/><Relationship Id="rId38" Type="http://schemas.openxmlformats.org/officeDocument/2006/relationships/hyperlink" Target="mailto:montecristos@1234hotmail.com" TargetMode="External"/><Relationship Id="rId19" Type="http://schemas.openxmlformats.org/officeDocument/2006/relationships/hyperlink" Target="https://nshama.my.salesforce.com/00Q1R00001AhybD" TargetMode="External"/><Relationship Id="rId18" Type="http://schemas.openxmlformats.org/officeDocument/2006/relationships/hyperlink" Target="https://nshama.my.salesforce.com/00Q1R00001AhybD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40" Type="http://schemas.openxmlformats.org/officeDocument/2006/relationships/hyperlink" Target="mailto:wwww@gmail.com" TargetMode="External"/><Relationship Id="rId42" Type="http://schemas.openxmlformats.org/officeDocument/2006/relationships/hyperlink" Target="mailto:alsaedi.abdulla@gmail.com" TargetMode="External"/><Relationship Id="rId41" Type="http://schemas.openxmlformats.org/officeDocument/2006/relationships/hyperlink" Target="https://meraas.my.salesforce.com/0060N00000bKoH7" TargetMode="External"/><Relationship Id="rId44" Type="http://schemas.openxmlformats.org/officeDocument/2006/relationships/hyperlink" Target="mailto:s@gmail.com" TargetMode="External"/><Relationship Id="rId43" Type="http://schemas.openxmlformats.org/officeDocument/2006/relationships/hyperlink" Target="https://meraas.my.salesforce.com/0060N00000bKhxH" TargetMode="External"/><Relationship Id="rId46" Type="http://schemas.openxmlformats.org/officeDocument/2006/relationships/hyperlink" Target="mailto:m@gmail.com" TargetMode="External"/><Relationship Id="rId45" Type="http://schemas.openxmlformats.org/officeDocument/2006/relationships/hyperlink" Target="https://meraas.my.salesforce.com/0060N00000bKhx2" TargetMode="External"/><Relationship Id="rId1" Type="http://schemas.openxmlformats.org/officeDocument/2006/relationships/hyperlink" Target="https://meraas.my.salesforce.com/0060N00000cmeRh" TargetMode="External"/><Relationship Id="rId2" Type="http://schemas.openxmlformats.org/officeDocument/2006/relationships/hyperlink" Target="mailto:ibrahim@almayahihgmail.com" TargetMode="External"/><Relationship Id="rId3" Type="http://schemas.openxmlformats.org/officeDocument/2006/relationships/hyperlink" Target="https://meraas.my.salesforce.com/0060N00000cmeNk" TargetMode="External"/><Relationship Id="rId4" Type="http://schemas.openxmlformats.org/officeDocument/2006/relationships/hyperlink" Target="mailto:wael@haddadgroup.com.au" TargetMode="External"/><Relationship Id="rId9" Type="http://schemas.openxmlformats.org/officeDocument/2006/relationships/hyperlink" Target="https://meraas.my.salesforce.com/0060N00000cmU3R" TargetMode="External"/><Relationship Id="rId48" Type="http://schemas.openxmlformats.org/officeDocument/2006/relationships/hyperlink" Target="mailto:s@gmail.com" TargetMode="External"/><Relationship Id="rId47" Type="http://schemas.openxmlformats.org/officeDocument/2006/relationships/hyperlink" Target="https://meraas.my.salesforce.com/0060N00000bKhvV" TargetMode="External"/><Relationship Id="rId49" Type="http://schemas.openxmlformats.org/officeDocument/2006/relationships/hyperlink" Target="https://meraas.my.salesforce.com/0060N00000bKsyx" TargetMode="External"/><Relationship Id="rId5" Type="http://schemas.openxmlformats.org/officeDocument/2006/relationships/hyperlink" Target="https://meraas.my.salesforce.com/0060N00000cmdgj" TargetMode="External"/><Relationship Id="rId6" Type="http://schemas.openxmlformats.org/officeDocument/2006/relationships/hyperlink" Target="about:blank" TargetMode="External"/><Relationship Id="rId7" Type="http://schemas.openxmlformats.org/officeDocument/2006/relationships/hyperlink" Target="https://meraas.my.salesforce.com/0060N00000cmddL" TargetMode="External"/><Relationship Id="rId8" Type="http://schemas.openxmlformats.org/officeDocument/2006/relationships/hyperlink" Target="about:blank" TargetMode="External"/><Relationship Id="rId31" Type="http://schemas.openxmlformats.org/officeDocument/2006/relationships/hyperlink" Target="https://meraas.my.salesforce.com/0060N00000bKQM8" TargetMode="External"/><Relationship Id="rId30" Type="http://schemas.openxmlformats.org/officeDocument/2006/relationships/hyperlink" Target="mailto:paolo.da@terragena.eu" TargetMode="External"/><Relationship Id="rId33" Type="http://schemas.openxmlformats.org/officeDocument/2006/relationships/hyperlink" Target="https://meraas.my.salesforce.com/0060N00000bKQLZ" TargetMode="External"/><Relationship Id="rId32" Type="http://schemas.openxmlformats.org/officeDocument/2006/relationships/hyperlink" Target="mailto:pascal.elbayeh@hotmail.com" TargetMode="External"/><Relationship Id="rId35" Type="http://schemas.openxmlformats.org/officeDocument/2006/relationships/hyperlink" Target="https://meraas.my.salesforce.com/0060N00000bKCIA" TargetMode="External"/><Relationship Id="rId34" Type="http://schemas.openxmlformats.org/officeDocument/2006/relationships/hyperlink" Target="mailto:faizandedia@gmail.com" TargetMode="External"/><Relationship Id="rId37" Type="http://schemas.openxmlformats.org/officeDocument/2006/relationships/hyperlink" Target="https://meraas.my.salesforce.com/0060N00000bKCHv" TargetMode="External"/><Relationship Id="rId36" Type="http://schemas.openxmlformats.org/officeDocument/2006/relationships/hyperlink" Target="about:blank" TargetMode="External"/><Relationship Id="rId39" Type="http://schemas.openxmlformats.org/officeDocument/2006/relationships/hyperlink" Target="https://meraas.my.salesforce.com/0010N000050ra5U" TargetMode="External"/><Relationship Id="rId38" Type="http://schemas.openxmlformats.org/officeDocument/2006/relationships/hyperlink" Target="mailto:fuad.nazim@pgpgroup.com" TargetMode="External"/><Relationship Id="rId20" Type="http://schemas.openxmlformats.org/officeDocument/2006/relationships/hyperlink" Target="mailto:agmbret@gmail.com" TargetMode="External"/><Relationship Id="rId22" Type="http://schemas.openxmlformats.org/officeDocument/2006/relationships/hyperlink" Target="about:blank" TargetMode="External"/><Relationship Id="rId21" Type="http://schemas.openxmlformats.org/officeDocument/2006/relationships/hyperlink" Target="https://meraas.my.salesforce.com/0060N00000bK6V3" TargetMode="External"/><Relationship Id="rId24" Type="http://schemas.openxmlformats.org/officeDocument/2006/relationships/hyperlink" Target="about:blank" TargetMode="External"/><Relationship Id="rId23" Type="http://schemas.openxmlformats.org/officeDocument/2006/relationships/hyperlink" Target="https://meraas.my.salesforce.com/0060N00000bK6Uy" TargetMode="External"/><Relationship Id="rId26" Type="http://schemas.openxmlformats.org/officeDocument/2006/relationships/hyperlink" Target="mailto:firaz@gmail.com" TargetMode="External"/><Relationship Id="rId25" Type="http://schemas.openxmlformats.org/officeDocument/2006/relationships/hyperlink" Target="https://meraas.my.salesforce.com/0060N00000bK99g" TargetMode="External"/><Relationship Id="rId28" Type="http://schemas.openxmlformats.org/officeDocument/2006/relationships/hyperlink" Target="mailto:and@gmail.ru" TargetMode="External"/><Relationship Id="rId27" Type="http://schemas.openxmlformats.org/officeDocument/2006/relationships/hyperlink" Target="https://meraas.my.salesforce.com/0060N00000bKQMN" TargetMode="External"/><Relationship Id="rId29" Type="http://schemas.openxmlformats.org/officeDocument/2006/relationships/hyperlink" Target="https://meraas.my.salesforce.com/0060N00000bKQMI" TargetMode="External"/><Relationship Id="rId51" Type="http://schemas.openxmlformats.org/officeDocument/2006/relationships/drawing" Target="../drawings/drawing6.xml"/><Relationship Id="rId50" Type="http://schemas.openxmlformats.org/officeDocument/2006/relationships/hyperlink" Target="mailto:mahmoud@farraj.ae" TargetMode="External"/><Relationship Id="rId11" Type="http://schemas.openxmlformats.org/officeDocument/2006/relationships/hyperlink" Target="https://meraas.my.salesforce.com/0060N00000cmU0o" TargetMode="External"/><Relationship Id="rId10" Type="http://schemas.openxmlformats.org/officeDocument/2006/relationships/hyperlink" Target="mailto:h5.s@hotmail.com" TargetMode="External"/><Relationship Id="rId13" Type="http://schemas.openxmlformats.org/officeDocument/2006/relationships/hyperlink" Target="https://meraas.my.salesforce.com/0060N00000cmTv4" TargetMode="External"/><Relationship Id="rId12" Type="http://schemas.openxmlformats.org/officeDocument/2006/relationships/hyperlink" Target="mailto:wassimadlouni@hotmail.com" TargetMode="External"/><Relationship Id="rId15" Type="http://schemas.openxmlformats.org/officeDocument/2006/relationships/hyperlink" Target="https://meraas.my.salesforce.com/0060N00000bK7vX" TargetMode="External"/><Relationship Id="rId14" Type="http://schemas.openxmlformats.org/officeDocument/2006/relationships/hyperlink" Target="mailto:m33233@yahoo.com" TargetMode="External"/><Relationship Id="rId17" Type="http://schemas.openxmlformats.org/officeDocument/2006/relationships/hyperlink" Target="https://meraas.my.salesforce.com/0060N00000bK7jW" TargetMode="External"/><Relationship Id="rId16" Type="http://schemas.openxmlformats.org/officeDocument/2006/relationships/hyperlink" Target="mailto:caftan.fatmaabdulla@gmail.com" TargetMode="External"/><Relationship Id="rId19" Type="http://schemas.openxmlformats.org/officeDocument/2006/relationships/hyperlink" Target="https://meraas.my.salesforce.com/0060N00000bK6VX" TargetMode="External"/><Relationship Id="rId18" Type="http://schemas.openxmlformats.org/officeDocument/2006/relationships/hyperlink" Target="mailto:masoudansari7777@gmail.com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cols>
    <col customWidth="1" min="1" max="1" width="12.57"/>
    <col customWidth="1" min="2" max="2" width="21.43"/>
    <col customWidth="1" min="3" max="3" width="26.43"/>
    <col customWidth="1" min="4" max="4" width="18.14"/>
    <col customWidth="1" min="5" max="5" width="28.86"/>
    <col customWidth="1" min="7" max="7" width="28.86"/>
    <col customWidth="1" min="8" max="8" width="24.14"/>
    <col customWidth="1" min="11" max="11" width="52.14"/>
  </cols>
  <sheetData>
    <row r="1" ht="27.0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6"/>
    </row>
    <row r="2">
      <c r="A2" s="7">
        <v>43594.0</v>
      </c>
      <c r="B2" s="8" t="s">
        <v>11</v>
      </c>
      <c r="C2" s="8" t="s">
        <v>12</v>
      </c>
      <c r="D2" s="8" t="s">
        <v>13</v>
      </c>
      <c r="E2" s="8" t="s">
        <v>14</v>
      </c>
      <c r="F2" s="8" t="s">
        <v>15</v>
      </c>
      <c r="G2" s="9" t="s">
        <v>16</v>
      </c>
      <c r="H2" s="8" t="s">
        <v>17</v>
      </c>
      <c r="I2" s="8" t="s">
        <v>18</v>
      </c>
      <c r="J2" s="8" t="s">
        <v>19</v>
      </c>
      <c r="K2" s="9" t="s">
        <v>20</v>
      </c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11">
        <v>43596.0</v>
      </c>
      <c r="B3" s="8" t="s">
        <v>21</v>
      </c>
      <c r="C3" s="8" t="s">
        <v>22</v>
      </c>
      <c r="D3" s="12">
        <f>+447956894555</f>
        <v>447956894555</v>
      </c>
      <c r="E3" s="8" t="s">
        <v>23</v>
      </c>
      <c r="F3" s="12"/>
      <c r="G3" s="9" t="s">
        <v>16</v>
      </c>
      <c r="H3" s="8" t="s">
        <v>24</v>
      </c>
      <c r="I3" s="8" t="s">
        <v>25</v>
      </c>
      <c r="J3" s="13" t="s">
        <v>26</v>
      </c>
      <c r="K3" s="9" t="s">
        <v>27</v>
      </c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9" t="s">
        <v>28</v>
      </c>
      <c r="B4" s="9" t="s">
        <v>29</v>
      </c>
      <c r="C4" s="9" t="s">
        <v>30</v>
      </c>
      <c r="D4" s="14" t="s">
        <v>31</v>
      </c>
      <c r="E4" s="9" t="s">
        <v>32</v>
      </c>
      <c r="F4" s="9" t="s">
        <v>15</v>
      </c>
      <c r="G4" s="9" t="s">
        <v>33</v>
      </c>
      <c r="H4" s="9" t="s">
        <v>34</v>
      </c>
      <c r="I4" s="15"/>
      <c r="J4" s="9" t="s">
        <v>19</v>
      </c>
      <c r="K4" s="9" t="s">
        <v>35</v>
      </c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16">
        <v>43685.0</v>
      </c>
      <c r="B5" s="9" t="s">
        <v>36</v>
      </c>
      <c r="C5" s="9" t="s">
        <v>37</v>
      </c>
      <c r="D5" s="14" t="s">
        <v>38</v>
      </c>
      <c r="E5" s="15"/>
      <c r="F5" s="9" t="s">
        <v>39</v>
      </c>
      <c r="G5" s="9" t="s">
        <v>16</v>
      </c>
      <c r="H5" s="9" t="s">
        <v>40</v>
      </c>
      <c r="I5" s="15"/>
      <c r="J5" s="9" t="s">
        <v>19</v>
      </c>
      <c r="K5" s="9" t="s">
        <v>41</v>
      </c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16">
        <v>43685.0</v>
      </c>
      <c r="B6" s="9" t="s">
        <v>42</v>
      </c>
      <c r="C6" s="9" t="s">
        <v>43</v>
      </c>
      <c r="D6" s="14" t="s">
        <v>44</v>
      </c>
      <c r="E6" s="15"/>
      <c r="F6" s="15"/>
      <c r="G6" s="9" t="s">
        <v>16</v>
      </c>
      <c r="H6" s="9" t="s">
        <v>45</v>
      </c>
      <c r="I6" s="15"/>
      <c r="J6" s="9" t="s">
        <v>19</v>
      </c>
      <c r="K6" s="9" t="s">
        <v>46</v>
      </c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18.0" customHeight="1">
      <c r="A7" s="16">
        <v>43685.0</v>
      </c>
      <c r="B7" s="9" t="s">
        <v>47</v>
      </c>
      <c r="C7" s="9" t="s">
        <v>48</v>
      </c>
      <c r="D7" s="14" t="s">
        <v>49</v>
      </c>
      <c r="E7" s="15"/>
      <c r="F7" s="15"/>
      <c r="G7" s="9" t="s">
        <v>16</v>
      </c>
      <c r="H7" s="9" t="s">
        <v>50</v>
      </c>
      <c r="I7" s="15"/>
      <c r="J7" s="9" t="s">
        <v>19</v>
      </c>
      <c r="K7" s="9" t="s">
        <v>51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16">
        <v>43685.0</v>
      </c>
      <c r="B8" s="9" t="s">
        <v>52</v>
      </c>
      <c r="C8" s="9" t="s">
        <v>53</v>
      </c>
      <c r="D8" s="14" t="s">
        <v>54</v>
      </c>
      <c r="E8" s="15"/>
      <c r="F8" s="15"/>
      <c r="G8" s="9" t="s">
        <v>16</v>
      </c>
      <c r="H8" s="9" t="s">
        <v>55</v>
      </c>
      <c r="I8" s="15"/>
      <c r="J8" s="9" t="s">
        <v>19</v>
      </c>
      <c r="K8" s="9" t="s">
        <v>56</v>
      </c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16">
        <v>43703.0</v>
      </c>
      <c r="B9" s="17" t="s">
        <v>57</v>
      </c>
      <c r="C9" s="17" t="s">
        <v>58</v>
      </c>
      <c r="D9" s="15"/>
      <c r="E9" s="15"/>
      <c r="F9" s="15"/>
      <c r="G9" s="9" t="s">
        <v>59</v>
      </c>
      <c r="H9" s="17" t="s">
        <v>60</v>
      </c>
      <c r="I9" s="15"/>
      <c r="J9" s="9" t="s">
        <v>19</v>
      </c>
      <c r="K9" s="9" t="s">
        <v>61</v>
      </c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16">
        <v>43704.0</v>
      </c>
      <c r="B10" s="17" t="s">
        <v>62</v>
      </c>
      <c r="C10" s="17" t="s">
        <v>63</v>
      </c>
      <c r="D10" s="18" t="s">
        <v>64</v>
      </c>
      <c r="E10" s="15"/>
      <c r="F10" s="15"/>
      <c r="G10" s="9" t="s">
        <v>59</v>
      </c>
      <c r="H10" s="17" t="s">
        <v>65</v>
      </c>
      <c r="I10" s="15"/>
      <c r="J10" s="9" t="s">
        <v>19</v>
      </c>
      <c r="K10" s="9" t="s">
        <v>66</v>
      </c>
      <c r="L10" s="19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16">
        <v>43705.0</v>
      </c>
      <c r="B11" s="12" t="s">
        <v>67</v>
      </c>
      <c r="C11" s="12" t="s">
        <v>68</v>
      </c>
      <c r="D11" s="20" t="s">
        <v>69</v>
      </c>
      <c r="E11" s="15"/>
      <c r="F11" s="15"/>
      <c r="G11" s="9" t="s">
        <v>59</v>
      </c>
      <c r="H11" s="21" t="s">
        <v>70</v>
      </c>
      <c r="I11" s="15"/>
      <c r="J11" s="9" t="s">
        <v>19</v>
      </c>
      <c r="K11" s="9" t="s">
        <v>71</v>
      </c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15.0" customHeight="1">
      <c r="A12" s="16">
        <v>43706.0</v>
      </c>
      <c r="B12" s="17" t="s">
        <v>72</v>
      </c>
      <c r="C12" s="17" t="s">
        <v>73</v>
      </c>
      <c r="D12" s="17">
        <v>9.62799474464E11</v>
      </c>
      <c r="E12" s="22">
        <v>200000.0</v>
      </c>
      <c r="F12" s="9" t="s">
        <v>74</v>
      </c>
      <c r="G12" s="9" t="s">
        <v>59</v>
      </c>
      <c r="H12" s="17" t="s">
        <v>75</v>
      </c>
      <c r="I12" s="15"/>
      <c r="J12" s="9" t="s">
        <v>19</v>
      </c>
      <c r="K12" s="9" t="s">
        <v>76</v>
      </c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16">
        <v>43708.0</v>
      </c>
      <c r="B13" s="17" t="s">
        <v>77</v>
      </c>
      <c r="C13" s="17" t="s">
        <v>78</v>
      </c>
      <c r="D13" s="18" t="s">
        <v>79</v>
      </c>
      <c r="E13" s="15"/>
      <c r="F13" s="15"/>
      <c r="G13" s="9" t="s">
        <v>59</v>
      </c>
      <c r="H13" s="17" t="s">
        <v>80</v>
      </c>
      <c r="I13" s="15"/>
      <c r="J13" s="9" t="s">
        <v>19</v>
      </c>
      <c r="K13" s="9" t="s">
        <v>71</v>
      </c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16">
        <v>43709.0</v>
      </c>
      <c r="B14" s="17" t="s">
        <v>81</v>
      </c>
      <c r="C14" s="17" t="s">
        <v>82</v>
      </c>
      <c r="D14" s="17">
        <v>5.28006744E8</v>
      </c>
      <c r="E14" s="15"/>
      <c r="F14" s="15"/>
      <c r="G14" s="9" t="s">
        <v>59</v>
      </c>
      <c r="H14" s="17" t="s">
        <v>80</v>
      </c>
      <c r="I14" s="15"/>
      <c r="J14" s="9" t="s">
        <v>19</v>
      </c>
      <c r="K14" s="9" t="s">
        <v>83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16">
        <v>43712.0</v>
      </c>
      <c r="B15" s="17" t="s">
        <v>84</v>
      </c>
      <c r="C15" s="17" t="s">
        <v>85</v>
      </c>
      <c r="D15" s="17">
        <v>8.324886057E9</v>
      </c>
      <c r="E15" s="15"/>
      <c r="F15" s="15"/>
      <c r="G15" s="9" t="s">
        <v>59</v>
      </c>
      <c r="H15" s="17" t="s">
        <v>60</v>
      </c>
      <c r="I15" s="15"/>
      <c r="J15" s="9" t="s">
        <v>19</v>
      </c>
      <c r="K15" s="9" t="s">
        <v>86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16">
        <v>43713.0</v>
      </c>
      <c r="B16" s="17" t="s">
        <v>87</v>
      </c>
      <c r="C16" s="17" t="s">
        <v>88</v>
      </c>
      <c r="D16" s="17">
        <f>+971509793879</f>
        <v>971509793879</v>
      </c>
      <c r="E16" s="15"/>
      <c r="F16" s="15"/>
      <c r="G16" s="9" t="s">
        <v>89</v>
      </c>
      <c r="H16" s="17" t="s">
        <v>90</v>
      </c>
      <c r="I16" s="15"/>
      <c r="J16" s="9" t="s">
        <v>19</v>
      </c>
      <c r="K16" s="9" t="s">
        <v>91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16">
        <v>43713.0</v>
      </c>
      <c r="B17" s="23" t="s">
        <v>92</v>
      </c>
      <c r="C17" s="23" t="s">
        <v>93</v>
      </c>
      <c r="D17" s="24" t="s">
        <v>94</v>
      </c>
      <c r="E17" s="15"/>
      <c r="F17" s="15"/>
      <c r="G17" s="9" t="s">
        <v>95</v>
      </c>
      <c r="H17" s="21" t="s">
        <v>96</v>
      </c>
      <c r="I17" s="15"/>
      <c r="J17" s="9" t="s">
        <v>19</v>
      </c>
      <c r="K17" s="9" t="s">
        <v>97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16">
        <v>43715.0</v>
      </c>
      <c r="B18" s="17" t="s">
        <v>98</v>
      </c>
      <c r="C18" s="17" t="s">
        <v>99</v>
      </c>
      <c r="D18" s="17">
        <v>7.545338062E9</v>
      </c>
      <c r="E18" s="15"/>
      <c r="F18" s="15"/>
      <c r="G18" s="17" t="s">
        <v>75</v>
      </c>
      <c r="H18" s="15"/>
      <c r="I18" s="15"/>
      <c r="J18" s="9" t="s">
        <v>19</v>
      </c>
      <c r="K18" s="9" t="s">
        <v>100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9" t="s">
        <v>101</v>
      </c>
      <c r="B19" s="17" t="s">
        <v>102</v>
      </c>
      <c r="C19" s="17" t="s">
        <v>103</v>
      </c>
      <c r="D19" s="17">
        <f t="shared" ref="D19:D20" si="1">+447914668270</f>
        <v>447914668270</v>
      </c>
      <c r="E19" s="15"/>
      <c r="F19" s="15"/>
      <c r="G19" s="17" t="s">
        <v>104</v>
      </c>
      <c r="H19" s="15"/>
      <c r="I19" s="15"/>
      <c r="J19" s="9" t="s">
        <v>19</v>
      </c>
      <c r="K19" s="9" t="s">
        <v>105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16">
        <v>43722.0</v>
      </c>
      <c r="B20" s="17" t="s">
        <v>102</v>
      </c>
      <c r="C20" s="17" t="s">
        <v>103</v>
      </c>
      <c r="D20" s="17">
        <f t="shared" si="1"/>
        <v>447914668270</v>
      </c>
      <c r="E20" s="15"/>
      <c r="F20" s="15"/>
      <c r="G20" s="25" t="s">
        <v>106</v>
      </c>
      <c r="H20" s="15"/>
      <c r="I20" s="15"/>
      <c r="J20" s="9" t="s">
        <v>19</v>
      </c>
      <c r="K20" s="9" t="s">
        <v>105</v>
      </c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26">
        <v>43730.0</v>
      </c>
      <c r="B21" s="23" t="s">
        <v>107</v>
      </c>
      <c r="C21" s="23" t="s">
        <v>108</v>
      </c>
      <c r="D21" s="24" t="s">
        <v>109</v>
      </c>
      <c r="E21" s="15"/>
      <c r="F21" s="15"/>
      <c r="G21" s="23" t="s">
        <v>110</v>
      </c>
      <c r="H21" s="15"/>
      <c r="I21" s="15"/>
      <c r="J21" s="9" t="s">
        <v>19</v>
      </c>
      <c r="K21" s="9" t="s">
        <v>111</v>
      </c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>
      <c r="A22" s="27">
        <v>43732.0</v>
      </c>
      <c r="B22" s="23" t="s">
        <v>112</v>
      </c>
      <c r="C22" s="23" t="s">
        <v>113</v>
      </c>
      <c r="D22" s="15"/>
      <c r="E22" s="15"/>
      <c r="F22" s="15"/>
      <c r="G22" s="28" t="s">
        <v>114</v>
      </c>
      <c r="H22" s="15"/>
      <c r="I22" s="15"/>
      <c r="J22" s="9" t="s">
        <v>19</v>
      </c>
      <c r="K22" s="9" t="s">
        <v>115</v>
      </c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>
      <c r="A23" s="27">
        <v>43733.0</v>
      </c>
      <c r="B23" s="17" t="s">
        <v>116</v>
      </c>
      <c r="C23" s="17" t="s">
        <v>117</v>
      </c>
      <c r="D23" s="17">
        <f>+971504624230</f>
        <v>971504624230</v>
      </c>
      <c r="E23" s="17" t="s">
        <v>118</v>
      </c>
      <c r="F23" s="15"/>
      <c r="G23" s="17" t="s">
        <v>119</v>
      </c>
      <c r="H23" s="15"/>
      <c r="I23" s="15"/>
      <c r="J23" s="15"/>
      <c r="K23" s="9" t="s">
        <v>120</v>
      </c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>
      <c r="A24" s="30">
        <v>43758.0</v>
      </c>
      <c r="B24" s="17" t="s">
        <v>121</v>
      </c>
      <c r="C24" s="17" t="s">
        <v>122</v>
      </c>
      <c r="D24" s="17">
        <f>+34690305849</f>
        <v>34690305849</v>
      </c>
      <c r="E24" s="17" t="s">
        <v>123</v>
      </c>
      <c r="F24" s="15"/>
      <c r="G24" s="17" t="s">
        <v>124</v>
      </c>
      <c r="H24" s="15"/>
      <c r="I24" s="15"/>
      <c r="J24" s="15"/>
      <c r="K24" s="15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>
      <c r="A25" s="30">
        <v>43759.0</v>
      </c>
      <c r="B25" s="17" t="s">
        <v>125</v>
      </c>
      <c r="C25" s="17" t="s">
        <v>126</v>
      </c>
      <c r="D25" s="17">
        <f>+2348035250959</f>
        <v>2348035250959</v>
      </c>
      <c r="E25" s="17"/>
      <c r="F25" s="15"/>
      <c r="G25" s="17" t="s">
        <v>124</v>
      </c>
      <c r="H25" s="15"/>
      <c r="I25" s="15"/>
      <c r="J25" s="15"/>
      <c r="K25" s="15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>
      <c r="A26" s="30">
        <v>43759.0</v>
      </c>
      <c r="B26" s="17" t="s">
        <v>127</v>
      </c>
      <c r="C26" s="17" t="s">
        <v>128</v>
      </c>
      <c r="D26" s="17">
        <f>+447900692881</f>
        <v>447900692881</v>
      </c>
      <c r="E26" s="17"/>
      <c r="F26" s="15"/>
      <c r="G26" s="17" t="s">
        <v>124</v>
      </c>
      <c r="H26" s="15"/>
      <c r="I26" s="15"/>
      <c r="J26" s="15"/>
      <c r="K26" s="15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>
      <c r="A27" s="30">
        <v>43761.0</v>
      </c>
      <c r="B27" s="17" t="s">
        <v>129</v>
      </c>
      <c r="C27" s="17" t="s">
        <v>130</v>
      </c>
      <c r="D27" s="17">
        <f>+2348033888777</f>
        <v>2348033888777</v>
      </c>
      <c r="E27" s="17"/>
      <c r="F27" s="15"/>
      <c r="G27" s="17" t="s">
        <v>131</v>
      </c>
      <c r="H27" s="15"/>
      <c r="I27" s="15"/>
      <c r="J27" s="15"/>
      <c r="K27" s="15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>
      <c r="A28" s="30">
        <v>43764.0</v>
      </c>
      <c r="B28" s="17" t="s">
        <v>132</v>
      </c>
      <c r="C28" s="17" t="s">
        <v>133</v>
      </c>
      <c r="D28" s="17">
        <f>+213770904526</f>
        <v>213770904526</v>
      </c>
      <c r="E28" s="17" t="s">
        <v>134</v>
      </c>
      <c r="F28" s="15"/>
      <c r="G28" s="17" t="s">
        <v>135</v>
      </c>
      <c r="H28" s="15"/>
      <c r="I28" s="15"/>
      <c r="J28" s="15"/>
      <c r="K28" s="15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>
      <c r="A29" s="30">
        <v>43764.0</v>
      </c>
      <c r="B29" s="17" t="s">
        <v>136</v>
      </c>
      <c r="C29" s="17" t="s">
        <v>137</v>
      </c>
      <c r="D29" s="17">
        <f>+6309266813438</f>
        <v>6309266813438</v>
      </c>
      <c r="E29" s="17" t="s">
        <v>138</v>
      </c>
      <c r="F29" s="15"/>
      <c r="G29" s="17" t="s">
        <v>135</v>
      </c>
      <c r="H29" s="15"/>
      <c r="I29" s="15"/>
      <c r="J29" s="15"/>
      <c r="K29" s="15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>
      <c r="A30" s="30">
        <v>43764.0</v>
      </c>
      <c r="B30" s="17" t="s">
        <v>139</v>
      </c>
      <c r="C30" s="17" t="s">
        <v>140</v>
      </c>
      <c r="D30" s="17">
        <f>+66802880288</f>
        <v>66802880288</v>
      </c>
      <c r="E30" s="17" t="s">
        <v>134</v>
      </c>
      <c r="F30" s="15"/>
      <c r="G30" s="17" t="s">
        <v>135</v>
      </c>
      <c r="H30" s="15"/>
      <c r="I30" s="15"/>
      <c r="J30" s="15"/>
      <c r="K30" s="15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>
      <c r="A31" s="30">
        <v>43764.0</v>
      </c>
      <c r="B31" s="17" t="s">
        <v>141</v>
      </c>
      <c r="C31" s="17" t="s">
        <v>142</v>
      </c>
      <c r="D31" s="17">
        <f>+447760960490</f>
        <v>447760960490</v>
      </c>
      <c r="E31" s="17" t="s">
        <v>143</v>
      </c>
      <c r="F31" s="15"/>
      <c r="G31" s="17" t="s">
        <v>124</v>
      </c>
      <c r="H31" s="15"/>
      <c r="I31" s="15"/>
      <c r="J31" s="15"/>
      <c r="K31" s="15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>
      <c r="A32" s="31">
        <v>43766.0</v>
      </c>
      <c r="B32" s="17" t="s">
        <v>144</v>
      </c>
      <c r="C32" s="17" t="s">
        <v>145</v>
      </c>
      <c r="D32" s="17">
        <f>+447946689941</f>
        <v>447946689941</v>
      </c>
      <c r="E32" s="17" t="s">
        <v>146</v>
      </c>
      <c r="F32" s="15"/>
      <c r="G32" s="17" t="s">
        <v>124</v>
      </c>
      <c r="H32" s="15"/>
      <c r="I32" s="15"/>
      <c r="J32" s="15"/>
      <c r="K32" s="15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>
      <c r="A33" s="32">
        <v>43769.0</v>
      </c>
      <c r="B33" s="23" t="s">
        <v>147</v>
      </c>
      <c r="C33" s="23" t="s">
        <v>148</v>
      </c>
      <c r="D33" s="24" t="s">
        <v>149</v>
      </c>
      <c r="E33" s="17" t="s">
        <v>146</v>
      </c>
      <c r="F33" s="15"/>
      <c r="G33" s="17" t="s">
        <v>150</v>
      </c>
      <c r="H33" s="15"/>
      <c r="I33" s="15"/>
      <c r="J33" s="15"/>
      <c r="K33" s="15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>
      <c r="A34" s="32">
        <v>43771.0</v>
      </c>
      <c r="B34" s="17" t="s">
        <v>151</v>
      </c>
      <c r="C34" s="17" t="s">
        <v>152</v>
      </c>
      <c r="D34" s="17">
        <v>7.526372526E9</v>
      </c>
      <c r="E34" s="17"/>
      <c r="F34" s="15"/>
      <c r="G34" s="17" t="s">
        <v>150</v>
      </c>
      <c r="H34" s="15"/>
      <c r="I34" s="15"/>
      <c r="J34" s="15"/>
      <c r="K34" s="15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>
      <c r="A35" s="32">
        <v>43771.0</v>
      </c>
      <c r="B35" s="17" t="s">
        <v>153</v>
      </c>
      <c r="C35" s="17" t="s">
        <v>154</v>
      </c>
      <c r="D35" s="17">
        <f>+4407503532505</f>
        <v>4407503532505</v>
      </c>
      <c r="E35" s="17"/>
      <c r="F35" s="15"/>
      <c r="G35" s="17" t="s">
        <v>150</v>
      </c>
      <c r="H35" s="15"/>
      <c r="I35" s="15"/>
      <c r="J35" s="15"/>
      <c r="K35" s="15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>
      <c r="A36" s="32">
        <v>43771.0</v>
      </c>
      <c r="B36" s="17" t="s">
        <v>155</v>
      </c>
      <c r="C36" s="17" t="s">
        <v>156</v>
      </c>
      <c r="D36" s="17">
        <f>+447951763884</f>
        <v>447951763884</v>
      </c>
      <c r="E36" s="17"/>
      <c r="F36" s="15"/>
      <c r="G36" s="17" t="s">
        <v>150</v>
      </c>
      <c r="H36" s="15"/>
      <c r="I36" s="15"/>
      <c r="J36" s="15"/>
      <c r="K36" s="15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r="37">
      <c r="A37" s="32">
        <v>43774.0</v>
      </c>
      <c r="B37" s="23" t="s">
        <v>157</v>
      </c>
      <c r="C37" s="23" t="s">
        <v>158</v>
      </c>
      <c r="D37" s="24" t="s">
        <v>159</v>
      </c>
      <c r="E37" s="17"/>
      <c r="F37" s="15"/>
      <c r="G37" s="17" t="s">
        <v>160</v>
      </c>
      <c r="H37" s="15"/>
      <c r="I37" s="15"/>
      <c r="J37" s="15"/>
      <c r="K37" s="15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>
      <c r="A38" s="32">
        <v>43774.0</v>
      </c>
      <c r="B38" s="23" t="s">
        <v>161</v>
      </c>
      <c r="C38" s="23" t="s">
        <v>162</v>
      </c>
      <c r="D38" s="24" t="s">
        <v>163</v>
      </c>
      <c r="E38" s="17"/>
      <c r="F38" s="15"/>
      <c r="G38" s="17" t="s">
        <v>160</v>
      </c>
      <c r="H38" s="15"/>
      <c r="I38" s="15"/>
      <c r="J38" s="15"/>
      <c r="K38" s="15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>
      <c r="A39" s="31">
        <v>43783.0</v>
      </c>
      <c r="B39" s="23" t="s">
        <v>164</v>
      </c>
      <c r="C39" s="23" t="s">
        <v>165</v>
      </c>
      <c r="D39" s="17"/>
      <c r="E39" s="24" t="s">
        <v>166</v>
      </c>
      <c r="F39" s="15"/>
      <c r="G39" s="23" t="s">
        <v>160</v>
      </c>
      <c r="H39" s="15"/>
      <c r="I39" s="15"/>
      <c r="J39" s="15"/>
      <c r="K39" s="15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</row>
    <row r="40">
      <c r="A40" s="31">
        <v>43784.0</v>
      </c>
      <c r="B40" s="17" t="s">
        <v>167</v>
      </c>
      <c r="C40" s="17" t="s">
        <v>168</v>
      </c>
      <c r="D40" s="17">
        <f>+923008445123</f>
        <v>923008445123</v>
      </c>
      <c r="E40" s="15"/>
      <c r="F40" s="15"/>
      <c r="G40" s="17" t="s">
        <v>160</v>
      </c>
      <c r="H40" s="15"/>
      <c r="I40" s="15"/>
      <c r="J40" s="15"/>
      <c r="K40" s="15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</row>
    <row r="41">
      <c r="A41" s="31">
        <v>43784.0</v>
      </c>
      <c r="B41" s="17" t="s">
        <v>169</v>
      </c>
      <c r="C41" s="17" t="s">
        <v>170</v>
      </c>
      <c r="D41" s="17">
        <f>+923033686190</f>
        <v>923033686190</v>
      </c>
      <c r="E41" s="15"/>
      <c r="F41" s="15"/>
      <c r="G41" s="17" t="s">
        <v>160</v>
      </c>
      <c r="H41" s="15"/>
      <c r="I41" s="15"/>
      <c r="J41" s="15"/>
      <c r="K41" s="15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</row>
    <row r="42">
      <c r="A42" s="31">
        <v>43784.0</v>
      </c>
      <c r="B42" s="17" t="s">
        <v>171</v>
      </c>
      <c r="C42" s="17" t="s">
        <v>172</v>
      </c>
      <c r="D42" s="17">
        <f>+923339116661</f>
        <v>923339116661</v>
      </c>
      <c r="E42" s="15"/>
      <c r="F42" s="15"/>
      <c r="G42" s="17" t="s">
        <v>160</v>
      </c>
      <c r="H42" s="15"/>
      <c r="I42" s="15"/>
      <c r="J42" s="15"/>
      <c r="K42" s="15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</row>
    <row r="43">
      <c r="A43" s="33">
        <v>43787.0</v>
      </c>
      <c r="B43" s="17" t="s">
        <v>173</v>
      </c>
      <c r="C43" s="17" t="s">
        <v>174</v>
      </c>
      <c r="D43" s="17">
        <f>+918143000746</f>
        <v>918143000746</v>
      </c>
      <c r="E43" s="15"/>
      <c r="F43" s="15"/>
      <c r="G43" s="17" t="s">
        <v>160</v>
      </c>
      <c r="H43" s="15"/>
      <c r="I43" s="15"/>
      <c r="J43" s="15"/>
      <c r="K43" s="15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</row>
    <row r="44">
      <c r="A44" s="33">
        <v>43787.0</v>
      </c>
      <c r="B44" s="17" t="s">
        <v>175</v>
      </c>
      <c r="C44" s="17" t="s">
        <v>176</v>
      </c>
      <c r="D44" s="17">
        <f>+9109871300007</f>
        <v>9109871300007</v>
      </c>
      <c r="E44" s="15"/>
      <c r="F44" s="15"/>
      <c r="G44" s="17" t="s">
        <v>160</v>
      </c>
      <c r="H44" s="15"/>
      <c r="I44" s="15"/>
      <c r="J44" s="15"/>
      <c r="K44" s="15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</row>
    <row r="45">
      <c r="A45" s="34">
        <v>43795.0</v>
      </c>
      <c r="B45" s="23" t="s">
        <v>177</v>
      </c>
      <c r="C45" s="35" t="s">
        <v>178</v>
      </c>
      <c r="D45" s="23" t="s">
        <v>179</v>
      </c>
      <c r="E45" s="15"/>
      <c r="F45" s="15"/>
      <c r="G45" s="15" t="s">
        <v>150</v>
      </c>
      <c r="H45" s="15"/>
      <c r="I45" s="15"/>
      <c r="J45" s="15"/>
      <c r="K45" s="15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</row>
    <row r="46">
      <c r="A46" s="36">
        <v>43900.0</v>
      </c>
      <c r="B46" s="37" t="s">
        <v>180</v>
      </c>
      <c r="C46" s="37" t="s">
        <v>181</v>
      </c>
      <c r="D46" s="37">
        <f>+966566793200</f>
        <v>966566793200</v>
      </c>
      <c r="E46" s="37" t="s">
        <v>138</v>
      </c>
      <c r="F46" s="38"/>
      <c r="G46" s="37" t="s">
        <v>182</v>
      </c>
      <c r="H46" s="39"/>
      <c r="I46" s="40"/>
      <c r="J46" s="40"/>
      <c r="K46" s="40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</row>
    <row r="47">
      <c r="A47" s="29"/>
      <c r="B47" s="42"/>
      <c r="C47" s="42"/>
      <c r="D47" s="42"/>
      <c r="E47" s="42"/>
      <c r="F47" s="42"/>
      <c r="G47" s="42"/>
      <c r="H47" s="42"/>
      <c r="I47" s="42"/>
      <c r="J47" s="42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</row>
    <row r="48">
      <c r="A48" s="29"/>
      <c r="B48" s="42"/>
      <c r="C48" s="42"/>
      <c r="D48" s="42"/>
      <c r="E48" s="42"/>
      <c r="F48" s="42"/>
      <c r="G48" s="42"/>
      <c r="H48" s="42"/>
      <c r="I48" s="42"/>
      <c r="J48" s="42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</row>
    <row r="49">
      <c r="A49" s="29"/>
      <c r="B49" s="42"/>
      <c r="C49" s="42"/>
      <c r="D49" s="42"/>
      <c r="E49" s="42"/>
      <c r="F49" s="42"/>
      <c r="G49" s="42"/>
      <c r="H49" s="42"/>
      <c r="I49" s="42"/>
      <c r="J49" s="42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</row>
    <row r="50">
      <c r="A50" s="29"/>
      <c r="B50" s="42"/>
      <c r="C50" s="42"/>
      <c r="D50" s="42"/>
      <c r="E50" s="42"/>
      <c r="F50" s="42"/>
      <c r="G50" s="42"/>
      <c r="H50" s="42"/>
      <c r="I50" s="42"/>
      <c r="J50" s="42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</row>
    <row r="51">
      <c r="A51" s="29"/>
      <c r="B51" s="42"/>
      <c r="C51" s="42"/>
      <c r="D51" s="42"/>
      <c r="E51" s="42"/>
      <c r="F51" s="42"/>
      <c r="G51" s="42"/>
      <c r="H51" s="42"/>
      <c r="I51" s="42"/>
      <c r="J51" s="42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</row>
    <row r="52">
      <c r="A52" s="29"/>
      <c r="B52" s="42"/>
      <c r="C52" s="42"/>
      <c r="D52" s="42"/>
      <c r="E52" s="42"/>
      <c r="F52" s="42"/>
      <c r="G52" s="42"/>
      <c r="H52" s="42"/>
      <c r="I52" s="42"/>
      <c r="J52" s="42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</row>
    <row r="53">
      <c r="A53" s="29"/>
      <c r="B53" s="42"/>
      <c r="C53" s="42"/>
      <c r="D53" s="42"/>
      <c r="E53" s="42"/>
      <c r="F53" s="42"/>
      <c r="G53" s="42"/>
      <c r="H53" s="42"/>
      <c r="I53" s="42"/>
      <c r="J53" s="42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</row>
    <row r="54">
      <c r="A54" s="29"/>
      <c r="B54" s="42"/>
      <c r="C54" s="42"/>
      <c r="D54" s="42"/>
      <c r="E54" s="42"/>
      <c r="F54" s="42"/>
      <c r="G54" s="42"/>
      <c r="H54" s="42"/>
      <c r="I54" s="42"/>
      <c r="J54" s="42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</row>
    <row r="55">
      <c r="A55" s="29"/>
      <c r="B55" s="42"/>
      <c r="C55" s="42"/>
      <c r="D55" s="42"/>
      <c r="E55" s="42"/>
      <c r="F55" s="42"/>
      <c r="G55" s="42"/>
      <c r="H55" s="42"/>
      <c r="I55" s="42"/>
      <c r="J55" s="42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</row>
    <row r="56">
      <c r="A56" s="29"/>
      <c r="B56" s="42"/>
      <c r="C56" s="42"/>
      <c r="D56" s="42"/>
      <c r="E56" s="42"/>
      <c r="F56" s="42"/>
      <c r="G56" s="42"/>
      <c r="H56" s="42"/>
      <c r="I56" s="42"/>
      <c r="J56" s="42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</row>
    <row r="57">
      <c r="A57" s="29"/>
      <c r="B57" s="42"/>
      <c r="C57" s="42"/>
      <c r="D57" s="42"/>
      <c r="E57" s="42"/>
      <c r="F57" s="42"/>
      <c r="G57" s="42"/>
      <c r="H57" s="42"/>
      <c r="I57" s="42"/>
      <c r="J57" s="42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</row>
    <row r="58">
      <c r="A58" s="29"/>
      <c r="B58" s="42"/>
      <c r="C58" s="42"/>
      <c r="D58" s="42"/>
      <c r="E58" s="42"/>
      <c r="F58" s="42"/>
      <c r="G58" s="42"/>
      <c r="H58" s="42"/>
      <c r="I58" s="42"/>
      <c r="J58" s="42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</row>
    <row r="59">
      <c r="A59" s="29"/>
      <c r="B59" s="42"/>
      <c r="C59" s="42"/>
      <c r="D59" s="42"/>
      <c r="E59" s="42"/>
      <c r="F59" s="42"/>
      <c r="G59" s="42"/>
      <c r="H59" s="42"/>
      <c r="I59" s="42"/>
      <c r="J59" s="42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</row>
    <row r="60">
      <c r="A60" s="29"/>
      <c r="B60" s="42"/>
      <c r="C60" s="42"/>
      <c r="D60" s="42"/>
      <c r="E60" s="42"/>
      <c r="F60" s="42"/>
      <c r="G60" s="42"/>
      <c r="H60" s="42"/>
      <c r="I60" s="42"/>
      <c r="J60" s="42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</row>
    <row r="61">
      <c r="A61" s="29"/>
      <c r="B61" s="42"/>
      <c r="C61" s="42"/>
      <c r="D61" s="42"/>
      <c r="E61" s="42"/>
      <c r="F61" s="42"/>
      <c r="G61" s="42"/>
      <c r="H61" s="42"/>
      <c r="I61" s="42"/>
      <c r="J61" s="42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</row>
    <row r="62">
      <c r="A62" s="29"/>
      <c r="B62" s="42"/>
      <c r="C62" s="42"/>
      <c r="D62" s="42"/>
      <c r="E62" s="42"/>
      <c r="F62" s="42"/>
      <c r="G62" s="42"/>
      <c r="H62" s="42"/>
      <c r="I62" s="42"/>
      <c r="J62" s="42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</row>
    <row r="63">
      <c r="A63" s="29"/>
      <c r="B63" s="42"/>
      <c r="C63" s="42"/>
      <c r="D63" s="42"/>
      <c r="E63" s="42"/>
      <c r="F63" s="42"/>
      <c r="G63" s="42"/>
      <c r="H63" s="42"/>
      <c r="I63" s="42"/>
      <c r="J63" s="42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</row>
    <row r="64">
      <c r="A64" s="29"/>
      <c r="B64" s="42"/>
      <c r="C64" s="42"/>
      <c r="D64" s="42"/>
      <c r="E64" s="42"/>
      <c r="F64" s="42"/>
      <c r="G64" s="42"/>
      <c r="H64" s="42"/>
      <c r="I64" s="42"/>
      <c r="J64" s="42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r="65">
      <c r="A65" s="29"/>
      <c r="B65" s="42"/>
      <c r="C65" s="42"/>
      <c r="D65" s="42"/>
      <c r="E65" s="42"/>
      <c r="F65" s="42"/>
      <c r="G65" s="42"/>
      <c r="H65" s="42"/>
      <c r="I65" s="42"/>
      <c r="J65" s="42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</row>
    <row r="66">
      <c r="A66" s="29"/>
      <c r="B66" s="42"/>
      <c r="C66" s="42"/>
      <c r="D66" s="42"/>
      <c r="E66" s="42"/>
      <c r="F66" s="42"/>
      <c r="G66" s="42"/>
      <c r="H66" s="42"/>
      <c r="I66" s="42"/>
      <c r="J66" s="42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</row>
    <row r="67">
      <c r="A67" s="29"/>
      <c r="B67" s="42"/>
      <c r="C67" s="42"/>
      <c r="D67" s="42"/>
      <c r="E67" s="42"/>
      <c r="F67" s="42"/>
      <c r="G67" s="42"/>
      <c r="H67" s="42"/>
      <c r="I67" s="42"/>
      <c r="J67" s="42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r="68">
      <c r="A68" s="29"/>
      <c r="B68" s="42"/>
      <c r="C68" s="42"/>
      <c r="D68" s="42"/>
      <c r="E68" s="42"/>
      <c r="F68" s="42"/>
      <c r="G68" s="42"/>
      <c r="H68" s="42"/>
      <c r="I68" s="42"/>
      <c r="J68" s="42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</row>
    <row r="69">
      <c r="A69" s="29"/>
      <c r="B69" s="42"/>
      <c r="C69" s="42"/>
      <c r="D69" s="42"/>
      <c r="E69" s="42"/>
      <c r="F69" s="42"/>
      <c r="G69" s="42"/>
      <c r="H69" s="42"/>
      <c r="I69" s="42"/>
      <c r="J69" s="42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</row>
    <row r="70">
      <c r="A70" s="29"/>
      <c r="B70" s="42"/>
      <c r="C70" s="42"/>
      <c r="D70" s="42"/>
      <c r="E70" s="42"/>
      <c r="F70" s="42"/>
      <c r="G70" s="42"/>
      <c r="H70" s="42"/>
      <c r="I70" s="42"/>
      <c r="J70" s="42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</row>
    <row r="71">
      <c r="A71" s="29"/>
      <c r="B71" s="42"/>
      <c r="C71" s="42"/>
      <c r="D71" s="42"/>
      <c r="E71" s="42"/>
      <c r="F71" s="42"/>
      <c r="G71" s="42"/>
      <c r="H71" s="42"/>
      <c r="I71" s="42"/>
      <c r="J71" s="42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</row>
    <row r="72">
      <c r="A72" s="29"/>
      <c r="B72" s="42"/>
      <c r="C72" s="42"/>
      <c r="D72" s="42"/>
      <c r="E72" s="42"/>
      <c r="F72" s="42"/>
      <c r="G72" s="42"/>
      <c r="H72" s="42"/>
      <c r="I72" s="42"/>
      <c r="J72" s="42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</row>
    <row r="73">
      <c r="A73" s="29"/>
      <c r="B73" s="42"/>
      <c r="C73" s="42"/>
      <c r="D73" s="42"/>
      <c r="E73" s="42"/>
      <c r="F73" s="42"/>
      <c r="G73" s="42"/>
      <c r="H73" s="42"/>
      <c r="I73" s="42"/>
      <c r="J73" s="42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</row>
    <row r="74">
      <c r="A74" s="29"/>
      <c r="B74" s="42"/>
      <c r="C74" s="42"/>
      <c r="D74" s="42"/>
      <c r="E74" s="42"/>
      <c r="F74" s="42"/>
      <c r="G74" s="42"/>
      <c r="H74" s="42"/>
      <c r="I74" s="42"/>
      <c r="J74" s="42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</row>
    <row r="75">
      <c r="A75" s="29"/>
      <c r="B75" s="42"/>
      <c r="C75" s="42"/>
      <c r="D75" s="42"/>
      <c r="E75" s="42"/>
      <c r="F75" s="42"/>
      <c r="G75" s="42"/>
      <c r="H75" s="42"/>
      <c r="I75" s="42"/>
      <c r="J75" s="42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</row>
    <row r="76">
      <c r="A76" s="29"/>
      <c r="B76" s="42"/>
      <c r="C76" s="42"/>
      <c r="D76" s="42"/>
      <c r="E76" s="42"/>
      <c r="F76" s="42"/>
      <c r="G76" s="42"/>
      <c r="H76" s="42"/>
      <c r="I76" s="42"/>
      <c r="J76" s="42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</row>
    <row r="77">
      <c r="A77" s="29"/>
      <c r="B77" s="42"/>
      <c r="C77" s="42"/>
      <c r="D77" s="42"/>
      <c r="E77" s="42"/>
      <c r="F77" s="42"/>
      <c r="G77" s="42"/>
      <c r="H77" s="42"/>
      <c r="I77" s="42"/>
      <c r="J77" s="42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</row>
    <row r="78">
      <c r="A78" s="29"/>
      <c r="B78" s="42"/>
      <c r="C78" s="42"/>
      <c r="D78" s="42"/>
      <c r="E78" s="42"/>
      <c r="F78" s="42"/>
      <c r="G78" s="42"/>
      <c r="H78" s="42"/>
      <c r="I78" s="42"/>
      <c r="J78" s="42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</row>
    <row r="79">
      <c r="A79" s="29"/>
      <c r="B79" s="42"/>
      <c r="C79" s="42"/>
      <c r="D79" s="42"/>
      <c r="E79" s="42"/>
      <c r="F79" s="42"/>
      <c r="G79" s="42"/>
      <c r="H79" s="42"/>
      <c r="I79" s="42"/>
      <c r="J79" s="42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</row>
    <row r="80">
      <c r="A80" s="29"/>
      <c r="B80" s="42"/>
      <c r="C80" s="42"/>
      <c r="D80" s="42"/>
      <c r="E80" s="42"/>
      <c r="F80" s="42"/>
      <c r="G80" s="42"/>
      <c r="H80" s="42"/>
      <c r="I80" s="42"/>
      <c r="J80" s="42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</row>
    <row r="81">
      <c r="A81" s="29"/>
      <c r="B81" s="42"/>
      <c r="C81" s="42"/>
      <c r="D81" s="42"/>
      <c r="E81" s="42"/>
      <c r="F81" s="42"/>
      <c r="G81" s="42"/>
      <c r="H81" s="42"/>
      <c r="I81" s="42"/>
      <c r="J81" s="42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</row>
    <row r="82">
      <c r="A82" s="29"/>
      <c r="B82" s="42"/>
      <c r="C82" s="42"/>
      <c r="D82" s="42"/>
      <c r="E82" s="42"/>
      <c r="F82" s="42"/>
      <c r="G82" s="42"/>
      <c r="H82" s="42"/>
      <c r="I82" s="42"/>
      <c r="J82" s="42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</row>
    <row r="83">
      <c r="A83" s="29"/>
      <c r="B83" s="42"/>
      <c r="C83" s="42"/>
      <c r="D83" s="42"/>
      <c r="E83" s="42"/>
      <c r="F83" s="42"/>
      <c r="G83" s="42"/>
      <c r="H83" s="42"/>
      <c r="I83" s="42"/>
      <c r="J83" s="42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</row>
    <row r="84">
      <c r="A84" s="29"/>
      <c r="B84" s="42"/>
      <c r="C84" s="42"/>
      <c r="D84" s="42"/>
      <c r="E84" s="42"/>
      <c r="F84" s="42"/>
      <c r="G84" s="42"/>
      <c r="H84" s="42"/>
      <c r="I84" s="42"/>
      <c r="J84" s="42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</row>
    <row r="85">
      <c r="A85" s="29"/>
      <c r="B85" s="42"/>
      <c r="C85" s="42"/>
      <c r="D85" s="42"/>
      <c r="E85" s="42"/>
      <c r="F85" s="42"/>
      <c r="G85" s="42"/>
      <c r="H85" s="42"/>
      <c r="I85" s="42"/>
      <c r="J85" s="42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</row>
    <row r="86">
      <c r="A86" s="29"/>
      <c r="B86" s="42"/>
      <c r="C86" s="42"/>
      <c r="D86" s="42"/>
      <c r="E86" s="42"/>
      <c r="F86" s="42"/>
      <c r="G86" s="42"/>
      <c r="H86" s="42"/>
      <c r="I86" s="42"/>
      <c r="J86" s="42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</row>
    <row r="87">
      <c r="A87" s="29"/>
      <c r="B87" s="42"/>
      <c r="C87" s="42"/>
      <c r="D87" s="42"/>
      <c r="E87" s="42"/>
      <c r="F87" s="42"/>
      <c r="G87" s="42"/>
      <c r="H87" s="42"/>
      <c r="I87" s="42"/>
      <c r="J87" s="42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</row>
    <row r="88">
      <c r="A88" s="29"/>
      <c r="B88" s="42"/>
      <c r="C88" s="42"/>
      <c r="D88" s="42"/>
      <c r="E88" s="42"/>
      <c r="F88" s="42"/>
      <c r="G88" s="42"/>
      <c r="H88" s="42"/>
      <c r="I88" s="42"/>
      <c r="J88" s="42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</row>
    <row r="89">
      <c r="A89" s="29"/>
      <c r="B89" s="42"/>
      <c r="C89" s="42"/>
      <c r="D89" s="42"/>
      <c r="E89" s="42"/>
      <c r="F89" s="42"/>
      <c r="G89" s="42"/>
      <c r="H89" s="42"/>
      <c r="I89" s="42"/>
      <c r="J89" s="42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</row>
    <row r="90">
      <c r="A90" s="29"/>
      <c r="B90" s="42"/>
      <c r="C90" s="42"/>
      <c r="D90" s="42"/>
      <c r="E90" s="42"/>
      <c r="F90" s="42"/>
      <c r="G90" s="42"/>
      <c r="H90" s="42"/>
      <c r="I90" s="42"/>
      <c r="J90" s="42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</row>
    <row r="91">
      <c r="A91" s="29"/>
      <c r="B91" s="42"/>
      <c r="C91" s="42"/>
      <c r="D91" s="42"/>
      <c r="E91" s="42"/>
      <c r="F91" s="42"/>
      <c r="G91" s="42"/>
      <c r="H91" s="42"/>
      <c r="I91" s="42"/>
      <c r="J91" s="42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</row>
    <row r="92">
      <c r="A92" s="29"/>
      <c r="B92" s="42"/>
      <c r="C92" s="42"/>
      <c r="D92" s="42"/>
      <c r="E92" s="42"/>
      <c r="F92" s="42"/>
      <c r="G92" s="42"/>
      <c r="H92" s="42"/>
      <c r="I92" s="42"/>
      <c r="J92" s="42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</row>
    <row r="93">
      <c r="A93" s="29"/>
      <c r="B93" s="42"/>
      <c r="C93" s="42"/>
      <c r="D93" s="42"/>
      <c r="E93" s="42"/>
      <c r="F93" s="42"/>
      <c r="G93" s="42"/>
      <c r="H93" s="42"/>
      <c r="I93" s="42"/>
      <c r="J93" s="42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</row>
    <row r="94">
      <c r="A94" s="29"/>
      <c r="B94" s="42"/>
      <c r="C94" s="42"/>
      <c r="D94" s="42"/>
      <c r="E94" s="42"/>
      <c r="F94" s="42"/>
      <c r="G94" s="42"/>
      <c r="H94" s="42"/>
      <c r="I94" s="42"/>
      <c r="J94" s="42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</row>
    <row r="95">
      <c r="A95" s="29"/>
      <c r="B95" s="42"/>
      <c r="C95" s="42"/>
      <c r="D95" s="42"/>
      <c r="E95" s="42"/>
      <c r="F95" s="42"/>
      <c r="G95" s="42"/>
      <c r="H95" s="42"/>
      <c r="I95" s="42"/>
      <c r="J95" s="42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</row>
    <row r="96">
      <c r="A96" s="29"/>
      <c r="B96" s="42"/>
      <c r="C96" s="42"/>
      <c r="D96" s="42"/>
      <c r="E96" s="42"/>
      <c r="F96" s="42"/>
      <c r="G96" s="42"/>
      <c r="H96" s="42"/>
      <c r="I96" s="42"/>
      <c r="J96" s="42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</row>
    <row r="97">
      <c r="A97" s="29"/>
      <c r="B97" s="42"/>
      <c r="C97" s="42"/>
      <c r="D97" s="42"/>
      <c r="E97" s="42"/>
      <c r="F97" s="42"/>
      <c r="G97" s="42"/>
      <c r="H97" s="42"/>
      <c r="I97" s="42"/>
      <c r="J97" s="42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</row>
    <row r="98">
      <c r="A98" s="29"/>
      <c r="B98" s="42"/>
      <c r="C98" s="42"/>
      <c r="D98" s="42"/>
      <c r="E98" s="42"/>
      <c r="F98" s="42"/>
      <c r="G98" s="42"/>
      <c r="H98" s="42"/>
      <c r="I98" s="42"/>
      <c r="J98" s="42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</row>
    <row r="99">
      <c r="A99" s="29"/>
      <c r="B99" s="42"/>
      <c r="C99" s="42"/>
      <c r="D99" s="42"/>
      <c r="E99" s="42"/>
      <c r="F99" s="42"/>
      <c r="G99" s="42"/>
      <c r="H99" s="42"/>
      <c r="I99" s="42"/>
      <c r="J99" s="42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</row>
    <row r="100">
      <c r="A100" s="29"/>
      <c r="B100" s="42"/>
      <c r="C100" s="42"/>
      <c r="D100" s="42"/>
      <c r="E100" s="42"/>
      <c r="F100" s="42"/>
      <c r="G100" s="42"/>
      <c r="H100" s="42"/>
      <c r="I100" s="42"/>
      <c r="J100" s="42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</row>
    <row r="101">
      <c r="A101" s="29"/>
      <c r="B101" s="42"/>
      <c r="C101" s="42"/>
      <c r="D101" s="42"/>
      <c r="E101" s="42"/>
      <c r="F101" s="42"/>
      <c r="G101" s="42"/>
      <c r="H101" s="42"/>
      <c r="I101" s="42"/>
      <c r="J101" s="42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</row>
    <row r="102">
      <c r="A102" s="29"/>
      <c r="B102" s="42"/>
      <c r="C102" s="42"/>
      <c r="D102" s="42"/>
      <c r="E102" s="42"/>
      <c r="F102" s="42"/>
      <c r="G102" s="42"/>
      <c r="H102" s="42"/>
      <c r="I102" s="42"/>
      <c r="J102" s="42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</row>
    <row r="103">
      <c r="A103" s="29"/>
      <c r="B103" s="42"/>
      <c r="C103" s="42"/>
      <c r="D103" s="42"/>
      <c r="E103" s="42"/>
      <c r="F103" s="42"/>
      <c r="G103" s="42"/>
      <c r="H103" s="42"/>
      <c r="I103" s="42"/>
      <c r="J103" s="42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</row>
    <row r="104">
      <c r="A104" s="29"/>
      <c r="B104" s="42"/>
      <c r="C104" s="42"/>
      <c r="D104" s="42"/>
      <c r="E104" s="42"/>
      <c r="F104" s="42"/>
      <c r="G104" s="42"/>
      <c r="H104" s="42"/>
      <c r="I104" s="42"/>
      <c r="J104" s="42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</row>
    <row r="105">
      <c r="A105" s="29"/>
      <c r="B105" s="42"/>
      <c r="C105" s="42"/>
      <c r="D105" s="42"/>
      <c r="E105" s="42"/>
      <c r="F105" s="42"/>
      <c r="G105" s="42"/>
      <c r="H105" s="42"/>
      <c r="I105" s="42"/>
      <c r="J105" s="42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</row>
    <row r="106">
      <c r="A106" s="29"/>
      <c r="B106" s="42"/>
      <c r="C106" s="42"/>
      <c r="D106" s="42"/>
      <c r="E106" s="42"/>
      <c r="F106" s="42"/>
      <c r="G106" s="42"/>
      <c r="H106" s="42"/>
      <c r="I106" s="42"/>
      <c r="J106" s="42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</row>
    <row r="107">
      <c r="A107" s="29"/>
      <c r="B107" s="42"/>
      <c r="C107" s="42"/>
      <c r="D107" s="42"/>
      <c r="E107" s="42"/>
      <c r="F107" s="42"/>
      <c r="G107" s="42"/>
      <c r="H107" s="42"/>
      <c r="I107" s="42"/>
      <c r="J107" s="42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</row>
    <row r="108">
      <c r="A108" s="29"/>
      <c r="B108" s="42"/>
      <c r="C108" s="42"/>
      <c r="D108" s="42"/>
      <c r="E108" s="42"/>
      <c r="F108" s="42"/>
      <c r="G108" s="42"/>
      <c r="H108" s="42"/>
      <c r="I108" s="42"/>
      <c r="J108" s="42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</row>
    <row r="109">
      <c r="A109" s="29"/>
      <c r="B109" s="42"/>
      <c r="C109" s="42"/>
      <c r="D109" s="42"/>
      <c r="E109" s="42"/>
      <c r="F109" s="42"/>
      <c r="G109" s="42"/>
      <c r="H109" s="42"/>
      <c r="I109" s="42"/>
      <c r="J109" s="42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</row>
    <row r="110">
      <c r="A110" s="29"/>
      <c r="B110" s="42"/>
      <c r="C110" s="42"/>
      <c r="D110" s="42"/>
      <c r="E110" s="42"/>
      <c r="F110" s="42"/>
      <c r="G110" s="42"/>
      <c r="H110" s="42"/>
      <c r="I110" s="42"/>
      <c r="J110" s="42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</row>
    <row r="111">
      <c r="A111" s="29"/>
      <c r="B111" s="42"/>
      <c r="C111" s="42"/>
      <c r="D111" s="42"/>
      <c r="E111" s="42"/>
      <c r="F111" s="42"/>
      <c r="G111" s="42"/>
      <c r="H111" s="42"/>
      <c r="I111" s="42"/>
      <c r="J111" s="42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</row>
    <row r="112">
      <c r="A112" s="29"/>
      <c r="B112" s="42"/>
      <c r="C112" s="42"/>
      <c r="D112" s="42"/>
      <c r="E112" s="42"/>
      <c r="F112" s="42"/>
      <c r="G112" s="42"/>
      <c r="H112" s="42"/>
      <c r="I112" s="42"/>
      <c r="J112" s="42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</row>
    <row r="113">
      <c r="A113" s="29"/>
      <c r="B113" s="42"/>
      <c r="C113" s="42"/>
      <c r="D113" s="42"/>
      <c r="E113" s="42"/>
      <c r="F113" s="42"/>
      <c r="G113" s="42"/>
      <c r="H113" s="42"/>
      <c r="I113" s="42"/>
      <c r="J113" s="42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</row>
    <row r="114">
      <c r="A114" s="29"/>
      <c r="B114" s="42"/>
      <c r="C114" s="42"/>
      <c r="D114" s="42"/>
      <c r="E114" s="42"/>
      <c r="F114" s="42"/>
      <c r="G114" s="42"/>
      <c r="H114" s="42"/>
      <c r="I114" s="42"/>
      <c r="J114" s="42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</row>
    <row r="115">
      <c r="A115" s="29"/>
      <c r="B115" s="42"/>
      <c r="C115" s="42"/>
      <c r="D115" s="42"/>
      <c r="E115" s="42"/>
      <c r="F115" s="42"/>
      <c r="G115" s="42"/>
      <c r="H115" s="42"/>
      <c r="I115" s="42"/>
      <c r="J115" s="42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</row>
    <row r="116">
      <c r="A116" s="29"/>
      <c r="B116" s="42"/>
      <c r="C116" s="42"/>
      <c r="D116" s="42"/>
      <c r="E116" s="42"/>
      <c r="F116" s="42"/>
      <c r="G116" s="42"/>
      <c r="H116" s="42"/>
      <c r="I116" s="42"/>
      <c r="J116" s="42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</row>
    <row r="117">
      <c r="A117" s="29"/>
      <c r="B117" s="42"/>
      <c r="C117" s="42"/>
      <c r="D117" s="42"/>
      <c r="E117" s="42"/>
      <c r="F117" s="42"/>
      <c r="G117" s="42"/>
      <c r="H117" s="42"/>
      <c r="I117" s="42"/>
      <c r="J117" s="42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</row>
    <row r="118">
      <c r="A118" s="29"/>
      <c r="B118" s="42"/>
      <c r="C118" s="42"/>
      <c r="D118" s="42"/>
      <c r="E118" s="42"/>
      <c r="F118" s="42"/>
      <c r="G118" s="42"/>
      <c r="H118" s="42"/>
      <c r="I118" s="42"/>
      <c r="J118" s="42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</row>
    <row r="119">
      <c r="A119" s="29"/>
      <c r="B119" s="42"/>
      <c r="C119" s="42"/>
      <c r="D119" s="42"/>
      <c r="E119" s="42"/>
      <c r="F119" s="42"/>
      <c r="G119" s="42"/>
      <c r="H119" s="42"/>
      <c r="I119" s="42"/>
      <c r="J119" s="42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</row>
    <row r="120">
      <c r="A120" s="29"/>
      <c r="B120" s="42"/>
      <c r="C120" s="42"/>
      <c r="D120" s="42"/>
      <c r="E120" s="42"/>
      <c r="F120" s="42"/>
      <c r="G120" s="42"/>
      <c r="H120" s="42"/>
      <c r="I120" s="42"/>
      <c r="J120" s="42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</row>
    <row r="121">
      <c r="A121" s="29"/>
      <c r="B121" s="42"/>
      <c r="C121" s="42"/>
      <c r="D121" s="42"/>
      <c r="E121" s="42"/>
      <c r="F121" s="42"/>
      <c r="G121" s="42"/>
      <c r="H121" s="42"/>
      <c r="I121" s="42"/>
      <c r="J121" s="42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</row>
    <row r="122">
      <c r="A122" s="29"/>
      <c r="B122" s="42"/>
      <c r="C122" s="42"/>
      <c r="D122" s="42"/>
      <c r="E122" s="42"/>
      <c r="F122" s="42"/>
      <c r="G122" s="42"/>
      <c r="H122" s="42"/>
      <c r="I122" s="42"/>
      <c r="J122" s="42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</row>
    <row r="123">
      <c r="A123" s="29"/>
      <c r="B123" s="42"/>
      <c r="C123" s="42"/>
      <c r="D123" s="42"/>
      <c r="E123" s="42"/>
      <c r="F123" s="42"/>
      <c r="G123" s="42"/>
      <c r="H123" s="42"/>
      <c r="I123" s="42"/>
      <c r="J123" s="42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</row>
    <row r="124">
      <c r="A124" s="29"/>
      <c r="B124" s="42"/>
      <c r="C124" s="42"/>
      <c r="D124" s="42"/>
      <c r="E124" s="42"/>
      <c r="F124" s="42"/>
      <c r="G124" s="42"/>
      <c r="H124" s="42"/>
      <c r="I124" s="42"/>
      <c r="J124" s="42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</row>
    <row r="125">
      <c r="A125" s="29"/>
      <c r="B125" s="42"/>
      <c r="C125" s="42"/>
      <c r="D125" s="42"/>
      <c r="E125" s="42"/>
      <c r="F125" s="42"/>
      <c r="G125" s="42"/>
      <c r="H125" s="42"/>
      <c r="I125" s="42"/>
      <c r="J125" s="42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</row>
    <row r="126">
      <c r="A126" s="29"/>
      <c r="B126" s="42"/>
      <c r="C126" s="42"/>
      <c r="D126" s="42"/>
      <c r="E126" s="42"/>
      <c r="F126" s="42"/>
      <c r="G126" s="42"/>
      <c r="H126" s="42"/>
      <c r="I126" s="42"/>
      <c r="J126" s="42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</row>
    <row r="127">
      <c r="A127" s="29"/>
      <c r="B127" s="42"/>
      <c r="C127" s="42"/>
      <c r="D127" s="42"/>
      <c r="E127" s="42"/>
      <c r="F127" s="42"/>
      <c r="G127" s="42"/>
      <c r="H127" s="42"/>
      <c r="I127" s="42"/>
      <c r="J127" s="42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</row>
    <row r="128">
      <c r="A128" s="29"/>
      <c r="B128" s="42"/>
      <c r="C128" s="42"/>
      <c r="D128" s="42"/>
      <c r="E128" s="42"/>
      <c r="F128" s="42"/>
      <c r="G128" s="42"/>
      <c r="H128" s="42"/>
      <c r="I128" s="42"/>
      <c r="J128" s="42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</row>
    <row r="129">
      <c r="A129" s="29"/>
      <c r="B129" s="42"/>
      <c r="C129" s="42"/>
      <c r="D129" s="42"/>
      <c r="E129" s="42"/>
      <c r="F129" s="42"/>
      <c r="G129" s="42"/>
      <c r="H129" s="42"/>
      <c r="I129" s="42"/>
      <c r="J129" s="42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</row>
    <row r="130">
      <c r="A130" s="29"/>
      <c r="B130" s="42"/>
      <c r="C130" s="42"/>
      <c r="D130" s="42"/>
      <c r="E130" s="42"/>
      <c r="F130" s="42"/>
      <c r="G130" s="42"/>
      <c r="H130" s="42"/>
      <c r="I130" s="42"/>
      <c r="J130" s="42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</row>
    <row r="131">
      <c r="A131" s="29"/>
      <c r="B131" s="42"/>
      <c r="C131" s="42"/>
      <c r="D131" s="42"/>
      <c r="E131" s="42"/>
      <c r="F131" s="42"/>
      <c r="G131" s="42"/>
      <c r="H131" s="42"/>
      <c r="I131" s="42"/>
      <c r="J131" s="42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</row>
    <row r="132">
      <c r="A132" s="29"/>
      <c r="B132" s="42"/>
      <c r="C132" s="42"/>
      <c r="D132" s="42"/>
      <c r="E132" s="42"/>
      <c r="F132" s="42"/>
      <c r="G132" s="42"/>
      <c r="H132" s="42"/>
      <c r="I132" s="42"/>
      <c r="J132" s="42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</row>
    <row r="133">
      <c r="A133" s="29"/>
      <c r="B133" s="42"/>
      <c r="C133" s="42"/>
      <c r="D133" s="42"/>
      <c r="E133" s="42"/>
      <c r="F133" s="42"/>
      <c r="G133" s="42"/>
      <c r="H133" s="42"/>
      <c r="I133" s="42"/>
      <c r="J133" s="42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</row>
    <row r="134">
      <c r="A134" s="29"/>
      <c r="B134" s="42"/>
      <c r="C134" s="42"/>
      <c r="D134" s="42"/>
      <c r="E134" s="42"/>
      <c r="F134" s="42"/>
      <c r="G134" s="42"/>
      <c r="H134" s="42"/>
      <c r="I134" s="42"/>
      <c r="J134" s="42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</row>
    <row r="135">
      <c r="A135" s="29"/>
      <c r="B135" s="42"/>
      <c r="C135" s="42"/>
      <c r="D135" s="42"/>
      <c r="E135" s="42"/>
      <c r="F135" s="42"/>
      <c r="G135" s="42"/>
      <c r="H135" s="42"/>
      <c r="I135" s="42"/>
      <c r="J135" s="42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</row>
    <row r="136">
      <c r="A136" s="29"/>
      <c r="B136" s="42"/>
      <c r="C136" s="42"/>
      <c r="D136" s="42"/>
      <c r="E136" s="42"/>
      <c r="F136" s="42"/>
      <c r="G136" s="42"/>
      <c r="H136" s="42"/>
      <c r="I136" s="42"/>
      <c r="J136" s="42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</row>
    <row r="137">
      <c r="A137" s="29"/>
      <c r="B137" s="42"/>
      <c r="C137" s="42"/>
      <c r="D137" s="42"/>
      <c r="E137" s="42"/>
      <c r="F137" s="42"/>
      <c r="G137" s="42"/>
      <c r="H137" s="42"/>
      <c r="I137" s="42"/>
      <c r="J137" s="42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</row>
    <row r="138">
      <c r="A138" s="29"/>
      <c r="B138" s="42"/>
      <c r="C138" s="42"/>
      <c r="D138" s="42"/>
      <c r="E138" s="42"/>
      <c r="F138" s="42"/>
      <c r="G138" s="42"/>
      <c r="H138" s="42"/>
      <c r="I138" s="42"/>
      <c r="J138" s="42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</row>
    <row r="139">
      <c r="A139" s="29"/>
      <c r="B139" s="42"/>
      <c r="C139" s="42"/>
      <c r="D139" s="42"/>
      <c r="E139" s="42"/>
      <c r="F139" s="42"/>
      <c r="G139" s="42"/>
      <c r="H139" s="42"/>
      <c r="I139" s="42"/>
      <c r="J139" s="42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</row>
    <row r="140">
      <c r="A140" s="29"/>
      <c r="B140" s="42"/>
      <c r="C140" s="42"/>
      <c r="D140" s="42"/>
      <c r="E140" s="42"/>
      <c r="F140" s="42"/>
      <c r="G140" s="42"/>
      <c r="H140" s="42"/>
      <c r="I140" s="42"/>
      <c r="J140" s="42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</row>
    <row r="141">
      <c r="A141" s="29"/>
      <c r="B141" s="42"/>
      <c r="C141" s="42"/>
      <c r="D141" s="42"/>
      <c r="E141" s="42"/>
      <c r="F141" s="42"/>
      <c r="G141" s="42"/>
      <c r="H141" s="42"/>
      <c r="I141" s="42"/>
      <c r="J141" s="42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</row>
    <row r="142">
      <c r="A142" s="29"/>
      <c r="B142" s="42"/>
      <c r="C142" s="42"/>
      <c r="D142" s="42"/>
      <c r="E142" s="42"/>
      <c r="F142" s="42"/>
      <c r="G142" s="42"/>
      <c r="H142" s="42"/>
      <c r="I142" s="42"/>
      <c r="J142" s="42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</row>
    <row r="143">
      <c r="A143" s="29"/>
      <c r="B143" s="42"/>
      <c r="C143" s="42"/>
      <c r="D143" s="42"/>
      <c r="E143" s="42"/>
      <c r="F143" s="42"/>
      <c r="G143" s="42"/>
      <c r="H143" s="42"/>
      <c r="I143" s="42"/>
      <c r="J143" s="42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</row>
    <row r="144">
      <c r="A144" s="29"/>
      <c r="B144" s="42"/>
      <c r="C144" s="42"/>
      <c r="D144" s="42"/>
      <c r="E144" s="42"/>
      <c r="F144" s="42"/>
      <c r="G144" s="42"/>
      <c r="H144" s="42"/>
      <c r="I144" s="42"/>
      <c r="J144" s="42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</row>
    <row r="145">
      <c r="A145" s="29"/>
      <c r="B145" s="42"/>
      <c r="C145" s="42"/>
      <c r="D145" s="42"/>
      <c r="E145" s="42"/>
      <c r="F145" s="42"/>
      <c r="G145" s="42"/>
      <c r="H145" s="42"/>
      <c r="I145" s="42"/>
      <c r="J145" s="42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</row>
    <row r="146">
      <c r="A146" s="29"/>
      <c r="B146" s="42"/>
      <c r="C146" s="42"/>
      <c r="D146" s="42"/>
      <c r="E146" s="42"/>
      <c r="F146" s="42"/>
      <c r="G146" s="42"/>
      <c r="H146" s="42"/>
      <c r="I146" s="42"/>
      <c r="J146" s="42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</row>
    <row r="147">
      <c r="A147" s="29"/>
      <c r="B147" s="42"/>
      <c r="C147" s="42"/>
      <c r="D147" s="42"/>
      <c r="E147" s="42"/>
      <c r="F147" s="42"/>
      <c r="G147" s="42"/>
      <c r="H147" s="42"/>
      <c r="I147" s="42"/>
      <c r="J147" s="42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</row>
    <row r="148">
      <c r="A148" s="29"/>
      <c r="B148" s="42"/>
      <c r="C148" s="42"/>
      <c r="D148" s="42"/>
      <c r="E148" s="42"/>
      <c r="F148" s="42"/>
      <c r="G148" s="42"/>
      <c r="H148" s="42"/>
      <c r="I148" s="42"/>
      <c r="J148" s="42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</row>
    <row r="149">
      <c r="A149" s="29"/>
      <c r="B149" s="42"/>
      <c r="C149" s="42"/>
      <c r="D149" s="42"/>
      <c r="E149" s="42"/>
      <c r="F149" s="42"/>
      <c r="G149" s="42"/>
      <c r="H149" s="42"/>
      <c r="I149" s="42"/>
      <c r="J149" s="42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</row>
    <row r="150">
      <c r="A150" s="29"/>
      <c r="B150" s="42"/>
      <c r="C150" s="42"/>
      <c r="D150" s="42"/>
      <c r="E150" s="42"/>
      <c r="F150" s="42"/>
      <c r="G150" s="42"/>
      <c r="H150" s="42"/>
      <c r="I150" s="42"/>
      <c r="J150" s="42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</row>
    <row r="151">
      <c r="A151" s="29"/>
      <c r="B151" s="42"/>
      <c r="C151" s="42"/>
      <c r="D151" s="42"/>
      <c r="E151" s="42"/>
      <c r="F151" s="42"/>
      <c r="G151" s="42"/>
      <c r="H151" s="42"/>
      <c r="I151" s="42"/>
      <c r="J151" s="42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</row>
    <row r="152">
      <c r="A152" s="29"/>
      <c r="B152" s="42"/>
      <c r="C152" s="42"/>
      <c r="D152" s="42"/>
      <c r="E152" s="42"/>
      <c r="F152" s="42"/>
      <c r="G152" s="42"/>
      <c r="H152" s="42"/>
      <c r="I152" s="42"/>
      <c r="J152" s="42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</row>
    <row r="153">
      <c r="A153" s="29"/>
      <c r="B153" s="42"/>
      <c r="C153" s="42"/>
      <c r="D153" s="42"/>
      <c r="E153" s="42"/>
      <c r="F153" s="42"/>
      <c r="G153" s="42"/>
      <c r="H153" s="42"/>
      <c r="I153" s="42"/>
      <c r="J153" s="42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</row>
    <row r="154">
      <c r="A154" s="29"/>
      <c r="B154" s="42"/>
      <c r="C154" s="42"/>
      <c r="D154" s="42"/>
      <c r="E154" s="42"/>
      <c r="F154" s="42"/>
      <c r="G154" s="42"/>
      <c r="H154" s="42"/>
      <c r="I154" s="42"/>
      <c r="J154" s="42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</row>
    <row r="155">
      <c r="A155" s="29"/>
      <c r="B155" s="42"/>
      <c r="C155" s="42"/>
      <c r="D155" s="42"/>
      <c r="E155" s="42"/>
      <c r="F155" s="42"/>
      <c r="G155" s="42"/>
      <c r="H155" s="42"/>
      <c r="I155" s="42"/>
      <c r="J155" s="42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</row>
    <row r="156">
      <c r="A156" s="29"/>
      <c r="B156" s="42"/>
      <c r="C156" s="42"/>
      <c r="D156" s="42"/>
      <c r="E156" s="42"/>
      <c r="F156" s="42"/>
      <c r="G156" s="42"/>
      <c r="H156" s="42"/>
      <c r="I156" s="42"/>
      <c r="J156" s="42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</row>
    <row r="157">
      <c r="A157" s="29"/>
      <c r="B157" s="42"/>
      <c r="C157" s="42"/>
      <c r="D157" s="42"/>
      <c r="E157" s="42"/>
      <c r="F157" s="42"/>
      <c r="G157" s="42"/>
      <c r="H157" s="42"/>
      <c r="I157" s="42"/>
      <c r="J157" s="42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</row>
    <row r="158">
      <c r="A158" s="29"/>
      <c r="B158" s="42"/>
      <c r="C158" s="42"/>
      <c r="D158" s="42"/>
      <c r="E158" s="42"/>
      <c r="F158" s="42"/>
      <c r="G158" s="42"/>
      <c r="H158" s="42"/>
      <c r="I158" s="42"/>
      <c r="J158" s="42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</row>
    <row r="159">
      <c r="A159" s="29"/>
      <c r="B159" s="42"/>
      <c r="C159" s="42"/>
      <c r="D159" s="42"/>
      <c r="E159" s="42"/>
      <c r="F159" s="42"/>
      <c r="G159" s="42"/>
      <c r="H159" s="42"/>
      <c r="I159" s="42"/>
      <c r="J159" s="42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</row>
    <row r="160">
      <c r="A160" s="29"/>
      <c r="B160" s="42"/>
      <c r="C160" s="42"/>
      <c r="D160" s="42"/>
      <c r="E160" s="42"/>
      <c r="F160" s="42"/>
      <c r="G160" s="42"/>
      <c r="H160" s="42"/>
      <c r="I160" s="42"/>
      <c r="J160" s="42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</row>
    <row r="161">
      <c r="A161" s="29"/>
      <c r="B161" s="42"/>
      <c r="C161" s="42"/>
      <c r="D161" s="42"/>
      <c r="E161" s="42"/>
      <c r="F161" s="42"/>
      <c r="G161" s="42"/>
      <c r="H161" s="42"/>
      <c r="I161" s="42"/>
      <c r="J161" s="42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</row>
    <row r="162">
      <c r="A162" s="29"/>
      <c r="B162" s="42"/>
      <c r="C162" s="42"/>
      <c r="D162" s="42"/>
      <c r="E162" s="42"/>
      <c r="F162" s="42"/>
      <c r="G162" s="42"/>
      <c r="H162" s="42"/>
      <c r="I162" s="42"/>
      <c r="J162" s="42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</row>
    <row r="163">
      <c r="A163" s="29"/>
      <c r="B163" s="42"/>
      <c r="C163" s="42"/>
      <c r="D163" s="42"/>
      <c r="E163" s="42"/>
      <c r="F163" s="42"/>
      <c r="G163" s="42"/>
      <c r="H163" s="42"/>
      <c r="I163" s="42"/>
      <c r="J163" s="42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</row>
    <row r="164">
      <c r="A164" s="29"/>
      <c r="B164" s="42"/>
      <c r="C164" s="42"/>
      <c r="D164" s="42"/>
      <c r="E164" s="42"/>
      <c r="F164" s="42"/>
      <c r="G164" s="42"/>
      <c r="H164" s="42"/>
      <c r="I164" s="42"/>
      <c r="J164" s="42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</row>
    <row r="165">
      <c r="A165" s="29"/>
      <c r="B165" s="42"/>
      <c r="C165" s="42"/>
      <c r="D165" s="42"/>
      <c r="E165" s="42"/>
      <c r="F165" s="42"/>
      <c r="G165" s="42"/>
      <c r="H165" s="42"/>
      <c r="I165" s="42"/>
      <c r="J165" s="42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</row>
    <row r="166">
      <c r="A166" s="29"/>
      <c r="B166" s="42"/>
      <c r="C166" s="42"/>
      <c r="D166" s="42"/>
      <c r="E166" s="42"/>
      <c r="F166" s="42"/>
      <c r="G166" s="42"/>
      <c r="H166" s="42"/>
      <c r="I166" s="42"/>
      <c r="J166" s="42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</row>
    <row r="167">
      <c r="A167" s="29"/>
      <c r="B167" s="42"/>
      <c r="C167" s="42"/>
      <c r="D167" s="42"/>
      <c r="E167" s="42"/>
      <c r="F167" s="42"/>
      <c r="G167" s="42"/>
      <c r="H167" s="42"/>
      <c r="I167" s="42"/>
      <c r="J167" s="42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</row>
    <row r="168">
      <c r="A168" s="29"/>
      <c r="B168" s="42"/>
      <c r="C168" s="42"/>
      <c r="D168" s="42"/>
      <c r="E168" s="42"/>
      <c r="F168" s="42"/>
      <c r="G168" s="42"/>
      <c r="H168" s="42"/>
      <c r="I168" s="42"/>
      <c r="J168" s="42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</row>
    <row r="169">
      <c r="A169" s="29"/>
      <c r="B169" s="42"/>
      <c r="C169" s="42"/>
      <c r="D169" s="42"/>
      <c r="E169" s="42"/>
      <c r="F169" s="42"/>
      <c r="G169" s="42"/>
      <c r="H169" s="42"/>
      <c r="I169" s="42"/>
      <c r="J169" s="42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</row>
    <row r="170">
      <c r="A170" s="29"/>
      <c r="B170" s="42"/>
      <c r="C170" s="42"/>
      <c r="D170" s="42"/>
      <c r="E170" s="42"/>
      <c r="F170" s="42"/>
      <c r="G170" s="42"/>
      <c r="H170" s="42"/>
      <c r="I170" s="42"/>
      <c r="J170" s="42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</row>
    <row r="171">
      <c r="A171" s="29"/>
      <c r="B171" s="42"/>
      <c r="C171" s="42"/>
      <c r="D171" s="42"/>
      <c r="E171" s="42"/>
      <c r="F171" s="42"/>
      <c r="G171" s="42"/>
      <c r="H171" s="42"/>
      <c r="I171" s="42"/>
      <c r="J171" s="42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</row>
    <row r="172">
      <c r="A172" s="29"/>
      <c r="B172" s="42"/>
      <c r="C172" s="42"/>
      <c r="D172" s="42"/>
      <c r="E172" s="42"/>
      <c r="F172" s="42"/>
      <c r="G172" s="42"/>
      <c r="H172" s="42"/>
      <c r="I172" s="42"/>
      <c r="J172" s="42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</row>
    <row r="173">
      <c r="A173" s="29"/>
      <c r="B173" s="42"/>
      <c r="C173" s="42"/>
      <c r="D173" s="42"/>
      <c r="E173" s="42"/>
      <c r="F173" s="42"/>
      <c r="G173" s="42"/>
      <c r="H173" s="42"/>
      <c r="I173" s="42"/>
      <c r="J173" s="42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</row>
    <row r="174">
      <c r="A174" s="29"/>
      <c r="B174" s="42"/>
      <c r="C174" s="42"/>
      <c r="D174" s="42"/>
      <c r="E174" s="42"/>
      <c r="F174" s="42"/>
      <c r="G174" s="42"/>
      <c r="H174" s="42"/>
      <c r="I174" s="42"/>
      <c r="J174" s="42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</row>
    <row r="175">
      <c r="A175" s="29"/>
      <c r="B175" s="42"/>
      <c r="C175" s="42"/>
      <c r="D175" s="42"/>
      <c r="E175" s="42"/>
      <c r="F175" s="42"/>
      <c r="G175" s="42"/>
      <c r="H175" s="42"/>
      <c r="I175" s="42"/>
      <c r="J175" s="42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</row>
    <row r="176">
      <c r="A176" s="29"/>
      <c r="B176" s="42"/>
      <c r="C176" s="42"/>
      <c r="D176" s="42"/>
      <c r="E176" s="42"/>
      <c r="F176" s="42"/>
      <c r="G176" s="42"/>
      <c r="H176" s="42"/>
      <c r="I176" s="42"/>
      <c r="J176" s="42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</row>
    <row r="177">
      <c r="A177" s="29"/>
      <c r="B177" s="42"/>
      <c r="C177" s="42"/>
      <c r="D177" s="42"/>
      <c r="E177" s="42"/>
      <c r="F177" s="42"/>
      <c r="G177" s="42"/>
      <c r="H177" s="42"/>
      <c r="I177" s="42"/>
      <c r="J177" s="42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</row>
    <row r="178">
      <c r="A178" s="29"/>
      <c r="B178" s="42"/>
      <c r="C178" s="42"/>
      <c r="D178" s="42"/>
      <c r="E178" s="42"/>
      <c r="F178" s="42"/>
      <c r="G178" s="42"/>
      <c r="H178" s="42"/>
      <c r="I178" s="42"/>
      <c r="J178" s="42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</row>
    <row r="179">
      <c r="A179" s="29"/>
      <c r="B179" s="42"/>
      <c r="C179" s="42"/>
      <c r="D179" s="42"/>
      <c r="E179" s="42"/>
      <c r="F179" s="42"/>
      <c r="G179" s="42"/>
      <c r="H179" s="42"/>
      <c r="I179" s="42"/>
      <c r="J179" s="42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</row>
    <row r="180">
      <c r="A180" s="29"/>
      <c r="B180" s="42"/>
      <c r="C180" s="42"/>
      <c r="D180" s="42"/>
      <c r="E180" s="42"/>
      <c r="F180" s="42"/>
      <c r="G180" s="42"/>
      <c r="H180" s="42"/>
      <c r="I180" s="42"/>
      <c r="J180" s="42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</row>
    <row r="181">
      <c r="A181" s="29"/>
      <c r="B181" s="42"/>
      <c r="C181" s="42"/>
      <c r="D181" s="42"/>
      <c r="E181" s="42"/>
      <c r="F181" s="42"/>
      <c r="G181" s="42"/>
      <c r="H181" s="42"/>
      <c r="I181" s="42"/>
      <c r="J181" s="42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</row>
    <row r="182">
      <c r="A182" s="29"/>
      <c r="B182" s="42"/>
      <c r="C182" s="42"/>
      <c r="D182" s="42"/>
      <c r="E182" s="42"/>
      <c r="F182" s="42"/>
      <c r="G182" s="42"/>
      <c r="H182" s="42"/>
      <c r="I182" s="42"/>
      <c r="J182" s="42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</row>
    <row r="183">
      <c r="A183" s="29"/>
      <c r="B183" s="42"/>
      <c r="C183" s="42"/>
      <c r="D183" s="42"/>
      <c r="E183" s="42"/>
      <c r="F183" s="42"/>
      <c r="G183" s="42"/>
      <c r="H183" s="42"/>
      <c r="I183" s="42"/>
      <c r="J183" s="42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</row>
    <row r="184">
      <c r="A184" s="29"/>
      <c r="B184" s="42"/>
      <c r="C184" s="42"/>
      <c r="D184" s="42"/>
      <c r="E184" s="42"/>
      <c r="F184" s="42"/>
      <c r="G184" s="42"/>
      <c r="H184" s="42"/>
      <c r="I184" s="42"/>
      <c r="J184" s="42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</row>
    <row r="185">
      <c r="A185" s="29"/>
      <c r="B185" s="42"/>
      <c r="C185" s="42"/>
      <c r="D185" s="42"/>
      <c r="E185" s="42"/>
      <c r="F185" s="42"/>
      <c r="G185" s="42"/>
      <c r="H185" s="42"/>
      <c r="I185" s="42"/>
      <c r="J185" s="42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</row>
    <row r="186">
      <c r="A186" s="29"/>
      <c r="B186" s="42"/>
      <c r="C186" s="42"/>
      <c r="D186" s="42"/>
      <c r="E186" s="42"/>
      <c r="F186" s="42"/>
      <c r="G186" s="42"/>
      <c r="H186" s="42"/>
      <c r="I186" s="42"/>
      <c r="J186" s="42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</row>
    <row r="187">
      <c r="A187" s="29"/>
      <c r="B187" s="42"/>
      <c r="C187" s="42"/>
      <c r="D187" s="42"/>
      <c r="E187" s="42"/>
      <c r="F187" s="42"/>
      <c r="G187" s="42"/>
      <c r="H187" s="42"/>
      <c r="I187" s="42"/>
      <c r="J187" s="42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</row>
    <row r="188">
      <c r="A188" s="29"/>
      <c r="B188" s="42"/>
      <c r="C188" s="42"/>
      <c r="D188" s="42"/>
      <c r="E188" s="42"/>
      <c r="F188" s="42"/>
      <c r="G188" s="42"/>
      <c r="H188" s="42"/>
      <c r="I188" s="42"/>
      <c r="J188" s="42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</row>
    <row r="189">
      <c r="A189" s="29"/>
      <c r="B189" s="42"/>
      <c r="C189" s="42"/>
      <c r="D189" s="42"/>
      <c r="E189" s="42"/>
      <c r="F189" s="42"/>
      <c r="G189" s="42"/>
      <c r="H189" s="42"/>
      <c r="I189" s="42"/>
      <c r="J189" s="42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</row>
    <row r="190">
      <c r="A190" s="29"/>
      <c r="B190" s="42"/>
      <c r="C190" s="42"/>
      <c r="D190" s="42"/>
      <c r="E190" s="42"/>
      <c r="F190" s="42"/>
      <c r="G190" s="42"/>
      <c r="H190" s="42"/>
      <c r="I190" s="42"/>
      <c r="J190" s="42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</row>
    <row r="191">
      <c r="A191" s="29"/>
      <c r="B191" s="42"/>
      <c r="C191" s="42"/>
      <c r="D191" s="42"/>
      <c r="E191" s="42"/>
      <c r="F191" s="42"/>
      <c r="G191" s="42"/>
      <c r="H191" s="42"/>
      <c r="I191" s="42"/>
      <c r="J191" s="42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</row>
    <row r="192">
      <c r="A192" s="29"/>
      <c r="B192" s="42"/>
      <c r="C192" s="42"/>
      <c r="D192" s="42"/>
      <c r="E192" s="42"/>
      <c r="F192" s="42"/>
      <c r="G192" s="42"/>
      <c r="H192" s="42"/>
      <c r="I192" s="42"/>
      <c r="J192" s="42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</row>
    <row r="193">
      <c r="A193" s="29"/>
      <c r="B193" s="42"/>
      <c r="C193" s="42"/>
      <c r="D193" s="42"/>
      <c r="E193" s="42"/>
      <c r="F193" s="42"/>
      <c r="G193" s="42"/>
      <c r="H193" s="42"/>
      <c r="I193" s="42"/>
      <c r="J193" s="42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</row>
    <row r="194">
      <c r="A194" s="29"/>
      <c r="B194" s="42"/>
      <c r="C194" s="42"/>
      <c r="D194" s="42"/>
      <c r="E194" s="42"/>
      <c r="F194" s="42"/>
      <c r="G194" s="42"/>
      <c r="H194" s="42"/>
      <c r="I194" s="42"/>
      <c r="J194" s="42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</row>
    <row r="195">
      <c r="A195" s="29"/>
      <c r="B195" s="42"/>
      <c r="C195" s="42"/>
      <c r="D195" s="42"/>
      <c r="E195" s="42"/>
      <c r="F195" s="42"/>
      <c r="G195" s="42"/>
      <c r="H195" s="42"/>
      <c r="I195" s="42"/>
      <c r="J195" s="42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</row>
    <row r="196">
      <c r="A196" s="29"/>
      <c r="B196" s="42"/>
      <c r="C196" s="42"/>
      <c r="D196" s="42"/>
      <c r="E196" s="42"/>
      <c r="F196" s="42"/>
      <c r="G196" s="42"/>
      <c r="H196" s="42"/>
      <c r="I196" s="42"/>
      <c r="J196" s="42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</row>
    <row r="197">
      <c r="A197" s="29"/>
      <c r="B197" s="42"/>
      <c r="C197" s="42"/>
      <c r="D197" s="42"/>
      <c r="E197" s="42"/>
      <c r="F197" s="42"/>
      <c r="G197" s="42"/>
      <c r="H197" s="42"/>
      <c r="I197" s="42"/>
      <c r="J197" s="42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</row>
    <row r="198">
      <c r="A198" s="29"/>
      <c r="B198" s="42"/>
      <c r="C198" s="42"/>
      <c r="D198" s="42"/>
      <c r="E198" s="42"/>
      <c r="F198" s="42"/>
      <c r="G198" s="42"/>
      <c r="H198" s="42"/>
      <c r="I198" s="42"/>
      <c r="J198" s="42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</row>
    <row r="199">
      <c r="A199" s="29"/>
      <c r="B199" s="42"/>
      <c r="C199" s="42"/>
      <c r="D199" s="42"/>
      <c r="E199" s="42"/>
      <c r="F199" s="42"/>
      <c r="G199" s="42"/>
      <c r="H199" s="42"/>
      <c r="I199" s="42"/>
      <c r="J199" s="42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</row>
    <row r="200">
      <c r="A200" s="29"/>
      <c r="B200" s="42"/>
      <c r="C200" s="42"/>
      <c r="D200" s="42"/>
      <c r="E200" s="42"/>
      <c r="F200" s="42"/>
      <c r="G200" s="42"/>
      <c r="H200" s="42"/>
      <c r="I200" s="42"/>
      <c r="J200" s="42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</row>
    <row r="201">
      <c r="A201" s="29"/>
      <c r="B201" s="42"/>
      <c r="C201" s="42"/>
      <c r="D201" s="42"/>
      <c r="E201" s="42"/>
      <c r="F201" s="42"/>
      <c r="G201" s="42"/>
      <c r="H201" s="42"/>
      <c r="I201" s="42"/>
      <c r="J201" s="42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</row>
    <row r="202">
      <c r="A202" s="29"/>
      <c r="B202" s="42"/>
      <c r="C202" s="42"/>
      <c r="D202" s="42"/>
      <c r="E202" s="42"/>
      <c r="F202" s="42"/>
      <c r="G202" s="42"/>
      <c r="H202" s="42"/>
      <c r="I202" s="42"/>
      <c r="J202" s="42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</row>
    <row r="203">
      <c r="A203" s="29"/>
      <c r="B203" s="42"/>
      <c r="C203" s="42"/>
      <c r="D203" s="42"/>
      <c r="E203" s="42"/>
      <c r="F203" s="42"/>
      <c r="G203" s="42"/>
      <c r="H203" s="42"/>
      <c r="I203" s="42"/>
      <c r="J203" s="42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</row>
    <row r="204">
      <c r="A204" s="29"/>
      <c r="B204" s="42"/>
      <c r="C204" s="42"/>
      <c r="D204" s="42"/>
      <c r="E204" s="42"/>
      <c r="F204" s="42"/>
      <c r="G204" s="42"/>
      <c r="H204" s="42"/>
      <c r="I204" s="42"/>
      <c r="J204" s="42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</row>
    <row r="205">
      <c r="A205" s="29"/>
      <c r="B205" s="42"/>
      <c r="C205" s="42"/>
      <c r="D205" s="42"/>
      <c r="E205" s="42"/>
      <c r="F205" s="42"/>
      <c r="G205" s="42"/>
      <c r="H205" s="42"/>
      <c r="I205" s="42"/>
      <c r="J205" s="42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</row>
    <row r="206">
      <c r="A206" s="29"/>
      <c r="B206" s="42"/>
      <c r="C206" s="42"/>
      <c r="D206" s="42"/>
      <c r="E206" s="42"/>
      <c r="F206" s="42"/>
      <c r="G206" s="42"/>
      <c r="H206" s="42"/>
      <c r="I206" s="42"/>
      <c r="J206" s="42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</row>
    <row r="207">
      <c r="A207" s="29"/>
      <c r="B207" s="42"/>
      <c r="C207" s="42"/>
      <c r="D207" s="42"/>
      <c r="E207" s="42"/>
      <c r="F207" s="42"/>
      <c r="G207" s="42"/>
      <c r="H207" s="42"/>
      <c r="I207" s="42"/>
      <c r="J207" s="42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</row>
    <row r="208">
      <c r="A208" s="29"/>
      <c r="B208" s="42"/>
      <c r="C208" s="42"/>
      <c r="D208" s="42"/>
      <c r="E208" s="42"/>
      <c r="F208" s="42"/>
      <c r="G208" s="42"/>
      <c r="H208" s="42"/>
      <c r="I208" s="42"/>
      <c r="J208" s="42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</row>
    <row r="209">
      <c r="A209" s="29"/>
      <c r="B209" s="42"/>
      <c r="C209" s="42"/>
      <c r="D209" s="42"/>
      <c r="E209" s="42"/>
      <c r="F209" s="42"/>
      <c r="G209" s="42"/>
      <c r="H209" s="42"/>
      <c r="I209" s="42"/>
      <c r="J209" s="42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</row>
    <row r="210">
      <c r="A210" s="29"/>
      <c r="B210" s="42"/>
      <c r="C210" s="42"/>
      <c r="D210" s="42"/>
      <c r="E210" s="42"/>
      <c r="F210" s="42"/>
      <c r="G210" s="42"/>
      <c r="H210" s="42"/>
      <c r="I210" s="42"/>
      <c r="J210" s="42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</row>
    <row r="211">
      <c r="A211" s="29"/>
      <c r="B211" s="42"/>
      <c r="C211" s="42"/>
      <c r="D211" s="42"/>
      <c r="E211" s="42"/>
      <c r="F211" s="42"/>
      <c r="G211" s="42"/>
      <c r="H211" s="42"/>
      <c r="I211" s="42"/>
      <c r="J211" s="42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</row>
    <row r="212">
      <c r="A212" s="29"/>
      <c r="B212" s="42"/>
      <c r="C212" s="42"/>
      <c r="D212" s="42"/>
      <c r="E212" s="42"/>
      <c r="F212" s="42"/>
      <c r="G212" s="42"/>
      <c r="H212" s="42"/>
      <c r="I212" s="42"/>
      <c r="J212" s="42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</row>
    <row r="213">
      <c r="A213" s="29"/>
      <c r="B213" s="42"/>
      <c r="C213" s="42"/>
      <c r="D213" s="42"/>
      <c r="E213" s="42"/>
      <c r="F213" s="42"/>
      <c r="G213" s="42"/>
      <c r="H213" s="42"/>
      <c r="I213" s="42"/>
      <c r="J213" s="42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</row>
    <row r="214">
      <c r="A214" s="29"/>
      <c r="B214" s="42"/>
      <c r="C214" s="42"/>
      <c r="D214" s="42"/>
      <c r="E214" s="42"/>
      <c r="F214" s="42"/>
      <c r="G214" s="42"/>
      <c r="H214" s="42"/>
      <c r="I214" s="42"/>
      <c r="J214" s="42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</row>
    <row r="215">
      <c r="A215" s="29"/>
      <c r="B215" s="42"/>
      <c r="C215" s="42"/>
      <c r="D215" s="42"/>
      <c r="E215" s="42"/>
      <c r="F215" s="42"/>
      <c r="G215" s="42"/>
      <c r="H215" s="42"/>
      <c r="I215" s="42"/>
      <c r="J215" s="42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</row>
    <row r="216">
      <c r="A216" s="29"/>
      <c r="B216" s="42"/>
      <c r="C216" s="42"/>
      <c r="D216" s="42"/>
      <c r="E216" s="42"/>
      <c r="F216" s="42"/>
      <c r="G216" s="42"/>
      <c r="H216" s="42"/>
      <c r="I216" s="42"/>
      <c r="J216" s="42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</row>
    <row r="217">
      <c r="A217" s="29"/>
      <c r="B217" s="42"/>
      <c r="C217" s="42"/>
      <c r="D217" s="42"/>
      <c r="E217" s="42"/>
      <c r="F217" s="42"/>
      <c r="G217" s="42"/>
      <c r="H217" s="42"/>
      <c r="I217" s="42"/>
      <c r="J217" s="42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</row>
    <row r="218">
      <c r="A218" s="29"/>
      <c r="B218" s="42"/>
      <c r="C218" s="42"/>
      <c r="D218" s="42"/>
      <c r="E218" s="42"/>
      <c r="F218" s="42"/>
      <c r="G218" s="42"/>
      <c r="H218" s="42"/>
      <c r="I218" s="42"/>
      <c r="J218" s="42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</row>
    <row r="219">
      <c r="A219" s="29"/>
      <c r="B219" s="42"/>
      <c r="C219" s="42"/>
      <c r="D219" s="42"/>
      <c r="E219" s="42"/>
      <c r="F219" s="42"/>
      <c r="G219" s="42"/>
      <c r="H219" s="42"/>
      <c r="I219" s="42"/>
      <c r="J219" s="42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</row>
    <row r="220">
      <c r="A220" s="29"/>
      <c r="B220" s="42"/>
      <c r="C220" s="42"/>
      <c r="D220" s="42"/>
      <c r="E220" s="42"/>
      <c r="F220" s="42"/>
      <c r="G220" s="42"/>
      <c r="H220" s="42"/>
      <c r="I220" s="42"/>
      <c r="J220" s="42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</row>
    <row r="221">
      <c r="A221" s="29"/>
      <c r="B221" s="42"/>
      <c r="C221" s="42"/>
      <c r="D221" s="42"/>
      <c r="E221" s="42"/>
      <c r="F221" s="42"/>
      <c r="G221" s="42"/>
      <c r="H221" s="42"/>
      <c r="I221" s="42"/>
      <c r="J221" s="42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</row>
    <row r="222">
      <c r="A222" s="29"/>
      <c r="B222" s="42"/>
      <c r="C222" s="42"/>
      <c r="D222" s="42"/>
      <c r="E222" s="42"/>
      <c r="F222" s="42"/>
      <c r="G222" s="42"/>
      <c r="H222" s="42"/>
      <c r="I222" s="42"/>
      <c r="J222" s="42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</row>
    <row r="223">
      <c r="A223" s="29"/>
      <c r="B223" s="42"/>
      <c r="C223" s="42"/>
      <c r="D223" s="42"/>
      <c r="E223" s="42"/>
      <c r="F223" s="42"/>
      <c r="G223" s="42"/>
      <c r="H223" s="42"/>
      <c r="I223" s="42"/>
      <c r="J223" s="42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</row>
    <row r="224">
      <c r="A224" s="29"/>
      <c r="B224" s="42"/>
      <c r="C224" s="42"/>
      <c r="D224" s="42"/>
      <c r="E224" s="42"/>
      <c r="F224" s="42"/>
      <c r="G224" s="42"/>
      <c r="H224" s="42"/>
      <c r="I224" s="42"/>
      <c r="J224" s="42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</row>
    <row r="225">
      <c r="A225" s="29"/>
      <c r="B225" s="42"/>
      <c r="C225" s="42"/>
      <c r="D225" s="42"/>
      <c r="E225" s="42"/>
      <c r="F225" s="42"/>
      <c r="G225" s="42"/>
      <c r="H225" s="42"/>
      <c r="I225" s="42"/>
      <c r="J225" s="42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</row>
    <row r="226">
      <c r="A226" s="29"/>
      <c r="B226" s="42"/>
      <c r="C226" s="42"/>
      <c r="D226" s="42"/>
      <c r="E226" s="42"/>
      <c r="F226" s="42"/>
      <c r="G226" s="42"/>
      <c r="H226" s="42"/>
      <c r="I226" s="42"/>
      <c r="J226" s="42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</row>
    <row r="227">
      <c r="A227" s="29"/>
      <c r="B227" s="42"/>
      <c r="C227" s="42"/>
      <c r="D227" s="42"/>
      <c r="E227" s="42"/>
      <c r="F227" s="42"/>
      <c r="G227" s="42"/>
      <c r="H227" s="42"/>
      <c r="I227" s="42"/>
      <c r="J227" s="42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</row>
    <row r="228">
      <c r="A228" s="29"/>
      <c r="B228" s="42"/>
      <c r="C228" s="42"/>
      <c r="D228" s="42"/>
      <c r="E228" s="42"/>
      <c r="F228" s="42"/>
      <c r="G228" s="42"/>
      <c r="H228" s="42"/>
      <c r="I228" s="42"/>
      <c r="J228" s="42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</row>
    <row r="229">
      <c r="A229" s="29"/>
      <c r="B229" s="42"/>
      <c r="C229" s="42"/>
      <c r="D229" s="42"/>
      <c r="E229" s="42"/>
      <c r="F229" s="42"/>
      <c r="G229" s="42"/>
      <c r="H229" s="42"/>
      <c r="I229" s="42"/>
      <c r="J229" s="42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</row>
    <row r="230">
      <c r="A230" s="29"/>
      <c r="B230" s="42"/>
      <c r="C230" s="42"/>
      <c r="D230" s="42"/>
      <c r="E230" s="42"/>
      <c r="F230" s="42"/>
      <c r="G230" s="42"/>
      <c r="H230" s="42"/>
      <c r="I230" s="42"/>
      <c r="J230" s="42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</row>
    <row r="231">
      <c r="A231" s="29"/>
      <c r="B231" s="42"/>
      <c r="C231" s="42"/>
      <c r="D231" s="42"/>
      <c r="E231" s="42"/>
      <c r="F231" s="42"/>
      <c r="G231" s="42"/>
      <c r="H231" s="42"/>
      <c r="I231" s="42"/>
      <c r="J231" s="42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</row>
    <row r="232">
      <c r="A232" s="29"/>
      <c r="B232" s="42"/>
      <c r="C232" s="42"/>
      <c r="D232" s="42"/>
      <c r="E232" s="42"/>
      <c r="F232" s="42"/>
      <c r="G232" s="42"/>
      <c r="H232" s="42"/>
      <c r="I232" s="42"/>
      <c r="J232" s="42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</row>
    <row r="233">
      <c r="A233" s="29"/>
      <c r="B233" s="42"/>
      <c r="C233" s="42"/>
      <c r="D233" s="42"/>
      <c r="E233" s="42"/>
      <c r="F233" s="42"/>
      <c r="G233" s="42"/>
      <c r="H233" s="42"/>
      <c r="I233" s="42"/>
      <c r="J233" s="42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</row>
    <row r="234">
      <c r="A234" s="29"/>
      <c r="B234" s="42"/>
      <c r="C234" s="42"/>
      <c r="D234" s="42"/>
      <c r="E234" s="42"/>
      <c r="F234" s="42"/>
      <c r="G234" s="42"/>
      <c r="H234" s="42"/>
      <c r="I234" s="42"/>
      <c r="J234" s="42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</row>
    <row r="235">
      <c r="A235" s="29"/>
      <c r="B235" s="42"/>
      <c r="C235" s="42"/>
      <c r="D235" s="42"/>
      <c r="E235" s="42"/>
      <c r="F235" s="42"/>
      <c r="G235" s="42"/>
      <c r="H235" s="42"/>
      <c r="I235" s="42"/>
      <c r="J235" s="42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</row>
    <row r="236">
      <c r="A236" s="29"/>
      <c r="B236" s="42"/>
      <c r="C236" s="42"/>
      <c r="D236" s="42"/>
      <c r="E236" s="42"/>
      <c r="F236" s="42"/>
      <c r="G236" s="42"/>
      <c r="H236" s="42"/>
      <c r="I236" s="42"/>
      <c r="J236" s="42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</row>
    <row r="237">
      <c r="A237" s="29"/>
      <c r="B237" s="42"/>
      <c r="C237" s="42"/>
      <c r="D237" s="42"/>
      <c r="E237" s="42"/>
      <c r="F237" s="42"/>
      <c r="G237" s="42"/>
      <c r="H237" s="42"/>
      <c r="I237" s="42"/>
      <c r="J237" s="42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</row>
    <row r="238">
      <c r="A238" s="29"/>
      <c r="B238" s="42"/>
      <c r="C238" s="42"/>
      <c r="D238" s="42"/>
      <c r="E238" s="42"/>
      <c r="F238" s="42"/>
      <c r="G238" s="42"/>
      <c r="H238" s="42"/>
      <c r="I238" s="42"/>
      <c r="J238" s="42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</row>
    <row r="239">
      <c r="A239" s="29"/>
      <c r="B239" s="42"/>
      <c r="C239" s="42"/>
      <c r="D239" s="42"/>
      <c r="E239" s="42"/>
      <c r="F239" s="42"/>
      <c r="G239" s="42"/>
      <c r="H239" s="42"/>
      <c r="I239" s="42"/>
      <c r="J239" s="42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</row>
    <row r="240">
      <c r="A240" s="29"/>
      <c r="B240" s="42"/>
      <c r="C240" s="42"/>
      <c r="D240" s="42"/>
      <c r="E240" s="42"/>
      <c r="F240" s="42"/>
      <c r="G240" s="42"/>
      <c r="H240" s="42"/>
      <c r="I240" s="42"/>
      <c r="J240" s="42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</row>
    <row r="241">
      <c r="A241" s="29"/>
      <c r="B241" s="42"/>
      <c r="C241" s="42"/>
      <c r="D241" s="42"/>
      <c r="E241" s="42"/>
      <c r="F241" s="42"/>
      <c r="G241" s="42"/>
      <c r="H241" s="42"/>
      <c r="I241" s="42"/>
      <c r="J241" s="42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</row>
    <row r="242">
      <c r="A242" s="29"/>
      <c r="B242" s="42"/>
      <c r="C242" s="42"/>
      <c r="D242" s="42"/>
      <c r="E242" s="42"/>
      <c r="F242" s="42"/>
      <c r="G242" s="42"/>
      <c r="H242" s="42"/>
      <c r="I242" s="42"/>
      <c r="J242" s="42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</row>
    <row r="243">
      <c r="A243" s="29"/>
      <c r="B243" s="42"/>
      <c r="C243" s="42"/>
      <c r="D243" s="42"/>
      <c r="E243" s="42"/>
      <c r="F243" s="42"/>
      <c r="G243" s="42"/>
      <c r="H243" s="42"/>
      <c r="I243" s="42"/>
      <c r="J243" s="42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</row>
    <row r="244">
      <c r="A244" s="29"/>
      <c r="B244" s="42"/>
      <c r="C244" s="42"/>
      <c r="D244" s="42"/>
      <c r="E244" s="42"/>
      <c r="F244" s="42"/>
      <c r="G244" s="42"/>
      <c r="H244" s="42"/>
      <c r="I244" s="42"/>
      <c r="J244" s="42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</row>
    <row r="245">
      <c r="A245" s="29"/>
      <c r="B245" s="42"/>
      <c r="C245" s="42"/>
      <c r="D245" s="42"/>
      <c r="E245" s="42"/>
      <c r="F245" s="42"/>
      <c r="G245" s="42"/>
      <c r="H245" s="42"/>
      <c r="I245" s="42"/>
      <c r="J245" s="42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</row>
    <row r="246">
      <c r="A246" s="29"/>
      <c r="B246" s="42"/>
      <c r="C246" s="42"/>
      <c r="D246" s="42"/>
      <c r="E246" s="42"/>
      <c r="F246" s="42"/>
      <c r="G246" s="42"/>
      <c r="H246" s="42"/>
      <c r="I246" s="42"/>
      <c r="J246" s="42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</row>
    <row r="247">
      <c r="A247" s="29"/>
      <c r="B247" s="42"/>
      <c r="C247" s="42"/>
      <c r="D247" s="42"/>
      <c r="E247" s="42"/>
      <c r="F247" s="42"/>
      <c r="G247" s="42"/>
      <c r="H247" s="42"/>
      <c r="I247" s="42"/>
      <c r="J247" s="42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</row>
    <row r="248">
      <c r="A248" s="29"/>
      <c r="B248" s="42"/>
      <c r="C248" s="42"/>
      <c r="D248" s="42"/>
      <c r="E248" s="42"/>
      <c r="F248" s="42"/>
      <c r="G248" s="42"/>
      <c r="H248" s="42"/>
      <c r="I248" s="42"/>
      <c r="J248" s="42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</row>
    <row r="249">
      <c r="A249" s="29"/>
      <c r="B249" s="42"/>
      <c r="C249" s="42"/>
      <c r="D249" s="42"/>
      <c r="E249" s="42"/>
      <c r="F249" s="42"/>
      <c r="G249" s="42"/>
      <c r="H249" s="42"/>
      <c r="I249" s="42"/>
      <c r="J249" s="42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</row>
    <row r="250">
      <c r="A250" s="29"/>
      <c r="B250" s="42"/>
      <c r="C250" s="42"/>
      <c r="D250" s="42"/>
      <c r="E250" s="42"/>
      <c r="F250" s="42"/>
      <c r="G250" s="42"/>
      <c r="H250" s="42"/>
      <c r="I250" s="42"/>
      <c r="J250" s="42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</row>
    <row r="251">
      <c r="A251" s="29"/>
      <c r="B251" s="42"/>
      <c r="C251" s="42"/>
      <c r="D251" s="42"/>
      <c r="E251" s="42"/>
      <c r="F251" s="42"/>
      <c r="G251" s="42"/>
      <c r="H251" s="42"/>
      <c r="I251" s="42"/>
      <c r="J251" s="42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</row>
    <row r="252">
      <c r="A252" s="29"/>
      <c r="B252" s="42"/>
      <c r="C252" s="42"/>
      <c r="D252" s="42"/>
      <c r="E252" s="42"/>
      <c r="F252" s="42"/>
      <c r="G252" s="42"/>
      <c r="H252" s="42"/>
      <c r="I252" s="42"/>
      <c r="J252" s="42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</row>
    <row r="253">
      <c r="A253" s="29"/>
      <c r="B253" s="42"/>
      <c r="C253" s="42"/>
      <c r="D253" s="42"/>
      <c r="E253" s="42"/>
      <c r="F253" s="42"/>
      <c r="G253" s="42"/>
      <c r="H253" s="42"/>
      <c r="I253" s="42"/>
      <c r="J253" s="42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</row>
    <row r="254">
      <c r="A254" s="29"/>
      <c r="B254" s="42"/>
      <c r="C254" s="42"/>
      <c r="D254" s="42"/>
      <c r="E254" s="42"/>
      <c r="F254" s="42"/>
      <c r="G254" s="42"/>
      <c r="H254" s="42"/>
      <c r="I254" s="42"/>
      <c r="J254" s="42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</row>
    <row r="255">
      <c r="A255" s="29"/>
      <c r="B255" s="42"/>
      <c r="C255" s="42"/>
      <c r="D255" s="42"/>
      <c r="E255" s="42"/>
      <c r="F255" s="42"/>
      <c r="G255" s="42"/>
      <c r="H255" s="42"/>
      <c r="I255" s="42"/>
      <c r="J255" s="42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</row>
    <row r="256">
      <c r="A256" s="29"/>
      <c r="B256" s="42"/>
      <c r="C256" s="42"/>
      <c r="D256" s="42"/>
      <c r="E256" s="42"/>
      <c r="F256" s="42"/>
      <c r="G256" s="42"/>
      <c r="H256" s="42"/>
      <c r="I256" s="42"/>
      <c r="J256" s="42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</row>
    <row r="257">
      <c r="A257" s="29"/>
      <c r="B257" s="42"/>
      <c r="C257" s="42"/>
      <c r="D257" s="42"/>
      <c r="E257" s="42"/>
      <c r="F257" s="42"/>
      <c r="G257" s="42"/>
      <c r="H257" s="42"/>
      <c r="I257" s="42"/>
      <c r="J257" s="42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</row>
    <row r="258">
      <c r="A258" s="29"/>
      <c r="B258" s="42"/>
      <c r="C258" s="42"/>
      <c r="D258" s="42"/>
      <c r="E258" s="42"/>
      <c r="F258" s="42"/>
      <c r="G258" s="42"/>
      <c r="H258" s="42"/>
      <c r="I258" s="42"/>
      <c r="J258" s="42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</row>
    <row r="259">
      <c r="A259" s="29"/>
      <c r="B259" s="42"/>
      <c r="C259" s="42"/>
      <c r="D259" s="42"/>
      <c r="E259" s="42"/>
      <c r="F259" s="42"/>
      <c r="G259" s="42"/>
      <c r="H259" s="42"/>
      <c r="I259" s="42"/>
      <c r="J259" s="42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</row>
    <row r="260">
      <c r="A260" s="29"/>
      <c r="B260" s="42"/>
      <c r="C260" s="42"/>
      <c r="D260" s="42"/>
      <c r="E260" s="42"/>
      <c r="F260" s="42"/>
      <c r="G260" s="42"/>
      <c r="H260" s="42"/>
      <c r="I260" s="42"/>
      <c r="J260" s="42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</row>
    <row r="261">
      <c r="A261" s="29"/>
      <c r="B261" s="42"/>
      <c r="C261" s="42"/>
      <c r="D261" s="42"/>
      <c r="E261" s="42"/>
      <c r="F261" s="42"/>
      <c r="G261" s="42"/>
      <c r="H261" s="42"/>
      <c r="I261" s="42"/>
      <c r="J261" s="42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</row>
    <row r="262">
      <c r="A262" s="29"/>
      <c r="B262" s="42"/>
      <c r="C262" s="42"/>
      <c r="D262" s="42"/>
      <c r="E262" s="42"/>
      <c r="F262" s="42"/>
      <c r="G262" s="42"/>
      <c r="H262" s="42"/>
      <c r="I262" s="42"/>
      <c r="J262" s="42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</row>
    <row r="263">
      <c r="A263" s="29"/>
      <c r="B263" s="42"/>
      <c r="C263" s="42"/>
      <c r="D263" s="42"/>
      <c r="E263" s="42"/>
      <c r="F263" s="42"/>
      <c r="G263" s="42"/>
      <c r="H263" s="42"/>
      <c r="I263" s="42"/>
      <c r="J263" s="42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</row>
    <row r="264">
      <c r="A264" s="29"/>
      <c r="B264" s="42"/>
      <c r="C264" s="42"/>
      <c r="D264" s="42"/>
      <c r="E264" s="42"/>
      <c r="F264" s="42"/>
      <c r="G264" s="42"/>
      <c r="H264" s="42"/>
      <c r="I264" s="42"/>
      <c r="J264" s="42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</row>
    <row r="265">
      <c r="A265" s="29"/>
      <c r="B265" s="42"/>
      <c r="C265" s="42"/>
      <c r="D265" s="42"/>
      <c r="E265" s="42"/>
      <c r="F265" s="42"/>
      <c r="G265" s="42"/>
      <c r="H265" s="42"/>
      <c r="I265" s="42"/>
      <c r="J265" s="42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</row>
    <row r="266">
      <c r="A266" s="29"/>
      <c r="B266" s="42"/>
      <c r="C266" s="42"/>
      <c r="D266" s="42"/>
      <c r="E266" s="42"/>
      <c r="F266" s="42"/>
      <c r="G266" s="42"/>
      <c r="H266" s="42"/>
      <c r="I266" s="42"/>
      <c r="J266" s="42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</row>
    <row r="267">
      <c r="A267" s="29"/>
      <c r="B267" s="42"/>
      <c r="C267" s="42"/>
      <c r="D267" s="42"/>
      <c r="E267" s="42"/>
      <c r="F267" s="42"/>
      <c r="G267" s="42"/>
      <c r="H267" s="42"/>
      <c r="I267" s="42"/>
      <c r="J267" s="42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</row>
    <row r="268">
      <c r="A268" s="29"/>
      <c r="B268" s="42"/>
      <c r="C268" s="42"/>
      <c r="D268" s="42"/>
      <c r="E268" s="42"/>
      <c r="F268" s="42"/>
      <c r="G268" s="42"/>
      <c r="H268" s="42"/>
      <c r="I268" s="42"/>
      <c r="J268" s="42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</row>
    <row r="269">
      <c r="A269" s="29"/>
      <c r="B269" s="42"/>
      <c r="C269" s="42"/>
      <c r="D269" s="42"/>
      <c r="E269" s="42"/>
      <c r="F269" s="42"/>
      <c r="G269" s="42"/>
      <c r="H269" s="42"/>
      <c r="I269" s="42"/>
      <c r="J269" s="42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</row>
    <row r="270">
      <c r="A270" s="29"/>
      <c r="B270" s="42"/>
      <c r="C270" s="42"/>
      <c r="D270" s="42"/>
      <c r="E270" s="42"/>
      <c r="F270" s="42"/>
      <c r="G270" s="42"/>
      <c r="H270" s="42"/>
      <c r="I270" s="42"/>
      <c r="J270" s="42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</row>
    <row r="271">
      <c r="A271" s="29"/>
      <c r="B271" s="42"/>
      <c r="C271" s="42"/>
      <c r="D271" s="42"/>
      <c r="E271" s="42"/>
      <c r="F271" s="42"/>
      <c r="G271" s="42"/>
      <c r="H271" s="42"/>
      <c r="I271" s="42"/>
      <c r="J271" s="42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</row>
    <row r="272">
      <c r="A272" s="29"/>
      <c r="B272" s="42"/>
      <c r="C272" s="42"/>
      <c r="D272" s="42"/>
      <c r="E272" s="42"/>
      <c r="F272" s="42"/>
      <c r="G272" s="42"/>
      <c r="H272" s="42"/>
      <c r="I272" s="42"/>
      <c r="J272" s="42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</row>
    <row r="273">
      <c r="A273" s="29"/>
      <c r="B273" s="42"/>
      <c r="C273" s="42"/>
      <c r="D273" s="42"/>
      <c r="E273" s="42"/>
      <c r="F273" s="42"/>
      <c r="G273" s="42"/>
      <c r="H273" s="42"/>
      <c r="I273" s="42"/>
      <c r="J273" s="42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</row>
    <row r="274">
      <c r="A274" s="29"/>
      <c r="B274" s="42"/>
      <c r="C274" s="42"/>
      <c r="D274" s="42"/>
      <c r="E274" s="42"/>
      <c r="F274" s="42"/>
      <c r="G274" s="42"/>
      <c r="H274" s="42"/>
      <c r="I274" s="42"/>
      <c r="J274" s="42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</row>
    <row r="275">
      <c r="A275" s="29"/>
      <c r="B275" s="42"/>
      <c r="C275" s="42"/>
      <c r="D275" s="42"/>
      <c r="E275" s="42"/>
      <c r="F275" s="42"/>
      <c r="G275" s="42"/>
      <c r="H275" s="42"/>
      <c r="I275" s="42"/>
      <c r="J275" s="42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</row>
    <row r="276">
      <c r="A276" s="29"/>
      <c r="B276" s="42"/>
      <c r="C276" s="42"/>
      <c r="D276" s="42"/>
      <c r="E276" s="42"/>
      <c r="F276" s="42"/>
      <c r="G276" s="42"/>
      <c r="H276" s="42"/>
      <c r="I276" s="42"/>
      <c r="J276" s="42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</row>
    <row r="277">
      <c r="A277" s="29"/>
      <c r="B277" s="42"/>
      <c r="C277" s="42"/>
      <c r="D277" s="42"/>
      <c r="E277" s="42"/>
      <c r="F277" s="42"/>
      <c r="G277" s="42"/>
      <c r="H277" s="42"/>
      <c r="I277" s="42"/>
      <c r="J277" s="42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</row>
    <row r="278">
      <c r="A278" s="29"/>
      <c r="B278" s="42"/>
      <c r="C278" s="42"/>
      <c r="D278" s="42"/>
      <c r="E278" s="42"/>
      <c r="F278" s="42"/>
      <c r="G278" s="42"/>
      <c r="H278" s="42"/>
      <c r="I278" s="42"/>
      <c r="J278" s="42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</row>
    <row r="279">
      <c r="A279" s="29"/>
      <c r="B279" s="42"/>
      <c r="C279" s="42"/>
      <c r="D279" s="42"/>
      <c r="E279" s="42"/>
      <c r="F279" s="42"/>
      <c r="G279" s="42"/>
      <c r="H279" s="42"/>
      <c r="I279" s="42"/>
      <c r="J279" s="42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</row>
    <row r="280">
      <c r="A280" s="29"/>
      <c r="B280" s="42"/>
      <c r="C280" s="42"/>
      <c r="D280" s="42"/>
      <c r="E280" s="42"/>
      <c r="F280" s="42"/>
      <c r="G280" s="42"/>
      <c r="H280" s="42"/>
      <c r="I280" s="42"/>
      <c r="J280" s="42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</row>
    <row r="281">
      <c r="A281" s="29"/>
      <c r="B281" s="42"/>
      <c r="C281" s="42"/>
      <c r="D281" s="42"/>
      <c r="E281" s="42"/>
      <c r="F281" s="42"/>
      <c r="G281" s="42"/>
      <c r="H281" s="42"/>
      <c r="I281" s="42"/>
      <c r="J281" s="42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</row>
    <row r="282">
      <c r="A282" s="29"/>
      <c r="B282" s="42"/>
      <c r="C282" s="42"/>
      <c r="D282" s="42"/>
      <c r="E282" s="42"/>
      <c r="F282" s="42"/>
      <c r="G282" s="42"/>
      <c r="H282" s="42"/>
      <c r="I282" s="42"/>
      <c r="J282" s="42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</row>
    <row r="283">
      <c r="A283" s="29"/>
      <c r="B283" s="42"/>
      <c r="C283" s="42"/>
      <c r="D283" s="42"/>
      <c r="E283" s="42"/>
      <c r="F283" s="42"/>
      <c r="G283" s="42"/>
      <c r="H283" s="42"/>
      <c r="I283" s="42"/>
      <c r="J283" s="42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</row>
    <row r="284">
      <c r="A284" s="29"/>
      <c r="B284" s="42"/>
      <c r="C284" s="42"/>
      <c r="D284" s="42"/>
      <c r="E284" s="42"/>
      <c r="F284" s="42"/>
      <c r="G284" s="42"/>
      <c r="H284" s="42"/>
      <c r="I284" s="42"/>
      <c r="J284" s="42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</row>
    <row r="285">
      <c r="A285" s="29"/>
      <c r="B285" s="42"/>
      <c r="C285" s="42"/>
      <c r="D285" s="42"/>
      <c r="E285" s="42"/>
      <c r="F285" s="42"/>
      <c r="G285" s="42"/>
      <c r="H285" s="42"/>
      <c r="I285" s="42"/>
      <c r="J285" s="42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</row>
    <row r="286">
      <c r="A286" s="29"/>
      <c r="B286" s="42"/>
      <c r="C286" s="42"/>
      <c r="D286" s="42"/>
      <c r="E286" s="42"/>
      <c r="F286" s="42"/>
      <c r="G286" s="42"/>
      <c r="H286" s="42"/>
      <c r="I286" s="42"/>
      <c r="J286" s="42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</row>
    <row r="287">
      <c r="A287" s="29"/>
      <c r="B287" s="42"/>
      <c r="C287" s="42"/>
      <c r="D287" s="42"/>
      <c r="E287" s="42"/>
      <c r="F287" s="42"/>
      <c r="G287" s="42"/>
      <c r="H287" s="42"/>
      <c r="I287" s="42"/>
      <c r="J287" s="42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</row>
    <row r="288">
      <c r="A288" s="29"/>
      <c r="B288" s="42"/>
      <c r="C288" s="42"/>
      <c r="D288" s="42"/>
      <c r="E288" s="42"/>
      <c r="F288" s="42"/>
      <c r="G288" s="42"/>
      <c r="H288" s="42"/>
      <c r="I288" s="42"/>
      <c r="J288" s="42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</row>
    <row r="289">
      <c r="A289" s="29"/>
      <c r="B289" s="42"/>
      <c r="C289" s="42"/>
      <c r="D289" s="42"/>
      <c r="E289" s="42"/>
      <c r="F289" s="42"/>
      <c r="G289" s="42"/>
      <c r="H289" s="42"/>
      <c r="I289" s="42"/>
      <c r="J289" s="42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</row>
    <row r="290">
      <c r="A290" s="29"/>
      <c r="B290" s="42"/>
      <c r="C290" s="42"/>
      <c r="D290" s="42"/>
      <c r="E290" s="42"/>
      <c r="F290" s="42"/>
      <c r="G290" s="42"/>
      <c r="H290" s="42"/>
      <c r="I290" s="42"/>
      <c r="J290" s="42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</row>
    <row r="291">
      <c r="A291" s="29"/>
      <c r="B291" s="42"/>
      <c r="C291" s="42"/>
      <c r="D291" s="42"/>
      <c r="E291" s="42"/>
      <c r="F291" s="42"/>
      <c r="G291" s="42"/>
      <c r="H291" s="42"/>
      <c r="I291" s="42"/>
      <c r="J291" s="42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</row>
    <row r="292">
      <c r="A292" s="29"/>
      <c r="B292" s="42"/>
      <c r="C292" s="42"/>
      <c r="D292" s="42"/>
      <c r="E292" s="42"/>
      <c r="F292" s="42"/>
      <c r="G292" s="42"/>
      <c r="H292" s="42"/>
      <c r="I292" s="42"/>
      <c r="J292" s="42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</row>
    <row r="293">
      <c r="A293" s="29"/>
      <c r="B293" s="42"/>
      <c r="C293" s="42"/>
      <c r="D293" s="42"/>
      <c r="E293" s="42"/>
      <c r="F293" s="42"/>
      <c r="G293" s="42"/>
      <c r="H293" s="42"/>
      <c r="I293" s="42"/>
      <c r="J293" s="42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</row>
    <row r="294">
      <c r="A294" s="29"/>
      <c r="B294" s="42"/>
      <c r="C294" s="42"/>
      <c r="D294" s="42"/>
      <c r="E294" s="42"/>
      <c r="F294" s="42"/>
      <c r="G294" s="42"/>
      <c r="H294" s="42"/>
      <c r="I294" s="42"/>
      <c r="J294" s="42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</row>
    <row r="295">
      <c r="A295" s="29"/>
      <c r="B295" s="42"/>
      <c r="C295" s="42"/>
      <c r="D295" s="42"/>
      <c r="E295" s="42"/>
      <c r="F295" s="42"/>
      <c r="G295" s="42"/>
      <c r="H295" s="42"/>
      <c r="I295" s="42"/>
      <c r="J295" s="42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</row>
    <row r="296">
      <c r="A296" s="29"/>
      <c r="B296" s="42"/>
      <c r="C296" s="42"/>
      <c r="D296" s="42"/>
      <c r="E296" s="42"/>
      <c r="F296" s="42"/>
      <c r="G296" s="42"/>
      <c r="H296" s="42"/>
      <c r="I296" s="42"/>
      <c r="J296" s="42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</row>
    <row r="297">
      <c r="A297" s="29"/>
      <c r="B297" s="42"/>
      <c r="C297" s="42"/>
      <c r="D297" s="42"/>
      <c r="E297" s="42"/>
      <c r="F297" s="42"/>
      <c r="G297" s="42"/>
      <c r="H297" s="42"/>
      <c r="I297" s="42"/>
      <c r="J297" s="42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</row>
    <row r="298">
      <c r="A298" s="29"/>
      <c r="B298" s="42"/>
      <c r="C298" s="42"/>
      <c r="D298" s="42"/>
      <c r="E298" s="42"/>
      <c r="F298" s="42"/>
      <c r="G298" s="42"/>
      <c r="H298" s="42"/>
      <c r="I298" s="42"/>
      <c r="J298" s="42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</row>
    <row r="299">
      <c r="A299" s="29"/>
      <c r="B299" s="42"/>
      <c r="C299" s="42"/>
      <c r="D299" s="42"/>
      <c r="E299" s="42"/>
      <c r="F299" s="42"/>
      <c r="G299" s="42"/>
      <c r="H299" s="42"/>
      <c r="I299" s="42"/>
      <c r="J299" s="42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</row>
    <row r="300">
      <c r="A300" s="29"/>
      <c r="B300" s="42"/>
      <c r="C300" s="42"/>
      <c r="D300" s="42"/>
      <c r="E300" s="42"/>
      <c r="F300" s="42"/>
      <c r="G300" s="42"/>
      <c r="H300" s="42"/>
      <c r="I300" s="42"/>
      <c r="J300" s="42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</row>
    <row r="301">
      <c r="A301" s="29"/>
      <c r="B301" s="42"/>
      <c r="C301" s="42"/>
      <c r="D301" s="42"/>
      <c r="E301" s="42"/>
      <c r="F301" s="42"/>
      <c r="G301" s="42"/>
      <c r="H301" s="42"/>
      <c r="I301" s="42"/>
      <c r="J301" s="42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</row>
    <row r="302">
      <c r="A302" s="29"/>
      <c r="B302" s="42"/>
      <c r="C302" s="42"/>
      <c r="D302" s="42"/>
      <c r="E302" s="42"/>
      <c r="F302" s="42"/>
      <c r="G302" s="42"/>
      <c r="H302" s="42"/>
      <c r="I302" s="42"/>
      <c r="J302" s="42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</row>
    <row r="303">
      <c r="A303" s="29"/>
      <c r="B303" s="42"/>
      <c r="C303" s="42"/>
      <c r="D303" s="42"/>
      <c r="E303" s="42"/>
      <c r="F303" s="42"/>
      <c r="G303" s="42"/>
      <c r="H303" s="42"/>
      <c r="I303" s="42"/>
      <c r="J303" s="42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</row>
    <row r="304">
      <c r="A304" s="29"/>
      <c r="B304" s="42"/>
      <c r="C304" s="42"/>
      <c r="D304" s="42"/>
      <c r="E304" s="42"/>
      <c r="F304" s="42"/>
      <c r="G304" s="42"/>
      <c r="H304" s="42"/>
      <c r="I304" s="42"/>
      <c r="J304" s="42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</row>
    <row r="305">
      <c r="A305" s="29"/>
      <c r="B305" s="42"/>
      <c r="C305" s="42"/>
      <c r="D305" s="42"/>
      <c r="E305" s="42"/>
      <c r="F305" s="42"/>
      <c r="G305" s="42"/>
      <c r="H305" s="42"/>
      <c r="I305" s="42"/>
      <c r="J305" s="42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</row>
    <row r="306">
      <c r="A306" s="29"/>
      <c r="B306" s="42"/>
      <c r="C306" s="42"/>
      <c r="D306" s="42"/>
      <c r="E306" s="42"/>
      <c r="F306" s="42"/>
      <c r="G306" s="42"/>
      <c r="H306" s="42"/>
      <c r="I306" s="42"/>
      <c r="J306" s="42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</row>
    <row r="307">
      <c r="A307" s="29"/>
      <c r="B307" s="42"/>
      <c r="C307" s="42"/>
      <c r="D307" s="42"/>
      <c r="E307" s="42"/>
      <c r="F307" s="42"/>
      <c r="G307" s="42"/>
      <c r="H307" s="42"/>
      <c r="I307" s="42"/>
      <c r="J307" s="42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</row>
    <row r="308">
      <c r="A308" s="29"/>
      <c r="B308" s="42"/>
      <c r="C308" s="42"/>
      <c r="D308" s="42"/>
      <c r="E308" s="42"/>
      <c r="F308" s="42"/>
      <c r="G308" s="42"/>
      <c r="H308" s="42"/>
      <c r="I308" s="42"/>
      <c r="J308" s="42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</row>
    <row r="309">
      <c r="A309" s="29"/>
      <c r="B309" s="42"/>
      <c r="C309" s="42"/>
      <c r="D309" s="42"/>
      <c r="E309" s="42"/>
      <c r="F309" s="42"/>
      <c r="G309" s="42"/>
      <c r="H309" s="42"/>
      <c r="I309" s="42"/>
      <c r="J309" s="42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</row>
    <row r="310">
      <c r="A310" s="29"/>
      <c r="B310" s="42"/>
      <c r="C310" s="42"/>
      <c r="D310" s="42"/>
      <c r="E310" s="42"/>
      <c r="F310" s="42"/>
      <c r="G310" s="42"/>
      <c r="H310" s="42"/>
      <c r="I310" s="42"/>
      <c r="J310" s="42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</row>
    <row r="311">
      <c r="A311" s="29"/>
      <c r="B311" s="42"/>
      <c r="C311" s="42"/>
      <c r="D311" s="42"/>
      <c r="E311" s="42"/>
      <c r="F311" s="42"/>
      <c r="G311" s="42"/>
      <c r="H311" s="42"/>
      <c r="I311" s="42"/>
      <c r="J311" s="42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</row>
    <row r="312">
      <c r="A312" s="29"/>
      <c r="B312" s="42"/>
      <c r="C312" s="42"/>
      <c r="D312" s="42"/>
      <c r="E312" s="42"/>
      <c r="F312" s="42"/>
      <c r="G312" s="42"/>
      <c r="H312" s="42"/>
      <c r="I312" s="42"/>
      <c r="J312" s="42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</row>
    <row r="313">
      <c r="A313" s="29"/>
      <c r="B313" s="42"/>
      <c r="C313" s="42"/>
      <c r="D313" s="42"/>
      <c r="E313" s="42"/>
      <c r="F313" s="42"/>
      <c r="G313" s="42"/>
      <c r="H313" s="42"/>
      <c r="I313" s="42"/>
      <c r="J313" s="42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</row>
    <row r="314">
      <c r="A314" s="29"/>
      <c r="B314" s="42"/>
      <c r="C314" s="42"/>
      <c r="D314" s="42"/>
      <c r="E314" s="42"/>
      <c r="F314" s="42"/>
      <c r="G314" s="42"/>
      <c r="H314" s="42"/>
      <c r="I314" s="42"/>
      <c r="J314" s="42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</row>
    <row r="315">
      <c r="A315" s="29"/>
      <c r="B315" s="42"/>
      <c r="C315" s="42"/>
      <c r="D315" s="42"/>
      <c r="E315" s="42"/>
      <c r="F315" s="42"/>
      <c r="G315" s="42"/>
      <c r="H315" s="42"/>
      <c r="I315" s="42"/>
      <c r="J315" s="42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</row>
    <row r="316">
      <c r="A316" s="29"/>
      <c r="B316" s="42"/>
      <c r="C316" s="42"/>
      <c r="D316" s="42"/>
      <c r="E316" s="42"/>
      <c r="F316" s="42"/>
      <c r="G316" s="42"/>
      <c r="H316" s="42"/>
      <c r="I316" s="42"/>
      <c r="J316" s="42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</row>
    <row r="317">
      <c r="A317" s="29"/>
      <c r="B317" s="42"/>
      <c r="C317" s="42"/>
      <c r="D317" s="42"/>
      <c r="E317" s="42"/>
      <c r="F317" s="42"/>
      <c r="G317" s="42"/>
      <c r="H317" s="42"/>
      <c r="I317" s="42"/>
      <c r="J317" s="42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</row>
    <row r="318">
      <c r="A318" s="29"/>
      <c r="B318" s="42"/>
      <c r="C318" s="42"/>
      <c r="D318" s="42"/>
      <c r="E318" s="42"/>
      <c r="F318" s="42"/>
      <c r="G318" s="42"/>
      <c r="H318" s="42"/>
      <c r="I318" s="42"/>
      <c r="J318" s="42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</row>
    <row r="319">
      <c r="A319" s="29"/>
      <c r="B319" s="42"/>
      <c r="C319" s="42"/>
      <c r="D319" s="42"/>
      <c r="E319" s="42"/>
      <c r="F319" s="42"/>
      <c r="G319" s="42"/>
      <c r="H319" s="42"/>
      <c r="I319" s="42"/>
      <c r="J319" s="42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</row>
    <row r="320">
      <c r="A320" s="29"/>
      <c r="B320" s="42"/>
      <c r="C320" s="42"/>
      <c r="D320" s="42"/>
      <c r="E320" s="42"/>
      <c r="F320" s="42"/>
      <c r="G320" s="42"/>
      <c r="H320" s="42"/>
      <c r="I320" s="42"/>
      <c r="J320" s="42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</row>
    <row r="321">
      <c r="A321" s="29"/>
      <c r="B321" s="42"/>
      <c r="C321" s="42"/>
      <c r="D321" s="42"/>
      <c r="E321" s="42"/>
      <c r="F321" s="42"/>
      <c r="G321" s="42"/>
      <c r="H321" s="42"/>
      <c r="I321" s="42"/>
      <c r="J321" s="42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</row>
    <row r="322">
      <c r="A322" s="29"/>
      <c r="B322" s="42"/>
      <c r="C322" s="42"/>
      <c r="D322" s="42"/>
      <c r="E322" s="42"/>
      <c r="F322" s="42"/>
      <c r="G322" s="42"/>
      <c r="H322" s="42"/>
      <c r="I322" s="42"/>
      <c r="J322" s="42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</row>
    <row r="323">
      <c r="A323" s="29"/>
      <c r="B323" s="42"/>
      <c r="C323" s="42"/>
      <c r="D323" s="42"/>
      <c r="E323" s="42"/>
      <c r="F323" s="42"/>
      <c r="G323" s="42"/>
      <c r="H323" s="42"/>
      <c r="I323" s="42"/>
      <c r="J323" s="42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</row>
    <row r="324">
      <c r="A324" s="29"/>
      <c r="B324" s="42"/>
      <c r="C324" s="42"/>
      <c r="D324" s="42"/>
      <c r="E324" s="42"/>
      <c r="F324" s="42"/>
      <c r="G324" s="42"/>
      <c r="H324" s="42"/>
      <c r="I324" s="42"/>
      <c r="J324" s="42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</row>
    <row r="325">
      <c r="A325" s="29"/>
      <c r="B325" s="42"/>
      <c r="C325" s="42"/>
      <c r="D325" s="42"/>
      <c r="E325" s="42"/>
      <c r="F325" s="42"/>
      <c r="G325" s="42"/>
      <c r="H325" s="42"/>
      <c r="I325" s="42"/>
      <c r="J325" s="42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</row>
    <row r="326">
      <c r="A326" s="29"/>
      <c r="B326" s="42"/>
      <c r="C326" s="42"/>
      <c r="D326" s="42"/>
      <c r="E326" s="42"/>
      <c r="F326" s="42"/>
      <c r="G326" s="42"/>
      <c r="H326" s="42"/>
      <c r="I326" s="42"/>
      <c r="J326" s="42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</row>
    <row r="327">
      <c r="A327" s="29"/>
      <c r="B327" s="42"/>
      <c r="C327" s="42"/>
      <c r="D327" s="42"/>
      <c r="E327" s="42"/>
      <c r="F327" s="42"/>
      <c r="G327" s="42"/>
      <c r="H327" s="42"/>
      <c r="I327" s="42"/>
      <c r="J327" s="42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</row>
    <row r="328">
      <c r="A328" s="29"/>
      <c r="B328" s="42"/>
      <c r="C328" s="42"/>
      <c r="D328" s="42"/>
      <c r="E328" s="42"/>
      <c r="F328" s="42"/>
      <c r="G328" s="42"/>
      <c r="H328" s="42"/>
      <c r="I328" s="42"/>
      <c r="J328" s="42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</row>
    <row r="329">
      <c r="A329" s="29"/>
      <c r="B329" s="42"/>
      <c r="C329" s="42"/>
      <c r="D329" s="42"/>
      <c r="E329" s="42"/>
      <c r="F329" s="42"/>
      <c r="G329" s="42"/>
      <c r="H329" s="42"/>
      <c r="I329" s="42"/>
      <c r="J329" s="42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</row>
    <row r="330">
      <c r="A330" s="29"/>
      <c r="B330" s="42"/>
      <c r="C330" s="42"/>
      <c r="D330" s="42"/>
      <c r="E330" s="42"/>
      <c r="F330" s="42"/>
      <c r="G330" s="42"/>
      <c r="H330" s="42"/>
      <c r="I330" s="42"/>
      <c r="J330" s="42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</row>
    <row r="331">
      <c r="A331" s="29"/>
      <c r="B331" s="42"/>
      <c r="C331" s="42"/>
      <c r="D331" s="42"/>
      <c r="E331" s="42"/>
      <c r="F331" s="42"/>
      <c r="G331" s="42"/>
      <c r="H331" s="42"/>
      <c r="I331" s="42"/>
      <c r="J331" s="42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</row>
    <row r="332">
      <c r="A332" s="29"/>
      <c r="B332" s="42"/>
      <c r="C332" s="42"/>
      <c r="D332" s="42"/>
      <c r="E332" s="42"/>
      <c r="F332" s="42"/>
      <c r="G332" s="42"/>
      <c r="H332" s="42"/>
      <c r="I332" s="42"/>
      <c r="J332" s="42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</row>
    <row r="333">
      <c r="A333" s="29"/>
      <c r="B333" s="42"/>
      <c r="C333" s="42"/>
      <c r="D333" s="42"/>
      <c r="E333" s="42"/>
      <c r="F333" s="42"/>
      <c r="G333" s="42"/>
      <c r="H333" s="42"/>
      <c r="I333" s="42"/>
      <c r="J333" s="42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</row>
    <row r="334">
      <c r="A334" s="29"/>
      <c r="B334" s="42"/>
      <c r="C334" s="42"/>
      <c r="D334" s="42"/>
      <c r="E334" s="42"/>
      <c r="F334" s="42"/>
      <c r="G334" s="42"/>
      <c r="H334" s="42"/>
      <c r="I334" s="42"/>
      <c r="J334" s="42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</row>
    <row r="335">
      <c r="A335" s="29"/>
      <c r="B335" s="42"/>
      <c r="C335" s="42"/>
      <c r="D335" s="42"/>
      <c r="E335" s="42"/>
      <c r="F335" s="42"/>
      <c r="G335" s="42"/>
      <c r="H335" s="42"/>
      <c r="I335" s="42"/>
      <c r="J335" s="42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</row>
    <row r="336">
      <c r="A336" s="29"/>
      <c r="B336" s="42"/>
      <c r="C336" s="42"/>
      <c r="D336" s="42"/>
      <c r="E336" s="42"/>
      <c r="F336" s="42"/>
      <c r="G336" s="42"/>
      <c r="H336" s="42"/>
      <c r="I336" s="42"/>
      <c r="J336" s="42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</row>
    <row r="337">
      <c r="A337" s="29"/>
      <c r="B337" s="42"/>
      <c r="C337" s="42"/>
      <c r="D337" s="42"/>
      <c r="E337" s="42"/>
      <c r="F337" s="42"/>
      <c r="G337" s="42"/>
      <c r="H337" s="42"/>
      <c r="I337" s="42"/>
      <c r="J337" s="42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</row>
    <row r="338">
      <c r="A338" s="29"/>
      <c r="B338" s="42"/>
      <c r="C338" s="42"/>
      <c r="D338" s="42"/>
      <c r="E338" s="42"/>
      <c r="F338" s="42"/>
      <c r="G338" s="42"/>
      <c r="H338" s="42"/>
      <c r="I338" s="42"/>
      <c r="J338" s="42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</row>
    <row r="339">
      <c r="A339" s="29"/>
      <c r="B339" s="42"/>
      <c r="C339" s="42"/>
      <c r="D339" s="42"/>
      <c r="E339" s="42"/>
      <c r="F339" s="42"/>
      <c r="G339" s="42"/>
      <c r="H339" s="42"/>
      <c r="I339" s="42"/>
      <c r="J339" s="42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</row>
    <row r="340">
      <c r="A340" s="29"/>
      <c r="B340" s="42"/>
      <c r="C340" s="42"/>
      <c r="D340" s="42"/>
      <c r="E340" s="42"/>
      <c r="F340" s="42"/>
      <c r="G340" s="42"/>
      <c r="H340" s="42"/>
      <c r="I340" s="42"/>
      <c r="J340" s="42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</row>
    <row r="341">
      <c r="A341" s="29"/>
      <c r="B341" s="42"/>
      <c r="C341" s="42"/>
      <c r="D341" s="42"/>
      <c r="E341" s="42"/>
      <c r="F341" s="42"/>
      <c r="G341" s="42"/>
      <c r="H341" s="42"/>
      <c r="I341" s="42"/>
      <c r="J341" s="42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</row>
    <row r="342">
      <c r="A342" s="29"/>
      <c r="B342" s="42"/>
      <c r="C342" s="42"/>
      <c r="D342" s="42"/>
      <c r="E342" s="42"/>
      <c r="F342" s="42"/>
      <c r="G342" s="42"/>
      <c r="H342" s="42"/>
      <c r="I342" s="42"/>
      <c r="J342" s="42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</row>
    <row r="343">
      <c r="A343" s="29"/>
      <c r="B343" s="42"/>
      <c r="C343" s="42"/>
      <c r="D343" s="42"/>
      <c r="E343" s="42"/>
      <c r="F343" s="42"/>
      <c r="G343" s="42"/>
      <c r="H343" s="42"/>
      <c r="I343" s="42"/>
      <c r="J343" s="42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</row>
    <row r="344">
      <c r="A344" s="29"/>
      <c r="B344" s="42"/>
      <c r="C344" s="42"/>
      <c r="D344" s="42"/>
      <c r="E344" s="42"/>
      <c r="F344" s="42"/>
      <c r="G344" s="42"/>
      <c r="H344" s="42"/>
      <c r="I344" s="42"/>
      <c r="J344" s="42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</row>
    <row r="345">
      <c r="A345" s="29"/>
      <c r="B345" s="42"/>
      <c r="C345" s="42"/>
      <c r="D345" s="42"/>
      <c r="E345" s="42"/>
      <c r="F345" s="42"/>
      <c r="G345" s="42"/>
      <c r="H345" s="42"/>
      <c r="I345" s="42"/>
      <c r="J345" s="42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</row>
    <row r="346">
      <c r="A346" s="29"/>
      <c r="B346" s="42"/>
      <c r="C346" s="42"/>
      <c r="D346" s="42"/>
      <c r="E346" s="42"/>
      <c r="F346" s="42"/>
      <c r="G346" s="42"/>
      <c r="H346" s="42"/>
      <c r="I346" s="42"/>
      <c r="J346" s="42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</row>
    <row r="347">
      <c r="A347" s="29"/>
      <c r="B347" s="42"/>
      <c r="C347" s="42"/>
      <c r="D347" s="42"/>
      <c r="E347" s="42"/>
      <c r="F347" s="42"/>
      <c r="G347" s="42"/>
      <c r="H347" s="42"/>
      <c r="I347" s="42"/>
      <c r="J347" s="42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</row>
    <row r="348">
      <c r="A348" s="29"/>
      <c r="B348" s="42"/>
      <c r="C348" s="42"/>
      <c r="D348" s="42"/>
      <c r="E348" s="42"/>
      <c r="F348" s="42"/>
      <c r="G348" s="42"/>
      <c r="H348" s="42"/>
      <c r="I348" s="42"/>
      <c r="J348" s="42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</row>
    <row r="349">
      <c r="A349" s="29"/>
      <c r="B349" s="42"/>
      <c r="C349" s="42"/>
      <c r="D349" s="42"/>
      <c r="E349" s="42"/>
      <c r="F349" s="42"/>
      <c r="G349" s="42"/>
      <c r="H349" s="42"/>
      <c r="I349" s="42"/>
      <c r="J349" s="42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</row>
    <row r="350">
      <c r="A350" s="29"/>
      <c r="B350" s="42"/>
      <c r="C350" s="42"/>
      <c r="D350" s="42"/>
      <c r="E350" s="42"/>
      <c r="F350" s="42"/>
      <c r="G350" s="42"/>
      <c r="H350" s="42"/>
      <c r="I350" s="42"/>
      <c r="J350" s="42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</row>
    <row r="351">
      <c r="A351" s="29"/>
      <c r="B351" s="42"/>
      <c r="C351" s="42"/>
      <c r="D351" s="42"/>
      <c r="E351" s="42"/>
      <c r="F351" s="42"/>
      <c r="G351" s="42"/>
      <c r="H351" s="42"/>
      <c r="I351" s="42"/>
      <c r="J351" s="42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</row>
    <row r="352">
      <c r="A352" s="29"/>
      <c r="B352" s="42"/>
      <c r="C352" s="42"/>
      <c r="D352" s="42"/>
      <c r="E352" s="42"/>
      <c r="F352" s="42"/>
      <c r="G352" s="42"/>
      <c r="H352" s="42"/>
      <c r="I352" s="42"/>
      <c r="J352" s="42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</row>
    <row r="353">
      <c r="A353" s="29"/>
      <c r="B353" s="42"/>
      <c r="C353" s="42"/>
      <c r="D353" s="42"/>
      <c r="E353" s="42"/>
      <c r="F353" s="42"/>
      <c r="G353" s="42"/>
      <c r="H353" s="42"/>
      <c r="I353" s="42"/>
      <c r="J353" s="42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</row>
    <row r="354">
      <c r="A354" s="29"/>
      <c r="B354" s="42"/>
      <c r="C354" s="42"/>
      <c r="D354" s="42"/>
      <c r="E354" s="42"/>
      <c r="F354" s="42"/>
      <c r="G354" s="42"/>
      <c r="H354" s="42"/>
      <c r="I354" s="42"/>
      <c r="J354" s="42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</row>
    <row r="355">
      <c r="A355" s="29"/>
      <c r="B355" s="42"/>
      <c r="C355" s="42"/>
      <c r="D355" s="42"/>
      <c r="E355" s="42"/>
      <c r="F355" s="42"/>
      <c r="G355" s="42"/>
      <c r="H355" s="42"/>
      <c r="I355" s="42"/>
      <c r="J355" s="42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</row>
    <row r="356">
      <c r="A356" s="29"/>
      <c r="B356" s="42"/>
      <c r="C356" s="42"/>
      <c r="D356" s="42"/>
      <c r="E356" s="42"/>
      <c r="F356" s="42"/>
      <c r="G356" s="42"/>
      <c r="H356" s="42"/>
      <c r="I356" s="42"/>
      <c r="J356" s="42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</row>
    <row r="357">
      <c r="A357" s="29"/>
      <c r="B357" s="42"/>
      <c r="C357" s="42"/>
      <c r="D357" s="42"/>
      <c r="E357" s="42"/>
      <c r="F357" s="42"/>
      <c r="G357" s="42"/>
      <c r="H357" s="42"/>
      <c r="I357" s="42"/>
      <c r="J357" s="42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</row>
    <row r="358">
      <c r="A358" s="29"/>
      <c r="B358" s="42"/>
      <c r="C358" s="42"/>
      <c r="D358" s="42"/>
      <c r="E358" s="42"/>
      <c r="F358" s="42"/>
      <c r="G358" s="42"/>
      <c r="H358" s="42"/>
      <c r="I358" s="42"/>
      <c r="J358" s="42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</row>
    <row r="359">
      <c r="A359" s="29"/>
      <c r="B359" s="42"/>
      <c r="C359" s="42"/>
      <c r="D359" s="42"/>
      <c r="E359" s="42"/>
      <c r="F359" s="42"/>
      <c r="G359" s="42"/>
      <c r="H359" s="42"/>
      <c r="I359" s="42"/>
      <c r="J359" s="42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</row>
    <row r="360">
      <c r="A360" s="29"/>
      <c r="B360" s="42"/>
      <c r="C360" s="42"/>
      <c r="D360" s="42"/>
      <c r="E360" s="42"/>
      <c r="F360" s="42"/>
      <c r="G360" s="42"/>
      <c r="H360" s="42"/>
      <c r="I360" s="42"/>
      <c r="J360" s="42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</row>
    <row r="361">
      <c r="A361" s="29"/>
      <c r="B361" s="42"/>
      <c r="C361" s="42"/>
      <c r="D361" s="42"/>
      <c r="E361" s="42"/>
      <c r="F361" s="42"/>
      <c r="G361" s="42"/>
      <c r="H361" s="42"/>
      <c r="I361" s="42"/>
      <c r="J361" s="42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</row>
    <row r="362">
      <c r="A362" s="29"/>
      <c r="B362" s="42"/>
      <c r="C362" s="42"/>
      <c r="D362" s="42"/>
      <c r="E362" s="42"/>
      <c r="F362" s="42"/>
      <c r="G362" s="42"/>
      <c r="H362" s="42"/>
      <c r="I362" s="42"/>
      <c r="J362" s="42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</row>
    <row r="363">
      <c r="A363" s="29"/>
      <c r="B363" s="42"/>
      <c r="C363" s="42"/>
      <c r="D363" s="42"/>
      <c r="E363" s="42"/>
      <c r="F363" s="42"/>
      <c r="G363" s="42"/>
      <c r="H363" s="42"/>
      <c r="I363" s="42"/>
      <c r="J363" s="42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</row>
    <row r="364">
      <c r="A364" s="29"/>
      <c r="B364" s="42"/>
      <c r="C364" s="42"/>
      <c r="D364" s="42"/>
      <c r="E364" s="42"/>
      <c r="F364" s="42"/>
      <c r="G364" s="42"/>
      <c r="H364" s="42"/>
      <c r="I364" s="42"/>
      <c r="J364" s="42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</row>
    <row r="365">
      <c r="A365" s="29"/>
      <c r="B365" s="42"/>
      <c r="C365" s="42"/>
      <c r="D365" s="42"/>
      <c r="E365" s="42"/>
      <c r="F365" s="42"/>
      <c r="G365" s="42"/>
      <c r="H365" s="42"/>
      <c r="I365" s="42"/>
      <c r="J365" s="42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</row>
    <row r="366">
      <c r="A366" s="29"/>
      <c r="B366" s="42"/>
      <c r="C366" s="42"/>
      <c r="D366" s="42"/>
      <c r="E366" s="42"/>
      <c r="F366" s="42"/>
      <c r="G366" s="42"/>
      <c r="H366" s="42"/>
      <c r="I366" s="42"/>
      <c r="J366" s="42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</row>
    <row r="367">
      <c r="A367" s="29"/>
      <c r="B367" s="42"/>
      <c r="C367" s="42"/>
      <c r="D367" s="42"/>
      <c r="E367" s="42"/>
      <c r="F367" s="42"/>
      <c r="G367" s="42"/>
      <c r="H367" s="42"/>
      <c r="I367" s="42"/>
      <c r="J367" s="42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</row>
    <row r="368">
      <c r="A368" s="29"/>
      <c r="B368" s="42"/>
      <c r="C368" s="42"/>
      <c r="D368" s="42"/>
      <c r="E368" s="42"/>
      <c r="F368" s="42"/>
      <c r="G368" s="42"/>
      <c r="H368" s="42"/>
      <c r="I368" s="42"/>
      <c r="J368" s="42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</row>
    <row r="369">
      <c r="A369" s="29"/>
      <c r="B369" s="42"/>
      <c r="C369" s="42"/>
      <c r="D369" s="42"/>
      <c r="E369" s="42"/>
      <c r="F369" s="42"/>
      <c r="G369" s="42"/>
      <c r="H369" s="42"/>
      <c r="I369" s="42"/>
      <c r="J369" s="42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</row>
    <row r="370">
      <c r="A370" s="29"/>
      <c r="B370" s="42"/>
      <c r="C370" s="42"/>
      <c r="D370" s="42"/>
      <c r="E370" s="42"/>
      <c r="F370" s="42"/>
      <c r="G370" s="42"/>
      <c r="H370" s="42"/>
      <c r="I370" s="42"/>
      <c r="J370" s="42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</row>
    <row r="371">
      <c r="A371" s="29"/>
      <c r="B371" s="42"/>
      <c r="C371" s="42"/>
      <c r="D371" s="42"/>
      <c r="E371" s="42"/>
      <c r="F371" s="42"/>
      <c r="G371" s="42"/>
      <c r="H371" s="42"/>
      <c r="I371" s="42"/>
      <c r="J371" s="42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</row>
    <row r="372">
      <c r="A372" s="29"/>
      <c r="B372" s="42"/>
      <c r="C372" s="42"/>
      <c r="D372" s="42"/>
      <c r="E372" s="42"/>
      <c r="F372" s="42"/>
      <c r="G372" s="42"/>
      <c r="H372" s="42"/>
      <c r="I372" s="42"/>
      <c r="J372" s="42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</row>
    <row r="373">
      <c r="A373" s="29"/>
      <c r="B373" s="42"/>
      <c r="C373" s="42"/>
      <c r="D373" s="42"/>
      <c r="E373" s="42"/>
      <c r="F373" s="42"/>
      <c r="G373" s="42"/>
      <c r="H373" s="42"/>
      <c r="I373" s="42"/>
      <c r="J373" s="42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</row>
    <row r="374">
      <c r="A374" s="29"/>
      <c r="B374" s="42"/>
      <c r="C374" s="42"/>
      <c r="D374" s="42"/>
      <c r="E374" s="42"/>
      <c r="F374" s="42"/>
      <c r="G374" s="42"/>
      <c r="H374" s="42"/>
      <c r="I374" s="42"/>
      <c r="J374" s="42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</row>
    <row r="375">
      <c r="A375" s="29"/>
      <c r="B375" s="42"/>
      <c r="C375" s="42"/>
      <c r="D375" s="42"/>
      <c r="E375" s="42"/>
      <c r="F375" s="42"/>
      <c r="G375" s="42"/>
      <c r="H375" s="42"/>
      <c r="I375" s="42"/>
      <c r="J375" s="42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</row>
    <row r="376">
      <c r="A376" s="29"/>
      <c r="B376" s="42"/>
      <c r="C376" s="42"/>
      <c r="D376" s="42"/>
      <c r="E376" s="42"/>
      <c r="F376" s="42"/>
      <c r="G376" s="42"/>
      <c r="H376" s="42"/>
      <c r="I376" s="42"/>
      <c r="J376" s="42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</row>
    <row r="377">
      <c r="A377" s="29"/>
      <c r="B377" s="42"/>
      <c r="C377" s="42"/>
      <c r="D377" s="42"/>
      <c r="E377" s="42"/>
      <c r="F377" s="42"/>
      <c r="G377" s="42"/>
      <c r="H377" s="42"/>
      <c r="I377" s="42"/>
      <c r="J377" s="42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</row>
    <row r="378">
      <c r="A378" s="29"/>
      <c r="B378" s="42"/>
      <c r="C378" s="42"/>
      <c r="D378" s="42"/>
      <c r="E378" s="42"/>
      <c r="F378" s="42"/>
      <c r="G378" s="42"/>
      <c r="H378" s="42"/>
      <c r="I378" s="42"/>
      <c r="J378" s="42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</row>
    <row r="379">
      <c r="A379" s="29"/>
      <c r="B379" s="42"/>
      <c r="C379" s="42"/>
      <c r="D379" s="42"/>
      <c r="E379" s="42"/>
      <c r="F379" s="42"/>
      <c r="G379" s="42"/>
      <c r="H379" s="42"/>
      <c r="I379" s="42"/>
      <c r="J379" s="42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</row>
    <row r="380">
      <c r="A380" s="29"/>
      <c r="B380" s="42"/>
      <c r="C380" s="42"/>
      <c r="D380" s="42"/>
      <c r="E380" s="42"/>
      <c r="F380" s="42"/>
      <c r="G380" s="42"/>
      <c r="H380" s="42"/>
      <c r="I380" s="42"/>
      <c r="J380" s="42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</row>
    <row r="381">
      <c r="A381" s="29"/>
      <c r="B381" s="42"/>
      <c r="C381" s="42"/>
      <c r="D381" s="42"/>
      <c r="E381" s="42"/>
      <c r="F381" s="42"/>
      <c r="G381" s="42"/>
      <c r="H381" s="42"/>
      <c r="I381" s="42"/>
      <c r="J381" s="42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</row>
    <row r="382">
      <c r="A382" s="29"/>
      <c r="B382" s="42"/>
      <c r="C382" s="42"/>
      <c r="D382" s="42"/>
      <c r="E382" s="42"/>
      <c r="F382" s="42"/>
      <c r="G382" s="42"/>
      <c r="H382" s="42"/>
      <c r="I382" s="42"/>
      <c r="J382" s="42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</row>
    <row r="383">
      <c r="A383" s="29"/>
      <c r="B383" s="42"/>
      <c r="C383" s="42"/>
      <c r="D383" s="42"/>
      <c r="E383" s="42"/>
      <c r="F383" s="42"/>
      <c r="G383" s="42"/>
      <c r="H383" s="42"/>
      <c r="I383" s="42"/>
      <c r="J383" s="42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</row>
    <row r="384">
      <c r="A384" s="29"/>
      <c r="B384" s="42"/>
      <c r="C384" s="42"/>
      <c r="D384" s="42"/>
      <c r="E384" s="42"/>
      <c r="F384" s="42"/>
      <c r="G384" s="42"/>
      <c r="H384" s="42"/>
      <c r="I384" s="42"/>
      <c r="J384" s="42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</row>
    <row r="385">
      <c r="A385" s="29"/>
      <c r="B385" s="42"/>
      <c r="C385" s="42"/>
      <c r="D385" s="42"/>
      <c r="E385" s="42"/>
      <c r="F385" s="42"/>
      <c r="G385" s="42"/>
      <c r="H385" s="42"/>
      <c r="I385" s="42"/>
      <c r="J385" s="42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</row>
    <row r="386">
      <c r="A386" s="29"/>
      <c r="B386" s="42"/>
      <c r="C386" s="42"/>
      <c r="D386" s="42"/>
      <c r="E386" s="42"/>
      <c r="F386" s="42"/>
      <c r="G386" s="42"/>
      <c r="H386" s="42"/>
      <c r="I386" s="42"/>
      <c r="J386" s="42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</row>
    <row r="387">
      <c r="A387" s="29"/>
      <c r="B387" s="42"/>
      <c r="C387" s="42"/>
      <c r="D387" s="42"/>
      <c r="E387" s="42"/>
      <c r="F387" s="42"/>
      <c r="G387" s="42"/>
      <c r="H387" s="42"/>
      <c r="I387" s="42"/>
      <c r="J387" s="42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</row>
    <row r="388">
      <c r="A388" s="29"/>
      <c r="B388" s="42"/>
      <c r="C388" s="42"/>
      <c r="D388" s="42"/>
      <c r="E388" s="42"/>
      <c r="F388" s="42"/>
      <c r="G388" s="42"/>
      <c r="H388" s="42"/>
      <c r="I388" s="42"/>
      <c r="J388" s="42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</row>
    <row r="389">
      <c r="A389" s="29"/>
      <c r="B389" s="42"/>
      <c r="C389" s="42"/>
      <c r="D389" s="42"/>
      <c r="E389" s="42"/>
      <c r="F389" s="42"/>
      <c r="G389" s="42"/>
      <c r="H389" s="42"/>
      <c r="I389" s="42"/>
      <c r="J389" s="42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</row>
    <row r="390">
      <c r="A390" s="29"/>
      <c r="B390" s="42"/>
      <c r="C390" s="42"/>
      <c r="D390" s="42"/>
      <c r="E390" s="42"/>
      <c r="F390" s="42"/>
      <c r="G390" s="42"/>
      <c r="H390" s="42"/>
      <c r="I390" s="42"/>
      <c r="J390" s="42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</row>
    <row r="391">
      <c r="A391" s="29"/>
      <c r="B391" s="42"/>
      <c r="C391" s="42"/>
      <c r="D391" s="42"/>
      <c r="E391" s="42"/>
      <c r="F391" s="42"/>
      <c r="G391" s="42"/>
      <c r="H391" s="42"/>
      <c r="I391" s="42"/>
      <c r="J391" s="42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</row>
    <row r="392">
      <c r="A392" s="29"/>
      <c r="B392" s="42"/>
      <c r="C392" s="42"/>
      <c r="D392" s="42"/>
      <c r="E392" s="42"/>
      <c r="F392" s="42"/>
      <c r="G392" s="42"/>
      <c r="H392" s="42"/>
      <c r="I392" s="42"/>
      <c r="J392" s="42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</row>
    <row r="393">
      <c r="A393" s="29"/>
      <c r="B393" s="42"/>
      <c r="C393" s="42"/>
      <c r="D393" s="42"/>
      <c r="E393" s="42"/>
      <c r="F393" s="42"/>
      <c r="G393" s="42"/>
      <c r="H393" s="42"/>
      <c r="I393" s="42"/>
      <c r="J393" s="42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</row>
    <row r="394">
      <c r="A394" s="29"/>
      <c r="B394" s="42"/>
      <c r="C394" s="42"/>
      <c r="D394" s="42"/>
      <c r="E394" s="42"/>
      <c r="F394" s="42"/>
      <c r="G394" s="42"/>
      <c r="H394" s="42"/>
      <c r="I394" s="42"/>
      <c r="J394" s="42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</row>
    <row r="395">
      <c r="A395" s="29"/>
      <c r="B395" s="42"/>
      <c r="C395" s="42"/>
      <c r="D395" s="42"/>
      <c r="E395" s="42"/>
      <c r="F395" s="42"/>
      <c r="G395" s="42"/>
      <c r="H395" s="42"/>
      <c r="I395" s="42"/>
      <c r="J395" s="42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</row>
    <row r="396">
      <c r="A396" s="29"/>
      <c r="B396" s="42"/>
      <c r="C396" s="42"/>
      <c r="D396" s="42"/>
      <c r="E396" s="42"/>
      <c r="F396" s="42"/>
      <c r="G396" s="42"/>
      <c r="H396" s="42"/>
      <c r="I396" s="42"/>
      <c r="J396" s="42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</row>
    <row r="397">
      <c r="A397" s="29"/>
      <c r="B397" s="42"/>
      <c r="C397" s="42"/>
      <c r="D397" s="42"/>
      <c r="E397" s="42"/>
      <c r="F397" s="42"/>
      <c r="G397" s="42"/>
      <c r="H397" s="42"/>
      <c r="I397" s="42"/>
      <c r="J397" s="42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</row>
    <row r="398">
      <c r="A398" s="29"/>
      <c r="B398" s="42"/>
      <c r="C398" s="42"/>
      <c r="D398" s="42"/>
      <c r="E398" s="42"/>
      <c r="F398" s="42"/>
      <c r="G398" s="42"/>
      <c r="H398" s="42"/>
      <c r="I398" s="42"/>
      <c r="J398" s="42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</row>
    <row r="399">
      <c r="A399" s="29"/>
      <c r="B399" s="42"/>
      <c r="C399" s="42"/>
      <c r="D399" s="42"/>
      <c r="E399" s="42"/>
      <c r="F399" s="42"/>
      <c r="G399" s="42"/>
      <c r="H399" s="42"/>
      <c r="I399" s="42"/>
      <c r="J399" s="42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</row>
    <row r="400">
      <c r="A400" s="29"/>
      <c r="B400" s="42"/>
      <c r="C400" s="42"/>
      <c r="D400" s="42"/>
      <c r="E400" s="42"/>
      <c r="F400" s="42"/>
      <c r="G400" s="42"/>
      <c r="H400" s="42"/>
      <c r="I400" s="42"/>
      <c r="J400" s="42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</row>
    <row r="401">
      <c r="A401" s="29"/>
      <c r="B401" s="42"/>
      <c r="C401" s="42"/>
      <c r="D401" s="42"/>
      <c r="E401" s="42"/>
      <c r="F401" s="42"/>
      <c r="G401" s="42"/>
      <c r="H401" s="42"/>
      <c r="I401" s="42"/>
      <c r="J401" s="42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</row>
    <row r="402">
      <c r="A402" s="29"/>
      <c r="B402" s="42"/>
      <c r="C402" s="42"/>
      <c r="D402" s="42"/>
      <c r="E402" s="42"/>
      <c r="F402" s="42"/>
      <c r="G402" s="42"/>
      <c r="H402" s="42"/>
      <c r="I402" s="42"/>
      <c r="J402" s="42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</row>
    <row r="403">
      <c r="A403" s="29"/>
      <c r="B403" s="42"/>
      <c r="C403" s="42"/>
      <c r="D403" s="42"/>
      <c r="E403" s="42"/>
      <c r="F403" s="42"/>
      <c r="G403" s="42"/>
      <c r="H403" s="42"/>
      <c r="I403" s="42"/>
      <c r="J403" s="42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</row>
    <row r="404">
      <c r="A404" s="29"/>
      <c r="B404" s="42"/>
      <c r="C404" s="42"/>
      <c r="D404" s="42"/>
      <c r="E404" s="42"/>
      <c r="F404" s="42"/>
      <c r="G404" s="42"/>
      <c r="H404" s="42"/>
      <c r="I404" s="42"/>
      <c r="J404" s="42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</row>
    <row r="405">
      <c r="A405" s="29"/>
      <c r="B405" s="42"/>
      <c r="C405" s="42"/>
      <c r="D405" s="42"/>
      <c r="E405" s="42"/>
      <c r="F405" s="42"/>
      <c r="G405" s="42"/>
      <c r="H405" s="42"/>
      <c r="I405" s="42"/>
      <c r="J405" s="42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</row>
    <row r="406">
      <c r="A406" s="29"/>
      <c r="B406" s="42"/>
      <c r="C406" s="42"/>
      <c r="D406" s="42"/>
      <c r="E406" s="42"/>
      <c r="F406" s="42"/>
      <c r="G406" s="42"/>
      <c r="H406" s="42"/>
      <c r="I406" s="42"/>
      <c r="J406" s="42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</row>
    <row r="407">
      <c r="A407" s="29"/>
      <c r="B407" s="42"/>
      <c r="C407" s="42"/>
      <c r="D407" s="42"/>
      <c r="E407" s="42"/>
      <c r="F407" s="42"/>
      <c r="G407" s="42"/>
      <c r="H407" s="42"/>
      <c r="I407" s="42"/>
      <c r="J407" s="42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</row>
    <row r="408">
      <c r="A408" s="29"/>
      <c r="B408" s="42"/>
      <c r="C408" s="42"/>
      <c r="D408" s="42"/>
      <c r="E408" s="42"/>
      <c r="F408" s="42"/>
      <c r="G408" s="42"/>
      <c r="H408" s="42"/>
      <c r="I408" s="42"/>
      <c r="J408" s="42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</row>
    <row r="409">
      <c r="A409" s="29"/>
      <c r="B409" s="42"/>
      <c r="C409" s="42"/>
      <c r="D409" s="42"/>
      <c r="E409" s="42"/>
      <c r="F409" s="42"/>
      <c r="G409" s="42"/>
      <c r="H409" s="42"/>
      <c r="I409" s="42"/>
      <c r="J409" s="42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</row>
    <row r="410">
      <c r="A410" s="29"/>
      <c r="B410" s="42"/>
      <c r="C410" s="42"/>
      <c r="D410" s="42"/>
      <c r="E410" s="42"/>
      <c r="F410" s="42"/>
      <c r="G410" s="42"/>
      <c r="H410" s="42"/>
      <c r="I410" s="42"/>
      <c r="J410" s="42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</row>
    <row r="411">
      <c r="A411" s="29"/>
      <c r="B411" s="42"/>
      <c r="C411" s="42"/>
      <c r="D411" s="42"/>
      <c r="E411" s="42"/>
      <c r="F411" s="42"/>
      <c r="G411" s="42"/>
      <c r="H411" s="42"/>
      <c r="I411" s="42"/>
      <c r="J411" s="42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</row>
    <row r="412">
      <c r="A412" s="29"/>
      <c r="B412" s="42"/>
      <c r="C412" s="42"/>
      <c r="D412" s="42"/>
      <c r="E412" s="42"/>
      <c r="F412" s="42"/>
      <c r="G412" s="42"/>
      <c r="H412" s="42"/>
      <c r="I412" s="42"/>
      <c r="J412" s="42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</row>
    <row r="413">
      <c r="A413" s="29"/>
      <c r="B413" s="42"/>
      <c r="C413" s="42"/>
      <c r="D413" s="42"/>
      <c r="E413" s="42"/>
      <c r="F413" s="42"/>
      <c r="G413" s="42"/>
      <c r="H413" s="42"/>
      <c r="I413" s="42"/>
      <c r="J413" s="42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</row>
    <row r="414">
      <c r="A414" s="29"/>
      <c r="B414" s="42"/>
      <c r="C414" s="42"/>
      <c r="D414" s="42"/>
      <c r="E414" s="42"/>
      <c r="F414" s="42"/>
      <c r="G414" s="42"/>
      <c r="H414" s="42"/>
      <c r="I414" s="42"/>
      <c r="J414" s="42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</row>
    <row r="415">
      <c r="A415" s="29"/>
      <c r="B415" s="42"/>
      <c r="C415" s="42"/>
      <c r="D415" s="42"/>
      <c r="E415" s="42"/>
      <c r="F415" s="42"/>
      <c r="G415" s="42"/>
      <c r="H415" s="42"/>
      <c r="I415" s="42"/>
      <c r="J415" s="42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</row>
    <row r="416">
      <c r="A416" s="29"/>
      <c r="B416" s="42"/>
      <c r="C416" s="42"/>
      <c r="D416" s="42"/>
      <c r="E416" s="42"/>
      <c r="F416" s="42"/>
      <c r="G416" s="42"/>
      <c r="H416" s="42"/>
      <c r="I416" s="42"/>
      <c r="J416" s="42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</row>
    <row r="417">
      <c r="A417" s="29"/>
      <c r="B417" s="42"/>
      <c r="C417" s="42"/>
      <c r="D417" s="42"/>
      <c r="E417" s="42"/>
      <c r="F417" s="42"/>
      <c r="G417" s="42"/>
      <c r="H417" s="42"/>
      <c r="I417" s="42"/>
      <c r="J417" s="42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</row>
    <row r="418">
      <c r="A418" s="29"/>
      <c r="B418" s="42"/>
      <c r="C418" s="42"/>
      <c r="D418" s="42"/>
      <c r="E418" s="42"/>
      <c r="F418" s="42"/>
      <c r="G418" s="42"/>
      <c r="H418" s="42"/>
      <c r="I418" s="42"/>
      <c r="J418" s="42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</row>
    <row r="419">
      <c r="A419" s="29"/>
      <c r="B419" s="42"/>
      <c r="C419" s="42"/>
      <c r="D419" s="42"/>
      <c r="E419" s="42"/>
      <c r="F419" s="42"/>
      <c r="G419" s="42"/>
      <c r="H419" s="42"/>
      <c r="I419" s="42"/>
      <c r="J419" s="42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</row>
    <row r="420">
      <c r="A420" s="29"/>
      <c r="B420" s="42"/>
      <c r="C420" s="42"/>
      <c r="D420" s="42"/>
      <c r="E420" s="42"/>
      <c r="F420" s="42"/>
      <c r="G420" s="42"/>
      <c r="H420" s="42"/>
      <c r="I420" s="42"/>
      <c r="J420" s="42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</row>
    <row r="421">
      <c r="A421" s="29"/>
      <c r="B421" s="42"/>
      <c r="C421" s="42"/>
      <c r="D421" s="42"/>
      <c r="E421" s="42"/>
      <c r="F421" s="42"/>
      <c r="G421" s="42"/>
      <c r="H421" s="42"/>
      <c r="I421" s="42"/>
      <c r="J421" s="42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</row>
    <row r="422">
      <c r="A422" s="29"/>
      <c r="B422" s="42"/>
      <c r="C422" s="42"/>
      <c r="D422" s="42"/>
      <c r="E422" s="42"/>
      <c r="F422" s="42"/>
      <c r="G422" s="42"/>
      <c r="H422" s="42"/>
      <c r="I422" s="42"/>
      <c r="J422" s="42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</row>
    <row r="423">
      <c r="A423" s="29"/>
      <c r="B423" s="42"/>
      <c r="C423" s="42"/>
      <c r="D423" s="42"/>
      <c r="E423" s="42"/>
      <c r="F423" s="42"/>
      <c r="G423" s="42"/>
      <c r="H423" s="42"/>
      <c r="I423" s="42"/>
      <c r="J423" s="42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</row>
    <row r="424">
      <c r="A424" s="29"/>
      <c r="B424" s="42"/>
      <c r="C424" s="42"/>
      <c r="D424" s="42"/>
      <c r="E424" s="42"/>
      <c r="F424" s="42"/>
      <c r="G424" s="42"/>
      <c r="H424" s="42"/>
      <c r="I424" s="42"/>
      <c r="J424" s="42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</row>
    <row r="425">
      <c r="A425" s="29"/>
      <c r="B425" s="42"/>
      <c r="C425" s="42"/>
      <c r="D425" s="42"/>
      <c r="E425" s="42"/>
      <c r="F425" s="42"/>
      <c r="G425" s="42"/>
      <c r="H425" s="42"/>
      <c r="I425" s="42"/>
      <c r="J425" s="42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</row>
    <row r="426">
      <c r="A426" s="29"/>
      <c r="B426" s="42"/>
      <c r="C426" s="42"/>
      <c r="D426" s="42"/>
      <c r="E426" s="42"/>
      <c r="F426" s="42"/>
      <c r="G426" s="42"/>
      <c r="H426" s="42"/>
      <c r="I426" s="42"/>
      <c r="J426" s="42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</row>
    <row r="427">
      <c r="A427" s="29"/>
      <c r="B427" s="42"/>
      <c r="C427" s="42"/>
      <c r="D427" s="42"/>
      <c r="E427" s="42"/>
      <c r="F427" s="42"/>
      <c r="G427" s="42"/>
      <c r="H427" s="42"/>
      <c r="I427" s="42"/>
      <c r="J427" s="42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</row>
    <row r="428">
      <c r="A428" s="29"/>
      <c r="B428" s="42"/>
      <c r="C428" s="42"/>
      <c r="D428" s="42"/>
      <c r="E428" s="42"/>
      <c r="F428" s="42"/>
      <c r="G428" s="42"/>
      <c r="H428" s="42"/>
      <c r="I428" s="42"/>
      <c r="J428" s="42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</row>
    <row r="429">
      <c r="A429" s="29"/>
      <c r="B429" s="42"/>
      <c r="C429" s="42"/>
      <c r="D429" s="42"/>
      <c r="E429" s="42"/>
      <c r="F429" s="42"/>
      <c r="G429" s="42"/>
      <c r="H429" s="42"/>
      <c r="I429" s="42"/>
      <c r="J429" s="42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</row>
    <row r="430">
      <c r="A430" s="29"/>
      <c r="B430" s="42"/>
      <c r="C430" s="42"/>
      <c r="D430" s="42"/>
      <c r="E430" s="42"/>
      <c r="F430" s="42"/>
      <c r="G430" s="42"/>
      <c r="H430" s="42"/>
      <c r="I430" s="42"/>
      <c r="J430" s="42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</row>
    <row r="431">
      <c r="A431" s="29"/>
      <c r="B431" s="42"/>
      <c r="C431" s="42"/>
      <c r="D431" s="42"/>
      <c r="E431" s="42"/>
      <c r="F431" s="42"/>
      <c r="G431" s="42"/>
      <c r="H431" s="42"/>
      <c r="I431" s="42"/>
      <c r="J431" s="42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</row>
    <row r="432">
      <c r="A432" s="29"/>
      <c r="B432" s="42"/>
      <c r="C432" s="42"/>
      <c r="D432" s="42"/>
      <c r="E432" s="42"/>
      <c r="F432" s="42"/>
      <c r="G432" s="42"/>
      <c r="H432" s="42"/>
      <c r="I432" s="42"/>
      <c r="J432" s="42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</row>
    <row r="433">
      <c r="A433" s="29"/>
      <c r="B433" s="42"/>
      <c r="C433" s="42"/>
      <c r="D433" s="42"/>
      <c r="E433" s="42"/>
      <c r="F433" s="42"/>
      <c r="G433" s="42"/>
      <c r="H433" s="42"/>
      <c r="I433" s="42"/>
      <c r="J433" s="42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</row>
    <row r="434">
      <c r="A434" s="29"/>
      <c r="B434" s="42"/>
      <c r="C434" s="42"/>
      <c r="D434" s="42"/>
      <c r="E434" s="42"/>
      <c r="F434" s="42"/>
      <c r="G434" s="42"/>
      <c r="H434" s="42"/>
      <c r="I434" s="42"/>
      <c r="J434" s="42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</row>
    <row r="435">
      <c r="A435" s="29"/>
      <c r="B435" s="42"/>
      <c r="C435" s="42"/>
      <c r="D435" s="42"/>
      <c r="E435" s="42"/>
      <c r="F435" s="42"/>
      <c r="G435" s="42"/>
      <c r="H435" s="42"/>
      <c r="I435" s="42"/>
      <c r="J435" s="42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</row>
    <row r="436">
      <c r="A436" s="29"/>
      <c r="B436" s="42"/>
      <c r="C436" s="42"/>
      <c r="D436" s="42"/>
      <c r="E436" s="42"/>
      <c r="F436" s="42"/>
      <c r="G436" s="42"/>
      <c r="H436" s="42"/>
      <c r="I436" s="42"/>
      <c r="J436" s="42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</row>
    <row r="437">
      <c r="A437" s="29"/>
      <c r="B437" s="42"/>
      <c r="C437" s="42"/>
      <c r="D437" s="42"/>
      <c r="E437" s="42"/>
      <c r="F437" s="42"/>
      <c r="G437" s="42"/>
      <c r="H437" s="42"/>
      <c r="I437" s="42"/>
      <c r="J437" s="42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</row>
    <row r="438">
      <c r="A438" s="29"/>
      <c r="B438" s="42"/>
      <c r="C438" s="42"/>
      <c r="D438" s="42"/>
      <c r="E438" s="42"/>
      <c r="F438" s="42"/>
      <c r="G438" s="42"/>
      <c r="H438" s="42"/>
      <c r="I438" s="42"/>
      <c r="J438" s="42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</row>
    <row r="439">
      <c r="A439" s="29"/>
      <c r="B439" s="42"/>
      <c r="C439" s="42"/>
      <c r="D439" s="42"/>
      <c r="E439" s="42"/>
      <c r="F439" s="42"/>
      <c r="G439" s="42"/>
      <c r="H439" s="42"/>
      <c r="I439" s="42"/>
      <c r="J439" s="42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</row>
    <row r="440">
      <c r="A440" s="29"/>
      <c r="B440" s="42"/>
      <c r="C440" s="42"/>
      <c r="D440" s="42"/>
      <c r="E440" s="42"/>
      <c r="F440" s="42"/>
      <c r="G440" s="42"/>
      <c r="H440" s="42"/>
      <c r="I440" s="42"/>
      <c r="J440" s="42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</row>
    <row r="441">
      <c r="A441" s="29"/>
      <c r="B441" s="42"/>
      <c r="C441" s="42"/>
      <c r="D441" s="42"/>
      <c r="E441" s="42"/>
      <c r="F441" s="42"/>
      <c r="G441" s="42"/>
      <c r="H441" s="42"/>
      <c r="I441" s="42"/>
      <c r="J441" s="42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</row>
    <row r="442">
      <c r="A442" s="29"/>
      <c r="B442" s="42"/>
      <c r="C442" s="42"/>
      <c r="D442" s="42"/>
      <c r="E442" s="42"/>
      <c r="F442" s="42"/>
      <c r="G442" s="42"/>
      <c r="H442" s="42"/>
      <c r="I442" s="42"/>
      <c r="J442" s="42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</row>
    <row r="443">
      <c r="A443" s="29"/>
      <c r="B443" s="42"/>
      <c r="C443" s="42"/>
      <c r="D443" s="42"/>
      <c r="E443" s="42"/>
      <c r="F443" s="42"/>
      <c r="G443" s="42"/>
      <c r="H443" s="42"/>
      <c r="I443" s="42"/>
      <c r="J443" s="42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</row>
    <row r="444">
      <c r="A444" s="29"/>
      <c r="B444" s="42"/>
      <c r="C444" s="42"/>
      <c r="D444" s="42"/>
      <c r="E444" s="42"/>
      <c r="F444" s="42"/>
      <c r="G444" s="42"/>
      <c r="H444" s="42"/>
      <c r="I444" s="42"/>
      <c r="J444" s="42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</row>
    <row r="445">
      <c r="A445" s="29"/>
      <c r="B445" s="42"/>
      <c r="C445" s="42"/>
      <c r="D445" s="42"/>
      <c r="E445" s="42"/>
      <c r="F445" s="42"/>
      <c r="G445" s="42"/>
      <c r="H445" s="42"/>
      <c r="I445" s="42"/>
      <c r="J445" s="42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</row>
    <row r="446">
      <c r="A446" s="29"/>
      <c r="B446" s="42"/>
      <c r="C446" s="42"/>
      <c r="D446" s="42"/>
      <c r="E446" s="42"/>
      <c r="F446" s="42"/>
      <c r="G446" s="42"/>
      <c r="H446" s="42"/>
      <c r="I446" s="42"/>
      <c r="J446" s="42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</row>
    <row r="447">
      <c r="A447" s="29"/>
      <c r="B447" s="42"/>
      <c r="C447" s="42"/>
      <c r="D447" s="42"/>
      <c r="E447" s="42"/>
      <c r="F447" s="42"/>
      <c r="G447" s="42"/>
      <c r="H447" s="42"/>
      <c r="I447" s="42"/>
      <c r="J447" s="42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</row>
    <row r="448">
      <c r="A448" s="29"/>
      <c r="B448" s="42"/>
      <c r="C448" s="42"/>
      <c r="D448" s="42"/>
      <c r="E448" s="42"/>
      <c r="F448" s="42"/>
      <c r="G448" s="42"/>
      <c r="H448" s="42"/>
      <c r="I448" s="42"/>
      <c r="J448" s="42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</row>
    <row r="449">
      <c r="A449" s="29"/>
      <c r="B449" s="42"/>
      <c r="C449" s="42"/>
      <c r="D449" s="42"/>
      <c r="E449" s="42"/>
      <c r="F449" s="42"/>
      <c r="G449" s="42"/>
      <c r="H449" s="42"/>
      <c r="I449" s="42"/>
      <c r="J449" s="42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</row>
    <row r="450">
      <c r="A450" s="29"/>
      <c r="B450" s="42"/>
      <c r="C450" s="42"/>
      <c r="D450" s="42"/>
      <c r="E450" s="42"/>
      <c r="F450" s="42"/>
      <c r="G450" s="42"/>
      <c r="H450" s="42"/>
      <c r="I450" s="42"/>
      <c r="J450" s="42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</row>
    <row r="451">
      <c r="A451" s="29"/>
      <c r="B451" s="42"/>
      <c r="C451" s="42"/>
      <c r="D451" s="42"/>
      <c r="E451" s="42"/>
      <c r="F451" s="42"/>
      <c r="G451" s="42"/>
      <c r="H451" s="42"/>
      <c r="I451" s="42"/>
      <c r="J451" s="42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</row>
    <row r="452">
      <c r="A452" s="29"/>
      <c r="B452" s="42"/>
      <c r="C452" s="42"/>
      <c r="D452" s="42"/>
      <c r="E452" s="42"/>
      <c r="F452" s="42"/>
      <c r="G452" s="42"/>
      <c r="H452" s="42"/>
      <c r="I452" s="42"/>
      <c r="J452" s="42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</row>
    <row r="453">
      <c r="A453" s="29"/>
      <c r="B453" s="42"/>
      <c r="C453" s="42"/>
      <c r="D453" s="42"/>
      <c r="E453" s="42"/>
      <c r="F453" s="42"/>
      <c r="G453" s="42"/>
      <c r="H453" s="42"/>
      <c r="I453" s="42"/>
      <c r="J453" s="42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</row>
    <row r="454">
      <c r="A454" s="29"/>
      <c r="B454" s="42"/>
      <c r="C454" s="42"/>
      <c r="D454" s="42"/>
      <c r="E454" s="42"/>
      <c r="F454" s="42"/>
      <c r="G454" s="42"/>
      <c r="H454" s="42"/>
      <c r="I454" s="42"/>
      <c r="J454" s="42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</row>
    <row r="455">
      <c r="A455" s="29"/>
      <c r="B455" s="42"/>
      <c r="C455" s="42"/>
      <c r="D455" s="42"/>
      <c r="E455" s="42"/>
      <c r="F455" s="42"/>
      <c r="G455" s="42"/>
      <c r="H455" s="42"/>
      <c r="I455" s="42"/>
      <c r="J455" s="42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</row>
    <row r="456">
      <c r="A456" s="29"/>
      <c r="B456" s="42"/>
      <c r="C456" s="42"/>
      <c r="D456" s="42"/>
      <c r="E456" s="42"/>
      <c r="F456" s="42"/>
      <c r="G456" s="42"/>
      <c r="H456" s="42"/>
      <c r="I456" s="42"/>
      <c r="J456" s="42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</row>
    <row r="457">
      <c r="A457" s="29"/>
      <c r="B457" s="42"/>
      <c r="C457" s="42"/>
      <c r="D457" s="42"/>
      <c r="E457" s="42"/>
      <c r="F457" s="42"/>
      <c r="G457" s="42"/>
      <c r="H457" s="42"/>
      <c r="I457" s="42"/>
      <c r="J457" s="42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</row>
    <row r="458">
      <c r="A458" s="29"/>
      <c r="B458" s="42"/>
      <c r="C458" s="42"/>
      <c r="D458" s="42"/>
      <c r="E458" s="42"/>
      <c r="F458" s="42"/>
      <c r="G458" s="42"/>
      <c r="H458" s="42"/>
      <c r="I458" s="42"/>
      <c r="J458" s="42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</row>
    <row r="459">
      <c r="A459" s="29"/>
      <c r="B459" s="42"/>
      <c r="C459" s="42"/>
      <c r="D459" s="42"/>
      <c r="E459" s="42"/>
      <c r="F459" s="42"/>
      <c r="G459" s="42"/>
      <c r="H459" s="42"/>
      <c r="I459" s="42"/>
      <c r="J459" s="42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</row>
    <row r="460">
      <c r="A460" s="29"/>
      <c r="B460" s="42"/>
      <c r="C460" s="42"/>
      <c r="D460" s="42"/>
      <c r="E460" s="42"/>
      <c r="F460" s="42"/>
      <c r="G460" s="42"/>
      <c r="H460" s="42"/>
      <c r="I460" s="42"/>
      <c r="J460" s="42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</row>
    <row r="461">
      <c r="A461" s="29"/>
      <c r="B461" s="42"/>
      <c r="C461" s="42"/>
      <c r="D461" s="42"/>
      <c r="E461" s="42"/>
      <c r="F461" s="42"/>
      <c r="G461" s="42"/>
      <c r="H461" s="42"/>
      <c r="I461" s="42"/>
      <c r="J461" s="42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</row>
    <row r="462">
      <c r="A462" s="29"/>
      <c r="B462" s="42"/>
      <c r="C462" s="42"/>
      <c r="D462" s="42"/>
      <c r="E462" s="42"/>
      <c r="F462" s="42"/>
      <c r="G462" s="42"/>
      <c r="H462" s="42"/>
      <c r="I462" s="42"/>
      <c r="J462" s="42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</row>
    <row r="463">
      <c r="A463" s="29"/>
      <c r="B463" s="42"/>
      <c r="C463" s="42"/>
      <c r="D463" s="42"/>
      <c r="E463" s="42"/>
      <c r="F463" s="42"/>
      <c r="G463" s="42"/>
      <c r="H463" s="42"/>
      <c r="I463" s="42"/>
      <c r="J463" s="42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</row>
    <row r="464">
      <c r="A464" s="29"/>
      <c r="B464" s="42"/>
      <c r="C464" s="42"/>
      <c r="D464" s="42"/>
      <c r="E464" s="42"/>
      <c r="F464" s="42"/>
      <c r="G464" s="42"/>
      <c r="H464" s="42"/>
      <c r="I464" s="42"/>
      <c r="J464" s="42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</row>
    <row r="465">
      <c r="A465" s="29"/>
      <c r="B465" s="42"/>
      <c r="C465" s="42"/>
      <c r="D465" s="42"/>
      <c r="E465" s="42"/>
      <c r="F465" s="42"/>
      <c r="G465" s="42"/>
      <c r="H465" s="42"/>
      <c r="I465" s="42"/>
      <c r="J465" s="42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</row>
    <row r="466">
      <c r="A466" s="29"/>
      <c r="B466" s="42"/>
      <c r="C466" s="42"/>
      <c r="D466" s="42"/>
      <c r="E466" s="42"/>
      <c r="F466" s="42"/>
      <c r="G466" s="42"/>
      <c r="H466" s="42"/>
      <c r="I466" s="42"/>
      <c r="J466" s="42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</row>
    <row r="467">
      <c r="A467" s="29"/>
      <c r="B467" s="42"/>
      <c r="C467" s="42"/>
      <c r="D467" s="42"/>
      <c r="E467" s="42"/>
      <c r="F467" s="42"/>
      <c r="G467" s="42"/>
      <c r="H467" s="42"/>
      <c r="I467" s="42"/>
      <c r="J467" s="42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</row>
    <row r="468">
      <c r="A468" s="29"/>
      <c r="B468" s="42"/>
      <c r="C468" s="42"/>
      <c r="D468" s="42"/>
      <c r="E468" s="42"/>
      <c r="F468" s="42"/>
      <c r="G468" s="42"/>
      <c r="H468" s="42"/>
      <c r="I468" s="42"/>
      <c r="J468" s="42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</row>
    <row r="469">
      <c r="A469" s="29"/>
      <c r="B469" s="42"/>
      <c r="C469" s="42"/>
      <c r="D469" s="42"/>
      <c r="E469" s="42"/>
      <c r="F469" s="42"/>
      <c r="G469" s="42"/>
      <c r="H469" s="42"/>
      <c r="I469" s="42"/>
      <c r="J469" s="42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</row>
    <row r="470">
      <c r="A470" s="29"/>
      <c r="B470" s="42"/>
      <c r="C470" s="42"/>
      <c r="D470" s="42"/>
      <c r="E470" s="42"/>
      <c r="F470" s="42"/>
      <c r="G470" s="42"/>
      <c r="H470" s="42"/>
      <c r="I470" s="42"/>
      <c r="J470" s="42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</row>
    <row r="471">
      <c r="A471" s="29"/>
      <c r="B471" s="42"/>
      <c r="C471" s="42"/>
      <c r="D471" s="42"/>
      <c r="E471" s="42"/>
      <c r="F471" s="42"/>
      <c r="G471" s="42"/>
      <c r="H471" s="42"/>
      <c r="I471" s="42"/>
      <c r="J471" s="42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</row>
    <row r="472">
      <c r="A472" s="29"/>
      <c r="B472" s="42"/>
      <c r="C472" s="42"/>
      <c r="D472" s="42"/>
      <c r="E472" s="42"/>
      <c r="F472" s="42"/>
      <c r="G472" s="42"/>
      <c r="H472" s="42"/>
      <c r="I472" s="42"/>
      <c r="J472" s="42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</row>
    <row r="473">
      <c r="A473" s="29"/>
      <c r="B473" s="42"/>
      <c r="C473" s="42"/>
      <c r="D473" s="42"/>
      <c r="E473" s="42"/>
      <c r="F473" s="42"/>
      <c r="G473" s="42"/>
      <c r="H473" s="42"/>
      <c r="I473" s="42"/>
      <c r="J473" s="42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</row>
    <row r="474">
      <c r="A474" s="29"/>
      <c r="B474" s="42"/>
      <c r="C474" s="42"/>
      <c r="D474" s="42"/>
      <c r="E474" s="42"/>
      <c r="F474" s="42"/>
      <c r="G474" s="42"/>
      <c r="H474" s="42"/>
      <c r="I474" s="42"/>
      <c r="J474" s="42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</row>
    <row r="475">
      <c r="A475" s="29"/>
      <c r="B475" s="42"/>
      <c r="C475" s="42"/>
      <c r="D475" s="42"/>
      <c r="E475" s="42"/>
      <c r="F475" s="42"/>
      <c r="G475" s="42"/>
      <c r="H475" s="42"/>
      <c r="I475" s="42"/>
      <c r="J475" s="42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</row>
    <row r="476">
      <c r="A476" s="29"/>
      <c r="B476" s="42"/>
      <c r="C476" s="42"/>
      <c r="D476" s="42"/>
      <c r="E476" s="42"/>
      <c r="F476" s="42"/>
      <c r="G476" s="42"/>
      <c r="H476" s="42"/>
      <c r="I476" s="42"/>
      <c r="J476" s="42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</row>
    <row r="477">
      <c r="A477" s="29"/>
      <c r="B477" s="42"/>
      <c r="C477" s="42"/>
      <c r="D477" s="42"/>
      <c r="E477" s="42"/>
      <c r="F477" s="42"/>
      <c r="G477" s="42"/>
      <c r="H477" s="42"/>
      <c r="I477" s="42"/>
      <c r="J477" s="42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</row>
    <row r="478">
      <c r="A478" s="29"/>
      <c r="B478" s="42"/>
      <c r="C478" s="42"/>
      <c r="D478" s="42"/>
      <c r="E478" s="42"/>
      <c r="F478" s="42"/>
      <c r="G478" s="42"/>
      <c r="H478" s="42"/>
      <c r="I478" s="42"/>
      <c r="J478" s="42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</row>
    <row r="479">
      <c r="A479" s="29"/>
      <c r="B479" s="42"/>
      <c r="C479" s="42"/>
      <c r="D479" s="42"/>
      <c r="E479" s="42"/>
      <c r="F479" s="42"/>
      <c r="G479" s="42"/>
      <c r="H479" s="42"/>
      <c r="I479" s="42"/>
      <c r="J479" s="42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</row>
    <row r="480">
      <c r="A480" s="29"/>
      <c r="B480" s="42"/>
      <c r="C480" s="42"/>
      <c r="D480" s="42"/>
      <c r="E480" s="42"/>
      <c r="F480" s="42"/>
      <c r="G480" s="42"/>
      <c r="H480" s="42"/>
      <c r="I480" s="42"/>
      <c r="J480" s="42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</row>
    <row r="481">
      <c r="A481" s="29"/>
      <c r="B481" s="42"/>
      <c r="C481" s="42"/>
      <c r="D481" s="42"/>
      <c r="E481" s="42"/>
      <c r="F481" s="42"/>
      <c r="G481" s="42"/>
      <c r="H481" s="42"/>
      <c r="I481" s="42"/>
      <c r="J481" s="42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</row>
    <row r="482">
      <c r="A482" s="29"/>
      <c r="B482" s="42"/>
      <c r="C482" s="42"/>
      <c r="D482" s="42"/>
      <c r="E482" s="42"/>
      <c r="F482" s="42"/>
      <c r="G482" s="42"/>
      <c r="H482" s="42"/>
      <c r="I482" s="42"/>
      <c r="J482" s="42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</row>
    <row r="483">
      <c r="A483" s="29"/>
      <c r="B483" s="42"/>
      <c r="C483" s="42"/>
      <c r="D483" s="42"/>
      <c r="E483" s="42"/>
      <c r="F483" s="42"/>
      <c r="G483" s="42"/>
      <c r="H483" s="42"/>
      <c r="I483" s="42"/>
      <c r="J483" s="42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</row>
    <row r="484">
      <c r="A484" s="29"/>
      <c r="B484" s="42"/>
      <c r="C484" s="42"/>
      <c r="D484" s="42"/>
      <c r="E484" s="42"/>
      <c r="F484" s="42"/>
      <c r="G484" s="42"/>
      <c r="H484" s="42"/>
      <c r="I484" s="42"/>
      <c r="J484" s="42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</row>
    <row r="485">
      <c r="A485" s="29"/>
      <c r="B485" s="42"/>
      <c r="C485" s="42"/>
      <c r="D485" s="42"/>
      <c r="E485" s="42"/>
      <c r="F485" s="42"/>
      <c r="G485" s="42"/>
      <c r="H485" s="42"/>
      <c r="I485" s="42"/>
      <c r="J485" s="42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</row>
    <row r="486">
      <c r="A486" s="29"/>
      <c r="B486" s="42"/>
      <c r="C486" s="42"/>
      <c r="D486" s="42"/>
      <c r="E486" s="42"/>
      <c r="F486" s="42"/>
      <c r="G486" s="42"/>
      <c r="H486" s="42"/>
      <c r="I486" s="42"/>
      <c r="J486" s="42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</row>
    <row r="487">
      <c r="A487" s="29"/>
      <c r="B487" s="42"/>
      <c r="C487" s="42"/>
      <c r="D487" s="42"/>
      <c r="E487" s="42"/>
      <c r="F487" s="42"/>
      <c r="G487" s="42"/>
      <c r="H487" s="42"/>
      <c r="I487" s="42"/>
      <c r="J487" s="42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</row>
    <row r="488">
      <c r="A488" s="29"/>
      <c r="B488" s="42"/>
      <c r="C488" s="42"/>
      <c r="D488" s="42"/>
      <c r="E488" s="42"/>
      <c r="F488" s="42"/>
      <c r="G488" s="42"/>
      <c r="H488" s="42"/>
      <c r="I488" s="42"/>
      <c r="J488" s="42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</row>
    <row r="489">
      <c r="A489" s="29"/>
      <c r="B489" s="42"/>
      <c r="C489" s="42"/>
      <c r="D489" s="42"/>
      <c r="E489" s="42"/>
      <c r="F489" s="42"/>
      <c r="G489" s="42"/>
      <c r="H489" s="42"/>
      <c r="I489" s="42"/>
      <c r="J489" s="42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</row>
    <row r="490">
      <c r="A490" s="29"/>
      <c r="B490" s="42"/>
      <c r="C490" s="42"/>
      <c r="D490" s="42"/>
      <c r="E490" s="42"/>
      <c r="F490" s="42"/>
      <c r="G490" s="42"/>
      <c r="H490" s="42"/>
      <c r="I490" s="42"/>
      <c r="J490" s="42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</row>
    <row r="491">
      <c r="A491" s="29"/>
      <c r="B491" s="42"/>
      <c r="C491" s="42"/>
      <c r="D491" s="42"/>
      <c r="E491" s="42"/>
      <c r="F491" s="42"/>
      <c r="G491" s="42"/>
      <c r="H491" s="42"/>
      <c r="I491" s="42"/>
      <c r="J491" s="42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</row>
    <row r="492">
      <c r="A492" s="29"/>
      <c r="B492" s="42"/>
      <c r="C492" s="42"/>
      <c r="D492" s="42"/>
      <c r="E492" s="42"/>
      <c r="F492" s="42"/>
      <c r="G492" s="42"/>
      <c r="H492" s="42"/>
      <c r="I492" s="42"/>
      <c r="J492" s="42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</row>
    <row r="493">
      <c r="A493" s="29"/>
      <c r="B493" s="42"/>
      <c r="C493" s="42"/>
      <c r="D493" s="42"/>
      <c r="E493" s="42"/>
      <c r="F493" s="42"/>
      <c r="G493" s="42"/>
      <c r="H493" s="42"/>
      <c r="I493" s="42"/>
      <c r="J493" s="42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</row>
    <row r="494">
      <c r="A494" s="29"/>
      <c r="B494" s="42"/>
      <c r="C494" s="42"/>
      <c r="D494" s="42"/>
      <c r="E494" s="42"/>
      <c r="F494" s="42"/>
      <c r="G494" s="42"/>
      <c r="H494" s="42"/>
      <c r="I494" s="42"/>
      <c r="J494" s="42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</row>
    <row r="495">
      <c r="A495" s="29"/>
      <c r="B495" s="42"/>
      <c r="C495" s="42"/>
      <c r="D495" s="42"/>
      <c r="E495" s="42"/>
      <c r="F495" s="42"/>
      <c r="G495" s="42"/>
      <c r="H495" s="42"/>
      <c r="I495" s="42"/>
      <c r="J495" s="42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</row>
    <row r="496">
      <c r="A496" s="29"/>
      <c r="B496" s="42"/>
      <c r="C496" s="42"/>
      <c r="D496" s="42"/>
      <c r="E496" s="42"/>
      <c r="F496" s="42"/>
      <c r="G496" s="42"/>
      <c r="H496" s="42"/>
      <c r="I496" s="42"/>
      <c r="J496" s="42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</row>
    <row r="497">
      <c r="A497" s="29"/>
      <c r="B497" s="42"/>
      <c r="C497" s="42"/>
      <c r="D497" s="42"/>
      <c r="E497" s="42"/>
      <c r="F497" s="42"/>
      <c r="G497" s="42"/>
      <c r="H497" s="42"/>
      <c r="I497" s="42"/>
      <c r="J497" s="42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</row>
    <row r="498">
      <c r="A498" s="29"/>
      <c r="B498" s="42"/>
      <c r="C498" s="42"/>
      <c r="D498" s="42"/>
      <c r="E498" s="42"/>
      <c r="F498" s="42"/>
      <c r="G498" s="42"/>
      <c r="H498" s="42"/>
      <c r="I498" s="42"/>
      <c r="J498" s="42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</row>
    <row r="499">
      <c r="A499" s="29"/>
      <c r="B499" s="42"/>
      <c r="C499" s="42"/>
      <c r="D499" s="42"/>
      <c r="E499" s="42"/>
      <c r="F499" s="42"/>
      <c r="G499" s="42"/>
      <c r="H499" s="42"/>
      <c r="I499" s="42"/>
      <c r="J499" s="42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</row>
    <row r="500">
      <c r="A500" s="29"/>
      <c r="B500" s="42"/>
      <c r="C500" s="42"/>
      <c r="D500" s="42"/>
      <c r="E500" s="42"/>
      <c r="F500" s="42"/>
      <c r="G500" s="42"/>
      <c r="H500" s="42"/>
      <c r="I500" s="42"/>
      <c r="J500" s="42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</row>
    <row r="501">
      <c r="A501" s="29"/>
      <c r="B501" s="42"/>
      <c r="C501" s="42"/>
      <c r="D501" s="42"/>
      <c r="E501" s="42"/>
      <c r="F501" s="42"/>
      <c r="G501" s="42"/>
      <c r="H501" s="42"/>
      <c r="I501" s="42"/>
      <c r="J501" s="42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</row>
    <row r="502">
      <c r="A502" s="29"/>
      <c r="B502" s="42"/>
      <c r="C502" s="42"/>
      <c r="D502" s="42"/>
      <c r="E502" s="42"/>
      <c r="F502" s="42"/>
      <c r="G502" s="42"/>
      <c r="H502" s="42"/>
      <c r="I502" s="42"/>
      <c r="J502" s="42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</row>
    <row r="503">
      <c r="A503" s="29"/>
      <c r="B503" s="42"/>
      <c r="C503" s="42"/>
      <c r="D503" s="42"/>
      <c r="E503" s="42"/>
      <c r="F503" s="42"/>
      <c r="G503" s="42"/>
      <c r="H503" s="42"/>
      <c r="I503" s="42"/>
      <c r="J503" s="42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</row>
    <row r="504">
      <c r="A504" s="29"/>
      <c r="B504" s="42"/>
      <c r="C504" s="42"/>
      <c r="D504" s="42"/>
      <c r="E504" s="42"/>
      <c r="F504" s="42"/>
      <c r="G504" s="42"/>
      <c r="H504" s="42"/>
      <c r="I504" s="42"/>
      <c r="J504" s="42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</row>
    <row r="505">
      <c r="A505" s="29"/>
      <c r="B505" s="42"/>
      <c r="C505" s="42"/>
      <c r="D505" s="42"/>
      <c r="E505" s="42"/>
      <c r="F505" s="42"/>
      <c r="G505" s="42"/>
      <c r="H505" s="42"/>
      <c r="I505" s="42"/>
      <c r="J505" s="42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</row>
    <row r="506">
      <c r="A506" s="29"/>
      <c r="B506" s="42"/>
      <c r="C506" s="42"/>
      <c r="D506" s="42"/>
      <c r="E506" s="42"/>
      <c r="F506" s="42"/>
      <c r="G506" s="42"/>
      <c r="H506" s="42"/>
      <c r="I506" s="42"/>
      <c r="J506" s="42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</row>
    <row r="507">
      <c r="A507" s="29"/>
      <c r="B507" s="42"/>
      <c r="C507" s="42"/>
      <c r="D507" s="42"/>
      <c r="E507" s="42"/>
      <c r="F507" s="42"/>
      <c r="G507" s="42"/>
      <c r="H507" s="42"/>
      <c r="I507" s="42"/>
      <c r="J507" s="42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</row>
    <row r="508">
      <c r="A508" s="29"/>
      <c r="B508" s="42"/>
      <c r="C508" s="42"/>
      <c r="D508" s="42"/>
      <c r="E508" s="42"/>
      <c r="F508" s="42"/>
      <c r="G508" s="42"/>
      <c r="H508" s="42"/>
      <c r="I508" s="42"/>
      <c r="J508" s="42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</row>
    <row r="509">
      <c r="A509" s="29"/>
      <c r="B509" s="42"/>
      <c r="C509" s="42"/>
      <c r="D509" s="42"/>
      <c r="E509" s="42"/>
      <c r="F509" s="42"/>
      <c r="G509" s="42"/>
      <c r="H509" s="42"/>
      <c r="I509" s="42"/>
      <c r="J509" s="42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</row>
    <row r="510">
      <c r="A510" s="29"/>
      <c r="B510" s="42"/>
      <c r="C510" s="42"/>
      <c r="D510" s="42"/>
      <c r="E510" s="42"/>
      <c r="F510" s="42"/>
      <c r="G510" s="42"/>
      <c r="H510" s="42"/>
      <c r="I510" s="42"/>
      <c r="J510" s="42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</row>
    <row r="511">
      <c r="A511" s="29"/>
      <c r="B511" s="42"/>
      <c r="C511" s="42"/>
      <c r="D511" s="42"/>
      <c r="E511" s="42"/>
      <c r="F511" s="42"/>
      <c r="G511" s="42"/>
      <c r="H511" s="42"/>
      <c r="I511" s="42"/>
      <c r="J511" s="42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</row>
    <row r="512">
      <c r="A512" s="29"/>
      <c r="B512" s="42"/>
      <c r="C512" s="42"/>
      <c r="D512" s="42"/>
      <c r="E512" s="42"/>
      <c r="F512" s="42"/>
      <c r="G512" s="42"/>
      <c r="H512" s="42"/>
      <c r="I512" s="42"/>
      <c r="J512" s="42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</row>
    <row r="513">
      <c r="A513" s="29"/>
      <c r="B513" s="42"/>
      <c r="C513" s="42"/>
      <c r="D513" s="42"/>
      <c r="E513" s="42"/>
      <c r="F513" s="42"/>
      <c r="G513" s="42"/>
      <c r="H513" s="42"/>
      <c r="I513" s="42"/>
      <c r="J513" s="42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</row>
    <row r="514">
      <c r="A514" s="29"/>
      <c r="B514" s="42"/>
      <c r="C514" s="42"/>
      <c r="D514" s="42"/>
      <c r="E514" s="42"/>
      <c r="F514" s="42"/>
      <c r="G514" s="42"/>
      <c r="H514" s="42"/>
      <c r="I514" s="42"/>
      <c r="J514" s="42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</row>
    <row r="515">
      <c r="A515" s="29"/>
      <c r="B515" s="42"/>
      <c r="C515" s="42"/>
      <c r="D515" s="42"/>
      <c r="E515" s="42"/>
      <c r="F515" s="42"/>
      <c r="G515" s="42"/>
      <c r="H515" s="42"/>
      <c r="I515" s="42"/>
      <c r="J515" s="42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</row>
    <row r="516">
      <c r="A516" s="29"/>
      <c r="B516" s="42"/>
      <c r="C516" s="42"/>
      <c r="D516" s="42"/>
      <c r="E516" s="42"/>
      <c r="F516" s="42"/>
      <c r="G516" s="42"/>
      <c r="H516" s="42"/>
      <c r="I516" s="42"/>
      <c r="J516" s="42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</row>
    <row r="517">
      <c r="A517" s="29"/>
      <c r="B517" s="42"/>
      <c r="C517" s="42"/>
      <c r="D517" s="42"/>
      <c r="E517" s="42"/>
      <c r="F517" s="42"/>
      <c r="G517" s="42"/>
      <c r="H517" s="42"/>
      <c r="I517" s="42"/>
      <c r="J517" s="42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</row>
    <row r="518">
      <c r="A518" s="29"/>
      <c r="B518" s="42"/>
      <c r="C518" s="42"/>
      <c r="D518" s="42"/>
      <c r="E518" s="42"/>
      <c r="F518" s="42"/>
      <c r="G518" s="42"/>
      <c r="H518" s="42"/>
      <c r="I518" s="42"/>
      <c r="J518" s="42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</row>
    <row r="519">
      <c r="A519" s="29"/>
      <c r="B519" s="42"/>
      <c r="C519" s="42"/>
      <c r="D519" s="42"/>
      <c r="E519" s="42"/>
      <c r="F519" s="42"/>
      <c r="G519" s="42"/>
      <c r="H519" s="42"/>
      <c r="I519" s="42"/>
      <c r="J519" s="42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</row>
    <row r="520">
      <c r="A520" s="29"/>
      <c r="B520" s="42"/>
      <c r="C520" s="42"/>
      <c r="D520" s="42"/>
      <c r="E520" s="42"/>
      <c r="F520" s="42"/>
      <c r="G520" s="42"/>
      <c r="H520" s="42"/>
      <c r="I520" s="42"/>
      <c r="J520" s="42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</row>
    <row r="521">
      <c r="A521" s="29"/>
      <c r="B521" s="42"/>
      <c r="C521" s="42"/>
      <c r="D521" s="42"/>
      <c r="E521" s="42"/>
      <c r="F521" s="42"/>
      <c r="G521" s="42"/>
      <c r="H521" s="42"/>
      <c r="I521" s="42"/>
      <c r="J521" s="42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</row>
    <row r="522">
      <c r="A522" s="29"/>
      <c r="B522" s="42"/>
      <c r="C522" s="42"/>
      <c r="D522" s="42"/>
      <c r="E522" s="42"/>
      <c r="F522" s="42"/>
      <c r="G522" s="42"/>
      <c r="H522" s="42"/>
      <c r="I522" s="42"/>
      <c r="J522" s="42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</row>
    <row r="523">
      <c r="A523" s="29"/>
      <c r="B523" s="42"/>
      <c r="C523" s="42"/>
      <c r="D523" s="42"/>
      <c r="E523" s="42"/>
      <c r="F523" s="42"/>
      <c r="G523" s="42"/>
      <c r="H523" s="42"/>
      <c r="I523" s="42"/>
      <c r="J523" s="42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</row>
    <row r="524">
      <c r="A524" s="29"/>
      <c r="B524" s="42"/>
      <c r="C524" s="42"/>
      <c r="D524" s="42"/>
      <c r="E524" s="42"/>
      <c r="F524" s="42"/>
      <c r="G524" s="42"/>
      <c r="H524" s="42"/>
      <c r="I524" s="42"/>
      <c r="J524" s="42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</row>
    <row r="525">
      <c r="A525" s="29"/>
      <c r="B525" s="42"/>
      <c r="C525" s="42"/>
      <c r="D525" s="42"/>
      <c r="E525" s="42"/>
      <c r="F525" s="42"/>
      <c r="G525" s="42"/>
      <c r="H525" s="42"/>
      <c r="I525" s="42"/>
      <c r="J525" s="42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</row>
    <row r="526">
      <c r="A526" s="29"/>
      <c r="B526" s="42"/>
      <c r="C526" s="42"/>
      <c r="D526" s="42"/>
      <c r="E526" s="42"/>
      <c r="F526" s="42"/>
      <c r="G526" s="42"/>
      <c r="H526" s="42"/>
      <c r="I526" s="42"/>
      <c r="J526" s="42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</row>
    <row r="527">
      <c r="A527" s="29"/>
      <c r="B527" s="42"/>
      <c r="C527" s="42"/>
      <c r="D527" s="42"/>
      <c r="E527" s="42"/>
      <c r="F527" s="42"/>
      <c r="G527" s="42"/>
      <c r="H527" s="42"/>
      <c r="I527" s="42"/>
      <c r="J527" s="42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</row>
    <row r="528">
      <c r="A528" s="29"/>
      <c r="B528" s="42"/>
      <c r="C528" s="42"/>
      <c r="D528" s="42"/>
      <c r="E528" s="42"/>
      <c r="F528" s="42"/>
      <c r="G528" s="42"/>
      <c r="H528" s="42"/>
      <c r="I528" s="42"/>
      <c r="J528" s="42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</row>
    <row r="529">
      <c r="A529" s="29"/>
      <c r="B529" s="42"/>
      <c r="C529" s="42"/>
      <c r="D529" s="42"/>
      <c r="E529" s="42"/>
      <c r="F529" s="42"/>
      <c r="G529" s="42"/>
      <c r="H529" s="42"/>
      <c r="I529" s="42"/>
      <c r="J529" s="42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</row>
    <row r="530">
      <c r="A530" s="29"/>
      <c r="B530" s="42"/>
      <c r="C530" s="42"/>
      <c r="D530" s="42"/>
      <c r="E530" s="42"/>
      <c r="F530" s="42"/>
      <c r="G530" s="42"/>
      <c r="H530" s="42"/>
      <c r="I530" s="42"/>
      <c r="J530" s="42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</row>
    <row r="531">
      <c r="A531" s="29"/>
      <c r="B531" s="42"/>
      <c r="C531" s="42"/>
      <c r="D531" s="42"/>
      <c r="E531" s="42"/>
      <c r="F531" s="42"/>
      <c r="G531" s="42"/>
      <c r="H531" s="42"/>
      <c r="I531" s="42"/>
      <c r="J531" s="42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</row>
    <row r="532">
      <c r="A532" s="29"/>
      <c r="B532" s="42"/>
      <c r="C532" s="42"/>
      <c r="D532" s="42"/>
      <c r="E532" s="42"/>
      <c r="F532" s="42"/>
      <c r="G532" s="42"/>
      <c r="H532" s="42"/>
      <c r="I532" s="42"/>
      <c r="J532" s="42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</row>
    <row r="533">
      <c r="A533" s="29"/>
      <c r="B533" s="42"/>
      <c r="C533" s="42"/>
      <c r="D533" s="42"/>
      <c r="E533" s="42"/>
      <c r="F533" s="42"/>
      <c r="G533" s="42"/>
      <c r="H533" s="42"/>
      <c r="I533" s="42"/>
      <c r="J533" s="42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</row>
    <row r="534">
      <c r="A534" s="29"/>
      <c r="B534" s="42"/>
      <c r="C534" s="42"/>
      <c r="D534" s="42"/>
      <c r="E534" s="42"/>
      <c r="F534" s="42"/>
      <c r="G534" s="42"/>
      <c r="H534" s="42"/>
      <c r="I534" s="42"/>
      <c r="J534" s="42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</row>
    <row r="535">
      <c r="A535" s="29"/>
      <c r="B535" s="42"/>
      <c r="C535" s="42"/>
      <c r="D535" s="42"/>
      <c r="E535" s="42"/>
      <c r="F535" s="42"/>
      <c r="G535" s="42"/>
      <c r="H535" s="42"/>
      <c r="I535" s="42"/>
      <c r="J535" s="42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</row>
    <row r="536">
      <c r="A536" s="29"/>
      <c r="B536" s="42"/>
      <c r="C536" s="42"/>
      <c r="D536" s="42"/>
      <c r="E536" s="42"/>
      <c r="F536" s="42"/>
      <c r="G536" s="42"/>
      <c r="H536" s="42"/>
      <c r="I536" s="42"/>
      <c r="J536" s="42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</row>
    <row r="537">
      <c r="A537" s="29"/>
      <c r="B537" s="42"/>
      <c r="C537" s="42"/>
      <c r="D537" s="42"/>
      <c r="E537" s="42"/>
      <c r="F537" s="42"/>
      <c r="G537" s="42"/>
      <c r="H537" s="42"/>
      <c r="I537" s="42"/>
      <c r="J537" s="42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</row>
    <row r="538">
      <c r="A538" s="29"/>
      <c r="B538" s="42"/>
      <c r="C538" s="42"/>
      <c r="D538" s="42"/>
      <c r="E538" s="42"/>
      <c r="F538" s="42"/>
      <c r="G538" s="42"/>
      <c r="H538" s="42"/>
      <c r="I538" s="42"/>
      <c r="J538" s="42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</row>
    <row r="539">
      <c r="A539" s="29"/>
      <c r="B539" s="42"/>
      <c r="C539" s="42"/>
      <c r="D539" s="42"/>
      <c r="E539" s="42"/>
      <c r="F539" s="42"/>
      <c r="G539" s="42"/>
      <c r="H539" s="42"/>
      <c r="I539" s="42"/>
      <c r="J539" s="42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</row>
    <row r="540">
      <c r="A540" s="29"/>
      <c r="B540" s="42"/>
      <c r="C540" s="42"/>
      <c r="D540" s="42"/>
      <c r="E540" s="42"/>
      <c r="F540" s="42"/>
      <c r="G540" s="42"/>
      <c r="H540" s="42"/>
      <c r="I540" s="42"/>
      <c r="J540" s="42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</row>
    <row r="541">
      <c r="A541" s="29"/>
      <c r="B541" s="42"/>
      <c r="C541" s="42"/>
      <c r="D541" s="42"/>
      <c r="E541" s="42"/>
      <c r="F541" s="42"/>
      <c r="G541" s="42"/>
      <c r="H541" s="42"/>
      <c r="I541" s="42"/>
      <c r="J541" s="42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</row>
    <row r="542">
      <c r="A542" s="29"/>
      <c r="B542" s="42"/>
      <c r="C542" s="42"/>
      <c r="D542" s="42"/>
      <c r="E542" s="42"/>
      <c r="F542" s="42"/>
      <c r="G542" s="42"/>
      <c r="H542" s="42"/>
      <c r="I542" s="42"/>
      <c r="J542" s="42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</row>
    <row r="543">
      <c r="A543" s="29"/>
      <c r="B543" s="42"/>
      <c r="C543" s="42"/>
      <c r="D543" s="42"/>
      <c r="E543" s="42"/>
      <c r="F543" s="42"/>
      <c r="G543" s="42"/>
      <c r="H543" s="42"/>
      <c r="I543" s="42"/>
      <c r="J543" s="42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</row>
    <row r="544">
      <c r="A544" s="29"/>
      <c r="B544" s="42"/>
      <c r="C544" s="42"/>
      <c r="D544" s="42"/>
      <c r="E544" s="42"/>
      <c r="F544" s="42"/>
      <c r="G544" s="42"/>
      <c r="H544" s="42"/>
      <c r="I544" s="42"/>
      <c r="J544" s="42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</row>
    <row r="545">
      <c r="A545" s="29"/>
      <c r="B545" s="42"/>
      <c r="C545" s="42"/>
      <c r="D545" s="42"/>
      <c r="E545" s="42"/>
      <c r="F545" s="42"/>
      <c r="G545" s="42"/>
      <c r="H545" s="42"/>
      <c r="I545" s="42"/>
      <c r="J545" s="42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</row>
    <row r="546">
      <c r="A546" s="29"/>
      <c r="B546" s="42"/>
      <c r="C546" s="42"/>
      <c r="D546" s="42"/>
      <c r="E546" s="42"/>
      <c r="F546" s="42"/>
      <c r="G546" s="42"/>
      <c r="H546" s="42"/>
      <c r="I546" s="42"/>
      <c r="J546" s="42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</row>
    <row r="547">
      <c r="A547" s="29"/>
      <c r="B547" s="42"/>
      <c r="C547" s="42"/>
      <c r="D547" s="42"/>
      <c r="E547" s="42"/>
      <c r="F547" s="42"/>
      <c r="G547" s="42"/>
      <c r="H547" s="42"/>
      <c r="I547" s="42"/>
      <c r="J547" s="42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</row>
    <row r="548">
      <c r="A548" s="29"/>
      <c r="B548" s="42"/>
      <c r="C548" s="42"/>
      <c r="D548" s="42"/>
      <c r="E548" s="42"/>
      <c r="F548" s="42"/>
      <c r="G548" s="42"/>
      <c r="H548" s="42"/>
      <c r="I548" s="42"/>
      <c r="J548" s="42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</row>
    <row r="549">
      <c r="A549" s="29"/>
      <c r="B549" s="42"/>
      <c r="C549" s="42"/>
      <c r="D549" s="42"/>
      <c r="E549" s="42"/>
      <c r="F549" s="42"/>
      <c r="G549" s="42"/>
      <c r="H549" s="42"/>
      <c r="I549" s="42"/>
      <c r="J549" s="42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</row>
    <row r="550">
      <c r="A550" s="29"/>
      <c r="B550" s="42"/>
      <c r="C550" s="42"/>
      <c r="D550" s="42"/>
      <c r="E550" s="42"/>
      <c r="F550" s="42"/>
      <c r="G550" s="42"/>
      <c r="H550" s="42"/>
      <c r="I550" s="42"/>
      <c r="J550" s="42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</row>
    <row r="551">
      <c r="A551" s="29"/>
      <c r="B551" s="42"/>
      <c r="C551" s="42"/>
      <c r="D551" s="42"/>
      <c r="E551" s="42"/>
      <c r="F551" s="42"/>
      <c r="G551" s="42"/>
      <c r="H551" s="42"/>
      <c r="I551" s="42"/>
      <c r="J551" s="42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</row>
    <row r="552">
      <c r="A552" s="29"/>
      <c r="B552" s="42"/>
      <c r="C552" s="42"/>
      <c r="D552" s="42"/>
      <c r="E552" s="42"/>
      <c r="F552" s="42"/>
      <c r="G552" s="42"/>
      <c r="H552" s="42"/>
      <c r="I552" s="42"/>
      <c r="J552" s="42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</row>
    <row r="553">
      <c r="A553" s="29"/>
      <c r="B553" s="42"/>
      <c r="C553" s="42"/>
      <c r="D553" s="42"/>
      <c r="E553" s="42"/>
      <c r="F553" s="42"/>
      <c r="G553" s="42"/>
      <c r="H553" s="42"/>
      <c r="I553" s="42"/>
      <c r="J553" s="42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</row>
    <row r="554">
      <c r="A554" s="29"/>
      <c r="B554" s="42"/>
      <c r="C554" s="42"/>
      <c r="D554" s="42"/>
      <c r="E554" s="42"/>
      <c r="F554" s="42"/>
      <c r="G554" s="42"/>
      <c r="H554" s="42"/>
      <c r="I554" s="42"/>
      <c r="J554" s="42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</row>
    <row r="555">
      <c r="A555" s="29"/>
      <c r="B555" s="42"/>
      <c r="C555" s="42"/>
      <c r="D555" s="42"/>
      <c r="E555" s="42"/>
      <c r="F555" s="42"/>
      <c r="G555" s="42"/>
      <c r="H555" s="42"/>
      <c r="I555" s="42"/>
      <c r="J555" s="42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</row>
    <row r="556">
      <c r="A556" s="29"/>
      <c r="B556" s="42"/>
      <c r="C556" s="42"/>
      <c r="D556" s="42"/>
      <c r="E556" s="42"/>
      <c r="F556" s="42"/>
      <c r="G556" s="42"/>
      <c r="H556" s="42"/>
      <c r="I556" s="42"/>
      <c r="J556" s="42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</row>
    <row r="557">
      <c r="A557" s="29"/>
      <c r="B557" s="42"/>
      <c r="C557" s="42"/>
      <c r="D557" s="42"/>
      <c r="E557" s="42"/>
      <c r="F557" s="42"/>
      <c r="G557" s="42"/>
      <c r="H557" s="42"/>
      <c r="I557" s="42"/>
      <c r="J557" s="42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</row>
    <row r="558">
      <c r="A558" s="29"/>
      <c r="B558" s="42"/>
      <c r="C558" s="42"/>
      <c r="D558" s="42"/>
      <c r="E558" s="42"/>
      <c r="F558" s="42"/>
      <c r="G558" s="42"/>
      <c r="H558" s="42"/>
      <c r="I558" s="42"/>
      <c r="J558" s="42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</row>
    <row r="559">
      <c r="A559" s="29"/>
      <c r="B559" s="42"/>
      <c r="C559" s="42"/>
      <c r="D559" s="42"/>
      <c r="E559" s="42"/>
      <c r="F559" s="42"/>
      <c r="G559" s="42"/>
      <c r="H559" s="42"/>
      <c r="I559" s="42"/>
      <c r="J559" s="42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</row>
    <row r="560">
      <c r="A560" s="29"/>
      <c r="B560" s="42"/>
      <c r="C560" s="42"/>
      <c r="D560" s="42"/>
      <c r="E560" s="42"/>
      <c r="F560" s="42"/>
      <c r="G560" s="42"/>
      <c r="H560" s="42"/>
      <c r="I560" s="42"/>
      <c r="J560" s="42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</row>
    <row r="561">
      <c r="A561" s="29"/>
      <c r="B561" s="42"/>
      <c r="C561" s="42"/>
      <c r="D561" s="42"/>
      <c r="E561" s="42"/>
      <c r="F561" s="42"/>
      <c r="G561" s="42"/>
      <c r="H561" s="42"/>
      <c r="I561" s="42"/>
      <c r="J561" s="42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</row>
    <row r="562">
      <c r="A562" s="29"/>
      <c r="B562" s="42"/>
      <c r="C562" s="42"/>
      <c r="D562" s="42"/>
      <c r="E562" s="42"/>
      <c r="F562" s="42"/>
      <c r="G562" s="42"/>
      <c r="H562" s="42"/>
      <c r="I562" s="42"/>
      <c r="J562" s="42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</row>
    <row r="563">
      <c r="A563" s="29"/>
      <c r="B563" s="42"/>
      <c r="C563" s="42"/>
      <c r="D563" s="42"/>
      <c r="E563" s="42"/>
      <c r="F563" s="42"/>
      <c r="G563" s="42"/>
      <c r="H563" s="42"/>
      <c r="I563" s="42"/>
      <c r="J563" s="42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</row>
    <row r="564">
      <c r="A564" s="29"/>
      <c r="B564" s="42"/>
      <c r="C564" s="42"/>
      <c r="D564" s="42"/>
      <c r="E564" s="42"/>
      <c r="F564" s="42"/>
      <c r="G564" s="42"/>
      <c r="H564" s="42"/>
      <c r="I564" s="42"/>
      <c r="J564" s="42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</row>
    <row r="565">
      <c r="A565" s="29"/>
      <c r="B565" s="42"/>
      <c r="C565" s="42"/>
      <c r="D565" s="42"/>
      <c r="E565" s="42"/>
      <c r="F565" s="42"/>
      <c r="G565" s="42"/>
      <c r="H565" s="42"/>
      <c r="I565" s="42"/>
      <c r="J565" s="42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</row>
    <row r="566">
      <c r="A566" s="29"/>
      <c r="B566" s="42"/>
      <c r="C566" s="42"/>
      <c r="D566" s="42"/>
      <c r="E566" s="42"/>
      <c r="F566" s="42"/>
      <c r="G566" s="42"/>
      <c r="H566" s="42"/>
      <c r="I566" s="42"/>
      <c r="J566" s="42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</row>
    <row r="567">
      <c r="A567" s="29"/>
      <c r="B567" s="42"/>
      <c r="C567" s="42"/>
      <c r="D567" s="42"/>
      <c r="E567" s="42"/>
      <c r="F567" s="42"/>
      <c r="G567" s="42"/>
      <c r="H567" s="42"/>
      <c r="I567" s="42"/>
      <c r="J567" s="42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</row>
    <row r="568">
      <c r="A568" s="29"/>
      <c r="B568" s="42"/>
      <c r="C568" s="42"/>
      <c r="D568" s="42"/>
      <c r="E568" s="42"/>
      <c r="F568" s="42"/>
      <c r="G568" s="42"/>
      <c r="H568" s="42"/>
      <c r="I568" s="42"/>
      <c r="J568" s="42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</row>
    <row r="569">
      <c r="A569" s="29"/>
      <c r="B569" s="42"/>
      <c r="C569" s="42"/>
      <c r="D569" s="42"/>
      <c r="E569" s="42"/>
      <c r="F569" s="42"/>
      <c r="G569" s="42"/>
      <c r="H569" s="42"/>
      <c r="I569" s="42"/>
      <c r="J569" s="42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</row>
    <row r="570">
      <c r="A570" s="29"/>
      <c r="B570" s="42"/>
      <c r="C570" s="42"/>
      <c r="D570" s="42"/>
      <c r="E570" s="42"/>
      <c r="F570" s="42"/>
      <c r="G570" s="42"/>
      <c r="H570" s="42"/>
      <c r="I570" s="42"/>
      <c r="J570" s="42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</row>
    <row r="571">
      <c r="A571" s="29"/>
      <c r="B571" s="42"/>
      <c r="C571" s="42"/>
      <c r="D571" s="42"/>
      <c r="E571" s="42"/>
      <c r="F571" s="42"/>
      <c r="G571" s="42"/>
      <c r="H571" s="42"/>
      <c r="I571" s="42"/>
      <c r="J571" s="42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</row>
    <row r="572">
      <c r="A572" s="29"/>
      <c r="B572" s="42"/>
      <c r="C572" s="42"/>
      <c r="D572" s="42"/>
      <c r="E572" s="42"/>
      <c r="F572" s="42"/>
      <c r="G572" s="42"/>
      <c r="H572" s="42"/>
      <c r="I572" s="42"/>
      <c r="J572" s="42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</row>
    <row r="573">
      <c r="A573" s="29"/>
      <c r="B573" s="42"/>
      <c r="C573" s="42"/>
      <c r="D573" s="42"/>
      <c r="E573" s="42"/>
      <c r="F573" s="42"/>
      <c r="G573" s="42"/>
      <c r="H573" s="42"/>
      <c r="I573" s="42"/>
      <c r="J573" s="42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</row>
    <row r="574">
      <c r="A574" s="29"/>
      <c r="B574" s="42"/>
      <c r="C574" s="42"/>
      <c r="D574" s="42"/>
      <c r="E574" s="42"/>
      <c r="F574" s="42"/>
      <c r="G574" s="42"/>
      <c r="H574" s="42"/>
      <c r="I574" s="42"/>
      <c r="J574" s="42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</row>
    <row r="575">
      <c r="A575" s="29"/>
      <c r="B575" s="42"/>
      <c r="C575" s="42"/>
      <c r="D575" s="42"/>
      <c r="E575" s="42"/>
      <c r="F575" s="42"/>
      <c r="G575" s="42"/>
      <c r="H575" s="42"/>
      <c r="I575" s="42"/>
      <c r="J575" s="42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</row>
    <row r="576">
      <c r="A576" s="29"/>
      <c r="B576" s="42"/>
      <c r="C576" s="42"/>
      <c r="D576" s="42"/>
      <c r="E576" s="42"/>
      <c r="F576" s="42"/>
      <c r="G576" s="42"/>
      <c r="H576" s="42"/>
      <c r="I576" s="42"/>
      <c r="J576" s="42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</row>
    <row r="577">
      <c r="A577" s="29"/>
      <c r="B577" s="42"/>
      <c r="C577" s="42"/>
      <c r="D577" s="42"/>
      <c r="E577" s="42"/>
      <c r="F577" s="42"/>
      <c r="G577" s="42"/>
      <c r="H577" s="42"/>
      <c r="I577" s="42"/>
      <c r="J577" s="42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</row>
    <row r="578">
      <c r="A578" s="29"/>
      <c r="B578" s="42"/>
      <c r="C578" s="42"/>
      <c r="D578" s="42"/>
      <c r="E578" s="42"/>
      <c r="F578" s="42"/>
      <c r="G578" s="42"/>
      <c r="H578" s="42"/>
      <c r="I578" s="42"/>
      <c r="J578" s="42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</row>
    <row r="579">
      <c r="A579" s="29"/>
      <c r="B579" s="42"/>
      <c r="C579" s="42"/>
      <c r="D579" s="42"/>
      <c r="E579" s="42"/>
      <c r="F579" s="42"/>
      <c r="G579" s="42"/>
      <c r="H579" s="42"/>
      <c r="I579" s="42"/>
      <c r="J579" s="42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</row>
    <row r="580">
      <c r="A580" s="29"/>
      <c r="B580" s="42"/>
      <c r="C580" s="42"/>
      <c r="D580" s="42"/>
      <c r="E580" s="42"/>
      <c r="F580" s="42"/>
      <c r="G580" s="42"/>
      <c r="H580" s="42"/>
      <c r="I580" s="42"/>
      <c r="J580" s="42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</row>
    <row r="581">
      <c r="A581" s="29"/>
      <c r="B581" s="42"/>
      <c r="C581" s="42"/>
      <c r="D581" s="42"/>
      <c r="E581" s="42"/>
      <c r="F581" s="42"/>
      <c r="G581" s="42"/>
      <c r="H581" s="42"/>
      <c r="I581" s="42"/>
      <c r="J581" s="42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</row>
    <row r="582">
      <c r="A582" s="29"/>
      <c r="B582" s="42"/>
      <c r="C582" s="42"/>
      <c r="D582" s="42"/>
      <c r="E582" s="42"/>
      <c r="F582" s="42"/>
      <c r="G582" s="42"/>
      <c r="H582" s="42"/>
      <c r="I582" s="42"/>
      <c r="J582" s="42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</row>
    <row r="583">
      <c r="A583" s="29"/>
      <c r="B583" s="42"/>
      <c r="C583" s="42"/>
      <c r="D583" s="42"/>
      <c r="E583" s="42"/>
      <c r="F583" s="42"/>
      <c r="G583" s="42"/>
      <c r="H583" s="42"/>
      <c r="I583" s="42"/>
      <c r="J583" s="42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</row>
    <row r="584">
      <c r="A584" s="29"/>
      <c r="B584" s="42"/>
      <c r="C584" s="42"/>
      <c r="D584" s="42"/>
      <c r="E584" s="42"/>
      <c r="F584" s="42"/>
      <c r="G584" s="42"/>
      <c r="H584" s="42"/>
      <c r="I584" s="42"/>
      <c r="J584" s="42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</row>
    <row r="585">
      <c r="A585" s="29"/>
      <c r="B585" s="42"/>
      <c r="C585" s="42"/>
      <c r="D585" s="42"/>
      <c r="E585" s="42"/>
      <c r="F585" s="42"/>
      <c r="G585" s="42"/>
      <c r="H585" s="42"/>
      <c r="I585" s="42"/>
      <c r="J585" s="42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</row>
    <row r="586">
      <c r="A586" s="29"/>
      <c r="B586" s="42"/>
      <c r="C586" s="42"/>
      <c r="D586" s="42"/>
      <c r="E586" s="42"/>
      <c r="F586" s="42"/>
      <c r="G586" s="42"/>
      <c r="H586" s="42"/>
      <c r="I586" s="42"/>
      <c r="J586" s="42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</row>
    <row r="587">
      <c r="A587" s="29"/>
      <c r="B587" s="42"/>
      <c r="C587" s="42"/>
      <c r="D587" s="42"/>
      <c r="E587" s="42"/>
      <c r="F587" s="42"/>
      <c r="G587" s="42"/>
      <c r="H587" s="42"/>
      <c r="I587" s="42"/>
      <c r="J587" s="42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</row>
    <row r="588">
      <c r="A588" s="29"/>
      <c r="B588" s="42"/>
      <c r="C588" s="42"/>
      <c r="D588" s="42"/>
      <c r="E588" s="42"/>
      <c r="F588" s="42"/>
      <c r="G588" s="42"/>
      <c r="H588" s="42"/>
      <c r="I588" s="42"/>
      <c r="J588" s="42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</row>
    <row r="589">
      <c r="A589" s="29"/>
      <c r="B589" s="42"/>
      <c r="C589" s="42"/>
      <c r="D589" s="42"/>
      <c r="E589" s="42"/>
      <c r="F589" s="42"/>
      <c r="G589" s="42"/>
      <c r="H589" s="42"/>
      <c r="I589" s="42"/>
      <c r="J589" s="42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</row>
    <row r="590">
      <c r="A590" s="29"/>
      <c r="B590" s="42"/>
      <c r="C590" s="42"/>
      <c r="D590" s="42"/>
      <c r="E590" s="42"/>
      <c r="F590" s="42"/>
      <c r="G590" s="42"/>
      <c r="H590" s="42"/>
      <c r="I590" s="42"/>
      <c r="J590" s="42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</row>
    <row r="591">
      <c r="A591" s="29"/>
      <c r="B591" s="42"/>
      <c r="C591" s="42"/>
      <c r="D591" s="42"/>
      <c r="E591" s="42"/>
      <c r="F591" s="42"/>
      <c r="G591" s="42"/>
      <c r="H591" s="42"/>
      <c r="I591" s="42"/>
      <c r="J591" s="42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</row>
    <row r="592">
      <c r="A592" s="29"/>
      <c r="B592" s="42"/>
      <c r="C592" s="42"/>
      <c r="D592" s="42"/>
      <c r="E592" s="42"/>
      <c r="F592" s="42"/>
      <c r="G592" s="42"/>
      <c r="H592" s="42"/>
      <c r="I592" s="42"/>
      <c r="J592" s="42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</row>
    <row r="593">
      <c r="A593" s="29"/>
      <c r="B593" s="42"/>
      <c r="C593" s="42"/>
      <c r="D593" s="42"/>
      <c r="E593" s="42"/>
      <c r="F593" s="42"/>
      <c r="G593" s="42"/>
      <c r="H593" s="42"/>
      <c r="I593" s="42"/>
      <c r="J593" s="42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</row>
    <row r="594">
      <c r="A594" s="29"/>
      <c r="B594" s="42"/>
      <c r="C594" s="42"/>
      <c r="D594" s="42"/>
      <c r="E594" s="42"/>
      <c r="F594" s="42"/>
      <c r="G594" s="42"/>
      <c r="H594" s="42"/>
      <c r="I594" s="42"/>
      <c r="J594" s="42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</row>
    <row r="595">
      <c r="A595" s="29"/>
      <c r="B595" s="42"/>
      <c r="C595" s="42"/>
      <c r="D595" s="42"/>
      <c r="E595" s="42"/>
      <c r="F595" s="42"/>
      <c r="G595" s="42"/>
      <c r="H595" s="42"/>
      <c r="I595" s="42"/>
      <c r="J595" s="42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</row>
    <row r="596">
      <c r="A596" s="29"/>
      <c r="B596" s="42"/>
      <c r="C596" s="42"/>
      <c r="D596" s="42"/>
      <c r="E596" s="42"/>
      <c r="F596" s="42"/>
      <c r="G596" s="42"/>
      <c r="H596" s="42"/>
      <c r="I596" s="42"/>
      <c r="J596" s="42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</row>
    <row r="597">
      <c r="A597" s="29"/>
      <c r="B597" s="42"/>
      <c r="C597" s="42"/>
      <c r="D597" s="42"/>
      <c r="E597" s="42"/>
      <c r="F597" s="42"/>
      <c r="G597" s="42"/>
      <c r="H597" s="42"/>
      <c r="I597" s="42"/>
      <c r="J597" s="42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</row>
    <row r="598">
      <c r="A598" s="29"/>
      <c r="B598" s="42"/>
      <c r="C598" s="42"/>
      <c r="D598" s="42"/>
      <c r="E598" s="42"/>
      <c r="F598" s="42"/>
      <c r="G598" s="42"/>
      <c r="H598" s="42"/>
      <c r="I598" s="42"/>
      <c r="J598" s="42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</row>
    <row r="599">
      <c r="A599" s="29"/>
      <c r="B599" s="42"/>
      <c r="C599" s="42"/>
      <c r="D599" s="42"/>
      <c r="E599" s="42"/>
      <c r="F599" s="42"/>
      <c r="G599" s="42"/>
      <c r="H599" s="42"/>
      <c r="I599" s="42"/>
      <c r="J599" s="42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</row>
    <row r="600">
      <c r="A600" s="29"/>
      <c r="B600" s="42"/>
      <c r="C600" s="42"/>
      <c r="D600" s="42"/>
      <c r="E600" s="42"/>
      <c r="F600" s="42"/>
      <c r="G600" s="42"/>
      <c r="H600" s="42"/>
      <c r="I600" s="42"/>
      <c r="J600" s="42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</row>
    <row r="601">
      <c r="A601" s="29"/>
      <c r="B601" s="42"/>
      <c r="C601" s="42"/>
      <c r="D601" s="42"/>
      <c r="E601" s="42"/>
      <c r="F601" s="42"/>
      <c r="G601" s="42"/>
      <c r="H601" s="42"/>
      <c r="I601" s="42"/>
      <c r="J601" s="42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</row>
    <row r="602">
      <c r="A602" s="29"/>
      <c r="B602" s="42"/>
      <c r="C602" s="42"/>
      <c r="D602" s="42"/>
      <c r="E602" s="42"/>
      <c r="F602" s="42"/>
      <c r="G602" s="42"/>
      <c r="H602" s="42"/>
      <c r="I602" s="42"/>
      <c r="J602" s="42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</row>
    <row r="603">
      <c r="A603" s="29"/>
      <c r="B603" s="42"/>
      <c r="C603" s="42"/>
      <c r="D603" s="42"/>
      <c r="E603" s="42"/>
      <c r="F603" s="42"/>
      <c r="G603" s="42"/>
      <c r="H603" s="42"/>
      <c r="I603" s="42"/>
      <c r="J603" s="42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</row>
    <row r="604">
      <c r="A604" s="29"/>
      <c r="B604" s="42"/>
      <c r="C604" s="42"/>
      <c r="D604" s="42"/>
      <c r="E604" s="42"/>
      <c r="F604" s="42"/>
      <c r="G604" s="42"/>
      <c r="H604" s="42"/>
      <c r="I604" s="42"/>
      <c r="J604" s="42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</row>
    <row r="605">
      <c r="A605" s="29"/>
      <c r="B605" s="42"/>
      <c r="C605" s="42"/>
      <c r="D605" s="42"/>
      <c r="E605" s="42"/>
      <c r="F605" s="42"/>
      <c r="G605" s="42"/>
      <c r="H605" s="42"/>
      <c r="I605" s="42"/>
      <c r="J605" s="42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</row>
    <row r="606">
      <c r="A606" s="29"/>
      <c r="B606" s="42"/>
      <c r="C606" s="42"/>
      <c r="D606" s="42"/>
      <c r="E606" s="42"/>
      <c r="F606" s="42"/>
      <c r="G606" s="42"/>
      <c r="H606" s="42"/>
      <c r="I606" s="42"/>
      <c r="J606" s="42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</row>
    <row r="607">
      <c r="A607" s="29"/>
      <c r="B607" s="42"/>
      <c r="C607" s="42"/>
      <c r="D607" s="42"/>
      <c r="E607" s="42"/>
      <c r="F607" s="42"/>
      <c r="G607" s="42"/>
      <c r="H607" s="42"/>
      <c r="I607" s="42"/>
      <c r="J607" s="42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</row>
    <row r="608">
      <c r="A608" s="29"/>
      <c r="B608" s="42"/>
      <c r="C608" s="42"/>
      <c r="D608" s="42"/>
      <c r="E608" s="42"/>
      <c r="F608" s="42"/>
      <c r="G608" s="42"/>
      <c r="H608" s="42"/>
      <c r="I608" s="42"/>
      <c r="J608" s="42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</row>
    <row r="609">
      <c r="A609" s="29"/>
      <c r="B609" s="42"/>
      <c r="C609" s="42"/>
      <c r="D609" s="42"/>
      <c r="E609" s="42"/>
      <c r="F609" s="42"/>
      <c r="G609" s="42"/>
      <c r="H609" s="42"/>
      <c r="I609" s="42"/>
      <c r="J609" s="42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</row>
    <row r="610">
      <c r="A610" s="29"/>
      <c r="B610" s="42"/>
      <c r="C610" s="42"/>
      <c r="D610" s="42"/>
      <c r="E610" s="42"/>
      <c r="F610" s="42"/>
      <c r="G610" s="42"/>
      <c r="H610" s="42"/>
      <c r="I610" s="42"/>
      <c r="J610" s="42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</row>
    <row r="611">
      <c r="A611" s="29"/>
      <c r="B611" s="42"/>
      <c r="C611" s="42"/>
      <c r="D611" s="42"/>
      <c r="E611" s="42"/>
      <c r="F611" s="42"/>
      <c r="G611" s="42"/>
      <c r="H611" s="42"/>
      <c r="I611" s="42"/>
      <c r="J611" s="42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</row>
    <row r="612">
      <c r="A612" s="29"/>
      <c r="B612" s="42"/>
      <c r="C612" s="42"/>
      <c r="D612" s="42"/>
      <c r="E612" s="42"/>
      <c r="F612" s="42"/>
      <c r="G612" s="42"/>
      <c r="H612" s="42"/>
      <c r="I612" s="42"/>
      <c r="J612" s="42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</row>
    <row r="613">
      <c r="A613" s="29"/>
      <c r="B613" s="42"/>
      <c r="C613" s="42"/>
      <c r="D613" s="42"/>
      <c r="E613" s="42"/>
      <c r="F613" s="42"/>
      <c r="G613" s="42"/>
      <c r="H613" s="42"/>
      <c r="I613" s="42"/>
      <c r="J613" s="42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</row>
    <row r="614">
      <c r="A614" s="29"/>
      <c r="B614" s="42"/>
      <c r="C614" s="42"/>
      <c r="D614" s="42"/>
      <c r="E614" s="42"/>
      <c r="F614" s="42"/>
      <c r="G614" s="42"/>
      <c r="H614" s="42"/>
      <c r="I614" s="42"/>
      <c r="J614" s="42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</row>
    <row r="615">
      <c r="A615" s="29"/>
      <c r="B615" s="42"/>
      <c r="C615" s="42"/>
      <c r="D615" s="42"/>
      <c r="E615" s="42"/>
      <c r="F615" s="42"/>
      <c r="G615" s="42"/>
      <c r="H615" s="42"/>
      <c r="I615" s="42"/>
      <c r="J615" s="42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</row>
    <row r="616">
      <c r="A616" s="29"/>
      <c r="B616" s="42"/>
      <c r="C616" s="42"/>
      <c r="D616" s="42"/>
      <c r="E616" s="42"/>
      <c r="F616" s="42"/>
      <c r="G616" s="42"/>
      <c r="H616" s="42"/>
      <c r="I616" s="42"/>
      <c r="J616" s="42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</row>
    <row r="617">
      <c r="A617" s="29"/>
      <c r="B617" s="42"/>
      <c r="C617" s="42"/>
      <c r="D617" s="42"/>
      <c r="E617" s="42"/>
      <c r="F617" s="42"/>
      <c r="G617" s="42"/>
      <c r="H617" s="42"/>
      <c r="I617" s="42"/>
      <c r="J617" s="42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</row>
    <row r="618">
      <c r="A618" s="29"/>
      <c r="B618" s="42"/>
      <c r="C618" s="42"/>
      <c r="D618" s="42"/>
      <c r="E618" s="42"/>
      <c r="F618" s="42"/>
      <c r="G618" s="42"/>
      <c r="H618" s="42"/>
      <c r="I618" s="42"/>
      <c r="J618" s="42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</row>
    <row r="619">
      <c r="A619" s="29"/>
      <c r="B619" s="42"/>
      <c r="C619" s="42"/>
      <c r="D619" s="42"/>
      <c r="E619" s="42"/>
      <c r="F619" s="42"/>
      <c r="G619" s="42"/>
      <c r="H619" s="42"/>
      <c r="I619" s="42"/>
      <c r="J619" s="42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</row>
    <row r="620">
      <c r="A620" s="29"/>
      <c r="B620" s="42"/>
      <c r="C620" s="42"/>
      <c r="D620" s="42"/>
      <c r="E620" s="42"/>
      <c r="F620" s="42"/>
      <c r="G620" s="42"/>
      <c r="H620" s="42"/>
      <c r="I620" s="42"/>
      <c r="J620" s="42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</row>
    <row r="621">
      <c r="A621" s="29"/>
      <c r="B621" s="42"/>
      <c r="C621" s="42"/>
      <c r="D621" s="42"/>
      <c r="E621" s="42"/>
      <c r="F621" s="42"/>
      <c r="G621" s="42"/>
      <c r="H621" s="42"/>
      <c r="I621" s="42"/>
      <c r="J621" s="42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</row>
    <row r="622">
      <c r="A622" s="29"/>
      <c r="B622" s="42"/>
      <c r="C622" s="42"/>
      <c r="D622" s="42"/>
      <c r="E622" s="42"/>
      <c r="F622" s="42"/>
      <c r="G622" s="42"/>
      <c r="H622" s="42"/>
      <c r="I622" s="42"/>
      <c r="J622" s="42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</row>
    <row r="623">
      <c r="A623" s="29"/>
      <c r="B623" s="42"/>
      <c r="C623" s="42"/>
      <c r="D623" s="42"/>
      <c r="E623" s="42"/>
      <c r="F623" s="42"/>
      <c r="G623" s="42"/>
      <c r="H623" s="42"/>
      <c r="I623" s="42"/>
      <c r="J623" s="42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</row>
    <row r="624">
      <c r="A624" s="29"/>
      <c r="B624" s="42"/>
      <c r="C624" s="42"/>
      <c r="D624" s="42"/>
      <c r="E624" s="42"/>
      <c r="F624" s="42"/>
      <c r="G624" s="42"/>
      <c r="H624" s="42"/>
      <c r="I624" s="42"/>
      <c r="J624" s="42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</row>
    <row r="625">
      <c r="A625" s="29"/>
      <c r="B625" s="42"/>
      <c r="C625" s="42"/>
      <c r="D625" s="42"/>
      <c r="E625" s="42"/>
      <c r="F625" s="42"/>
      <c r="G625" s="42"/>
      <c r="H625" s="42"/>
      <c r="I625" s="42"/>
      <c r="J625" s="42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</row>
    <row r="626">
      <c r="A626" s="29"/>
      <c r="B626" s="42"/>
      <c r="C626" s="42"/>
      <c r="D626" s="42"/>
      <c r="E626" s="42"/>
      <c r="F626" s="42"/>
      <c r="G626" s="42"/>
      <c r="H626" s="42"/>
      <c r="I626" s="42"/>
      <c r="J626" s="42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</row>
    <row r="627">
      <c r="A627" s="29"/>
      <c r="B627" s="42"/>
      <c r="C627" s="42"/>
      <c r="D627" s="42"/>
      <c r="E627" s="42"/>
      <c r="F627" s="42"/>
      <c r="G627" s="42"/>
      <c r="H627" s="42"/>
      <c r="I627" s="42"/>
      <c r="J627" s="42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</row>
    <row r="628">
      <c r="A628" s="29"/>
      <c r="B628" s="42"/>
      <c r="C628" s="42"/>
      <c r="D628" s="42"/>
      <c r="E628" s="42"/>
      <c r="F628" s="42"/>
      <c r="G628" s="42"/>
      <c r="H628" s="42"/>
      <c r="I628" s="42"/>
      <c r="J628" s="42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</row>
    <row r="629">
      <c r="A629" s="29"/>
      <c r="B629" s="42"/>
      <c r="C629" s="42"/>
      <c r="D629" s="42"/>
      <c r="E629" s="42"/>
      <c r="F629" s="42"/>
      <c r="G629" s="42"/>
      <c r="H629" s="42"/>
      <c r="I629" s="42"/>
      <c r="J629" s="42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</row>
    <row r="630">
      <c r="A630" s="29"/>
      <c r="B630" s="42"/>
      <c r="C630" s="42"/>
      <c r="D630" s="42"/>
      <c r="E630" s="42"/>
      <c r="F630" s="42"/>
      <c r="G630" s="42"/>
      <c r="H630" s="42"/>
      <c r="I630" s="42"/>
      <c r="J630" s="42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</row>
    <row r="631">
      <c r="A631" s="29"/>
      <c r="B631" s="42"/>
      <c r="C631" s="42"/>
      <c r="D631" s="42"/>
      <c r="E631" s="42"/>
      <c r="F631" s="42"/>
      <c r="G631" s="42"/>
      <c r="H631" s="42"/>
      <c r="I631" s="42"/>
      <c r="J631" s="42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</row>
    <row r="632">
      <c r="A632" s="29"/>
      <c r="B632" s="42"/>
      <c r="C632" s="42"/>
      <c r="D632" s="42"/>
      <c r="E632" s="42"/>
      <c r="F632" s="42"/>
      <c r="G632" s="42"/>
      <c r="H632" s="42"/>
      <c r="I632" s="42"/>
      <c r="J632" s="42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</row>
    <row r="633">
      <c r="A633" s="29"/>
      <c r="B633" s="42"/>
      <c r="C633" s="42"/>
      <c r="D633" s="42"/>
      <c r="E633" s="42"/>
      <c r="F633" s="42"/>
      <c r="G633" s="42"/>
      <c r="H633" s="42"/>
      <c r="I633" s="42"/>
      <c r="J633" s="42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</row>
    <row r="634">
      <c r="A634" s="29"/>
      <c r="B634" s="42"/>
      <c r="C634" s="42"/>
      <c r="D634" s="42"/>
      <c r="E634" s="42"/>
      <c r="F634" s="42"/>
      <c r="G634" s="42"/>
      <c r="H634" s="42"/>
      <c r="I634" s="42"/>
      <c r="J634" s="42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</row>
    <row r="635">
      <c r="A635" s="29"/>
      <c r="B635" s="42"/>
      <c r="C635" s="42"/>
      <c r="D635" s="42"/>
      <c r="E635" s="42"/>
      <c r="F635" s="42"/>
      <c r="G635" s="42"/>
      <c r="H635" s="42"/>
      <c r="I635" s="42"/>
      <c r="J635" s="42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</row>
    <row r="636">
      <c r="A636" s="29"/>
      <c r="B636" s="42"/>
      <c r="C636" s="42"/>
      <c r="D636" s="42"/>
      <c r="E636" s="42"/>
      <c r="F636" s="42"/>
      <c r="G636" s="42"/>
      <c r="H636" s="42"/>
      <c r="I636" s="42"/>
      <c r="J636" s="42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</row>
    <row r="637">
      <c r="A637" s="29"/>
      <c r="B637" s="42"/>
      <c r="C637" s="42"/>
      <c r="D637" s="42"/>
      <c r="E637" s="42"/>
      <c r="F637" s="42"/>
      <c r="G637" s="42"/>
      <c r="H637" s="42"/>
      <c r="I637" s="42"/>
      <c r="J637" s="42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</row>
    <row r="638">
      <c r="A638" s="29"/>
      <c r="B638" s="42"/>
      <c r="C638" s="42"/>
      <c r="D638" s="42"/>
      <c r="E638" s="42"/>
      <c r="F638" s="42"/>
      <c r="G638" s="42"/>
      <c r="H638" s="42"/>
      <c r="I638" s="42"/>
      <c r="J638" s="42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</row>
    <row r="639">
      <c r="A639" s="29"/>
      <c r="B639" s="42"/>
      <c r="C639" s="42"/>
      <c r="D639" s="42"/>
      <c r="E639" s="42"/>
      <c r="F639" s="42"/>
      <c r="G639" s="42"/>
      <c r="H639" s="42"/>
      <c r="I639" s="42"/>
      <c r="J639" s="42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</row>
    <row r="640">
      <c r="A640" s="29"/>
      <c r="B640" s="42"/>
      <c r="C640" s="42"/>
      <c r="D640" s="42"/>
      <c r="E640" s="42"/>
      <c r="F640" s="42"/>
      <c r="G640" s="42"/>
      <c r="H640" s="42"/>
      <c r="I640" s="42"/>
      <c r="J640" s="42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</row>
    <row r="641">
      <c r="A641" s="29"/>
      <c r="B641" s="42"/>
      <c r="C641" s="42"/>
      <c r="D641" s="42"/>
      <c r="E641" s="42"/>
      <c r="F641" s="42"/>
      <c r="G641" s="42"/>
      <c r="H641" s="42"/>
      <c r="I641" s="42"/>
      <c r="J641" s="42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</row>
    <row r="642">
      <c r="A642" s="29"/>
      <c r="B642" s="42"/>
      <c r="C642" s="42"/>
      <c r="D642" s="42"/>
      <c r="E642" s="42"/>
      <c r="F642" s="42"/>
      <c r="G642" s="42"/>
      <c r="H642" s="42"/>
      <c r="I642" s="42"/>
      <c r="J642" s="42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</row>
    <row r="643">
      <c r="A643" s="29"/>
      <c r="B643" s="42"/>
      <c r="C643" s="42"/>
      <c r="D643" s="42"/>
      <c r="E643" s="42"/>
      <c r="F643" s="42"/>
      <c r="G643" s="42"/>
      <c r="H643" s="42"/>
      <c r="I643" s="42"/>
      <c r="J643" s="42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</row>
    <row r="644">
      <c r="A644" s="29"/>
      <c r="B644" s="42"/>
      <c r="C644" s="42"/>
      <c r="D644" s="42"/>
      <c r="E644" s="42"/>
      <c r="F644" s="42"/>
      <c r="G644" s="42"/>
      <c r="H644" s="42"/>
      <c r="I644" s="42"/>
      <c r="J644" s="42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</row>
    <row r="645">
      <c r="A645" s="29"/>
      <c r="B645" s="42"/>
      <c r="C645" s="42"/>
      <c r="D645" s="42"/>
      <c r="E645" s="42"/>
      <c r="F645" s="42"/>
      <c r="G645" s="42"/>
      <c r="H645" s="42"/>
      <c r="I645" s="42"/>
      <c r="J645" s="42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</row>
    <row r="646">
      <c r="A646" s="29"/>
      <c r="B646" s="42"/>
      <c r="C646" s="42"/>
      <c r="D646" s="42"/>
      <c r="E646" s="42"/>
      <c r="F646" s="42"/>
      <c r="G646" s="42"/>
      <c r="H646" s="42"/>
      <c r="I646" s="42"/>
      <c r="J646" s="42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</row>
    <row r="647">
      <c r="A647" s="29"/>
      <c r="B647" s="42"/>
      <c r="C647" s="42"/>
      <c r="D647" s="42"/>
      <c r="E647" s="42"/>
      <c r="F647" s="42"/>
      <c r="G647" s="42"/>
      <c r="H647" s="42"/>
      <c r="I647" s="42"/>
      <c r="J647" s="42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</row>
    <row r="648">
      <c r="A648" s="29"/>
      <c r="B648" s="42"/>
      <c r="C648" s="42"/>
      <c r="D648" s="42"/>
      <c r="E648" s="42"/>
      <c r="F648" s="42"/>
      <c r="G648" s="42"/>
      <c r="H648" s="42"/>
      <c r="I648" s="42"/>
      <c r="J648" s="42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</row>
    <row r="649">
      <c r="A649" s="29"/>
      <c r="B649" s="42"/>
      <c r="C649" s="42"/>
      <c r="D649" s="42"/>
      <c r="E649" s="42"/>
      <c r="F649" s="42"/>
      <c r="G649" s="42"/>
      <c r="H649" s="42"/>
      <c r="I649" s="42"/>
      <c r="J649" s="42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</row>
    <row r="650">
      <c r="A650" s="29"/>
      <c r="B650" s="42"/>
      <c r="C650" s="42"/>
      <c r="D650" s="42"/>
      <c r="E650" s="42"/>
      <c r="F650" s="42"/>
      <c r="G650" s="42"/>
      <c r="H650" s="42"/>
      <c r="I650" s="42"/>
      <c r="J650" s="42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</row>
    <row r="651">
      <c r="A651" s="29"/>
      <c r="B651" s="42"/>
      <c r="C651" s="42"/>
      <c r="D651" s="42"/>
      <c r="E651" s="42"/>
      <c r="F651" s="42"/>
      <c r="G651" s="42"/>
      <c r="H651" s="42"/>
      <c r="I651" s="42"/>
      <c r="J651" s="42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</row>
    <row r="652">
      <c r="A652" s="29"/>
      <c r="B652" s="42"/>
      <c r="C652" s="42"/>
      <c r="D652" s="42"/>
      <c r="E652" s="42"/>
      <c r="F652" s="42"/>
      <c r="G652" s="42"/>
      <c r="H652" s="42"/>
      <c r="I652" s="42"/>
      <c r="J652" s="42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</row>
    <row r="653">
      <c r="A653" s="29"/>
      <c r="B653" s="42"/>
      <c r="C653" s="42"/>
      <c r="D653" s="42"/>
      <c r="E653" s="42"/>
      <c r="F653" s="42"/>
      <c r="G653" s="42"/>
      <c r="H653" s="42"/>
      <c r="I653" s="42"/>
      <c r="J653" s="42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</row>
    <row r="654">
      <c r="A654" s="29"/>
      <c r="B654" s="42"/>
      <c r="C654" s="42"/>
      <c r="D654" s="42"/>
      <c r="E654" s="42"/>
      <c r="F654" s="42"/>
      <c r="G654" s="42"/>
      <c r="H654" s="42"/>
      <c r="I654" s="42"/>
      <c r="J654" s="42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</row>
    <row r="655">
      <c r="A655" s="29"/>
      <c r="B655" s="42"/>
      <c r="C655" s="42"/>
      <c r="D655" s="42"/>
      <c r="E655" s="42"/>
      <c r="F655" s="42"/>
      <c r="G655" s="42"/>
      <c r="H655" s="42"/>
      <c r="I655" s="42"/>
      <c r="J655" s="42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</row>
    <row r="656">
      <c r="A656" s="29"/>
      <c r="B656" s="42"/>
      <c r="C656" s="42"/>
      <c r="D656" s="42"/>
      <c r="E656" s="42"/>
      <c r="F656" s="42"/>
      <c r="G656" s="42"/>
      <c r="H656" s="42"/>
      <c r="I656" s="42"/>
      <c r="J656" s="42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</row>
    <row r="657">
      <c r="A657" s="29"/>
      <c r="B657" s="42"/>
      <c r="C657" s="42"/>
      <c r="D657" s="42"/>
      <c r="E657" s="42"/>
      <c r="F657" s="42"/>
      <c r="G657" s="42"/>
      <c r="H657" s="42"/>
      <c r="I657" s="42"/>
      <c r="J657" s="42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</row>
    <row r="658">
      <c r="A658" s="29"/>
      <c r="B658" s="42"/>
      <c r="C658" s="42"/>
      <c r="D658" s="42"/>
      <c r="E658" s="42"/>
      <c r="F658" s="42"/>
      <c r="G658" s="42"/>
      <c r="H658" s="42"/>
      <c r="I658" s="42"/>
      <c r="J658" s="42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</row>
    <row r="659">
      <c r="A659" s="29"/>
      <c r="B659" s="42"/>
      <c r="C659" s="42"/>
      <c r="D659" s="42"/>
      <c r="E659" s="42"/>
      <c r="F659" s="42"/>
      <c r="G659" s="42"/>
      <c r="H659" s="42"/>
      <c r="I659" s="42"/>
      <c r="J659" s="42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</row>
    <row r="660">
      <c r="A660" s="29"/>
      <c r="B660" s="42"/>
      <c r="C660" s="42"/>
      <c r="D660" s="42"/>
      <c r="E660" s="42"/>
      <c r="F660" s="42"/>
      <c r="G660" s="42"/>
      <c r="H660" s="42"/>
      <c r="I660" s="42"/>
      <c r="J660" s="42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</row>
    <row r="661">
      <c r="A661" s="29"/>
      <c r="B661" s="42"/>
      <c r="C661" s="42"/>
      <c r="D661" s="42"/>
      <c r="E661" s="42"/>
      <c r="F661" s="42"/>
      <c r="G661" s="42"/>
      <c r="H661" s="42"/>
      <c r="I661" s="42"/>
      <c r="J661" s="42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</row>
    <row r="662">
      <c r="A662" s="29"/>
      <c r="B662" s="42"/>
      <c r="C662" s="42"/>
      <c r="D662" s="42"/>
      <c r="E662" s="42"/>
      <c r="F662" s="42"/>
      <c r="G662" s="42"/>
      <c r="H662" s="42"/>
      <c r="I662" s="42"/>
      <c r="J662" s="42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</row>
    <row r="663">
      <c r="A663" s="29"/>
      <c r="B663" s="42"/>
      <c r="C663" s="42"/>
      <c r="D663" s="42"/>
      <c r="E663" s="42"/>
      <c r="F663" s="42"/>
      <c r="G663" s="42"/>
      <c r="H663" s="42"/>
      <c r="I663" s="42"/>
      <c r="J663" s="42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</row>
    <row r="664">
      <c r="A664" s="29"/>
      <c r="B664" s="42"/>
      <c r="C664" s="42"/>
      <c r="D664" s="42"/>
      <c r="E664" s="42"/>
      <c r="F664" s="42"/>
      <c r="G664" s="42"/>
      <c r="H664" s="42"/>
      <c r="I664" s="42"/>
      <c r="J664" s="42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</row>
    <row r="665">
      <c r="A665" s="29"/>
      <c r="B665" s="42"/>
      <c r="C665" s="42"/>
      <c r="D665" s="42"/>
      <c r="E665" s="42"/>
      <c r="F665" s="42"/>
      <c r="G665" s="42"/>
      <c r="H665" s="42"/>
      <c r="I665" s="42"/>
      <c r="J665" s="42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</row>
    <row r="666">
      <c r="A666" s="29"/>
      <c r="B666" s="42"/>
      <c r="C666" s="42"/>
      <c r="D666" s="42"/>
      <c r="E666" s="42"/>
      <c r="F666" s="42"/>
      <c r="G666" s="42"/>
      <c r="H666" s="42"/>
      <c r="I666" s="42"/>
      <c r="J666" s="42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</row>
    <row r="667">
      <c r="A667" s="29"/>
      <c r="B667" s="42"/>
      <c r="C667" s="42"/>
      <c r="D667" s="42"/>
      <c r="E667" s="42"/>
      <c r="F667" s="42"/>
      <c r="G667" s="42"/>
      <c r="H667" s="42"/>
      <c r="I667" s="42"/>
      <c r="J667" s="42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</row>
    <row r="668">
      <c r="A668" s="29"/>
      <c r="B668" s="42"/>
      <c r="C668" s="42"/>
      <c r="D668" s="42"/>
      <c r="E668" s="42"/>
      <c r="F668" s="42"/>
      <c r="G668" s="42"/>
      <c r="H668" s="42"/>
      <c r="I668" s="42"/>
      <c r="J668" s="42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</row>
    <row r="669">
      <c r="A669" s="29"/>
      <c r="B669" s="42"/>
      <c r="C669" s="42"/>
      <c r="D669" s="42"/>
      <c r="E669" s="42"/>
      <c r="F669" s="42"/>
      <c r="G669" s="42"/>
      <c r="H669" s="42"/>
      <c r="I669" s="42"/>
      <c r="J669" s="42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</row>
    <row r="670">
      <c r="A670" s="29"/>
      <c r="B670" s="42"/>
      <c r="C670" s="42"/>
      <c r="D670" s="42"/>
      <c r="E670" s="42"/>
      <c r="F670" s="42"/>
      <c r="G670" s="42"/>
      <c r="H670" s="42"/>
      <c r="I670" s="42"/>
      <c r="J670" s="42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</row>
    <row r="671">
      <c r="A671" s="29"/>
      <c r="B671" s="42"/>
      <c r="C671" s="42"/>
      <c r="D671" s="42"/>
      <c r="E671" s="42"/>
      <c r="F671" s="42"/>
      <c r="G671" s="42"/>
      <c r="H671" s="42"/>
      <c r="I671" s="42"/>
      <c r="J671" s="42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</row>
    <row r="672">
      <c r="A672" s="29"/>
      <c r="B672" s="42"/>
      <c r="C672" s="42"/>
      <c r="D672" s="42"/>
      <c r="E672" s="42"/>
      <c r="F672" s="42"/>
      <c r="G672" s="42"/>
      <c r="H672" s="42"/>
      <c r="I672" s="42"/>
      <c r="J672" s="42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</row>
    <row r="673">
      <c r="A673" s="29"/>
      <c r="B673" s="42"/>
      <c r="C673" s="42"/>
      <c r="D673" s="42"/>
      <c r="E673" s="42"/>
      <c r="F673" s="42"/>
      <c r="G673" s="42"/>
      <c r="H673" s="42"/>
      <c r="I673" s="42"/>
      <c r="J673" s="42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</row>
    <row r="674">
      <c r="A674" s="29"/>
      <c r="B674" s="42"/>
      <c r="C674" s="42"/>
      <c r="D674" s="42"/>
      <c r="E674" s="42"/>
      <c r="F674" s="42"/>
      <c r="G674" s="42"/>
      <c r="H674" s="42"/>
      <c r="I674" s="42"/>
      <c r="J674" s="42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</row>
    <row r="675">
      <c r="A675" s="29"/>
      <c r="B675" s="42"/>
      <c r="C675" s="42"/>
      <c r="D675" s="42"/>
      <c r="E675" s="42"/>
      <c r="F675" s="42"/>
      <c r="G675" s="42"/>
      <c r="H675" s="42"/>
      <c r="I675" s="42"/>
      <c r="J675" s="42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</row>
    <row r="676">
      <c r="A676" s="29"/>
      <c r="B676" s="42"/>
      <c r="C676" s="42"/>
      <c r="D676" s="42"/>
      <c r="E676" s="42"/>
      <c r="F676" s="42"/>
      <c r="G676" s="42"/>
      <c r="H676" s="42"/>
      <c r="I676" s="42"/>
      <c r="J676" s="42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</row>
    <row r="677">
      <c r="A677" s="29"/>
      <c r="B677" s="42"/>
      <c r="C677" s="42"/>
      <c r="D677" s="42"/>
      <c r="E677" s="42"/>
      <c r="F677" s="42"/>
      <c r="G677" s="42"/>
      <c r="H677" s="42"/>
      <c r="I677" s="42"/>
      <c r="J677" s="42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</row>
    <row r="678">
      <c r="A678" s="29"/>
      <c r="B678" s="42"/>
      <c r="C678" s="42"/>
      <c r="D678" s="42"/>
      <c r="E678" s="42"/>
      <c r="F678" s="42"/>
      <c r="G678" s="42"/>
      <c r="H678" s="42"/>
      <c r="I678" s="42"/>
      <c r="J678" s="42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</row>
    <row r="679">
      <c r="A679" s="29"/>
      <c r="B679" s="42"/>
      <c r="C679" s="42"/>
      <c r="D679" s="42"/>
      <c r="E679" s="42"/>
      <c r="F679" s="42"/>
      <c r="G679" s="42"/>
      <c r="H679" s="42"/>
      <c r="I679" s="42"/>
      <c r="J679" s="42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</row>
    <row r="680">
      <c r="A680" s="29"/>
      <c r="B680" s="42"/>
      <c r="C680" s="42"/>
      <c r="D680" s="42"/>
      <c r="E680" s="42"/>
      <c r="F680" s="42"/>
      <c r="G680" s="42"/>
      <c r="H680" s="42"/>
      <c r="I680" s="42"/>
      <c r="J680" s="42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</row>
    <row r="681">
      <c r="A681" s="29"/>
      <c r="B681" s="42"/>
      <c r="C681" s="42"/>
      <c r="D681" s="42"/>
      <c r="E681" s="42"/>
      <c r="F681" s="42"/>
      <c r="G681" s="42"/>
      <c r="H681" s="42"/>
      <c r="I681" s="42"/>
      <c r="J681" s="42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</row>
    <row r="682">
      <c r="A682" s="29"/>
      <c r="B682" s="42"/>
      <c r="C682" s="42"/>
      <c r="D682" s="42"/>
      <c r="E682" s="42"/>
      <c r="F682" s="42"/>
      <c r="G682" s="42"/>
      <c r="H682" s="42"/>
      <c r="I682" s="42"/>
      <c r="J682" s="42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</row>
    <row r="683">
      <c r="A683" s="29"/>
      <c r="B683" s="42"/>
      <c r="C683" s="42"/>
      <c r="D683" s="42"/>
      <c r="E683" s="42"/>
      <c r="F683" s="42"/>
      <c r="G683" s="42"/>
      <c r="H683" s="42"/>
      <c r="I683" s="42"/>
      <c r="J683" s="42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</row>
    <row r="684">
      <c r="A684" s="29"/>
      <c r="B684" s="42"/>
      <c r="C684" s="42"/>
      <c r="D684" s="42"/>
      <c r="E684" s="42"/>
      <c r="F684" s="42"/>
      <c r="G684" s="42"/>
      <c r="H684" s="42"/>
      <c r="I684" s="42"/>
      <c r="J684" s="42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</row>
    <row r="685">
      <c r="A685" s="29"/>
      <c r="B685" s="42"/>
      <c r="C685" s="42"/>
      <c r="D685" s="42"/>
      <c r="E685" s="42"/>
      <c r="F685" s="42"/>
      <c r="G685" s="42"/>
      <c r="H685" s="42"/>
      <c r="I685" s="42"/>
      <c r="J685" s="42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</row>
    <row r="686">
      <c r="A686" s="29"/>
      <c r="B686" s="42"/>
      <c r="C686" s="42"/>
      <c r="D686" s="42"/>
      <c r="E686" s="42"/>
      <c r="F686" s="42"/>
      <c r="G686" s="42"/>
      <c r="H686" s="42"/>
      <c r="I686" s="42"/>
      <c r="J686" s="42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</row>
    <row r="687">
      <c r="A687" s="29"/>
      <c r="B687" s="42"/>
      <c r="C687" s="42"/>
      <c r="D687" s="42"/>
      <c r="E687" s="42"/>
      <c r="F687" s="42"/>
      <c r="G687" s="42"/>
      <c r="H687" s="42"/>
      <c r="I687" s="42"/>
      <c r="J687" s="42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</row>
    <row r="688">
      <c r="A688" s="29"/>
      <c r="B688" s="42"/>
      <c r="C688" s="42"/>
      <c r="D688" s="42"/>
      <c r="E688" s="42"/>
      <c r="F688" s="42"/>
      <c r="G688" s="42"/>
      <c r="H688" s="42"/>
      <c r="I688" s="42"/>
      <c r="J688" s="42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</row>
    <row r="689">
      <c r="A689" s="29"/>
      <c r="B689" s="42"/>
      <c r="C689" s="42"/>
      <c r="D689" s="42"/>
      <c r="E689" s="42"/>
      <c r="F689" s="42"/>
      <c r="G689" s="42"/>
      <c r="H689" s="42"/>
      <c r="I689" s="42"/>
      <c r="J689" s="42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</row>
    <row r="690">
      <c r="A690" s="29"/>
      <c r="B690" s="42"/>
      <c r="C690" s="42"/>
      <c r="D690" s="42"/>
      <c r="E690" s="42"/>
      <c r="F690" s="42"/>
      <c r="G690" s="42"/>
      <c r="H690" s="42"/>
      <c r="I690" s="42"/>
      <c r="J690" s="42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</row>
    <row r="691">
      <c r="A691" s="29"/>
      <c r="B691" s="42"/>
      <c r="C691" s="42"/>
      <c r="D691" s="42"/>
      <c r="E691" s="42"/>
      <c r="F691" s="42"/>
      <c r="G691" s="42"/>
      <c r="H691" s="42"/>
      <c r="I691" s="42"/>
      <c r="J691" s="42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</row>
    <row r="692">
      <c r="A692" s="29"/>
      <c r="B692" s="42"/>
      <c r="C692" s="42"/>
      <c r="D692" s="42"/>
      <c r="E692" s="42"/>
      <c r="F692" s="42"/>
      <c r="G692" s="42"/>
      <c r="H692" s="42"/>
      <c r="I692" s="42"/>
      <c r="J692" s="42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</row>
    <row r="693">
      <c r="A693" s="29"/>
      <c r="B693" s="42"/>
      <c r="C693" s="42"/>
      <c r="D693" s="42"/>
      <c r="E693" s="42"/>
      <c r="F693" s="42"/>
      <c r="G693" s="42"/>
      <c r="H693" s="42"/>
      <c r="I693" s="42"/>
      <c r="J693" s="42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</row>
    <row r="694">
      <c r="A694" s="29"/>
      <c r="B694" s="42"/>
      <c r="C694" s="42"/>
      <c r="D694" s="42"/>
      <c r="E694" s="42"/>
      <c r="F694" s="42"/>
      <c r="G694" s="42"/>
      <c r="H694" s="42"/>
      <c r="I694" s="42"/>
      <c r="J694" s="42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</row>
    <row r="695">
      <c r="A695" s="29"/>
      <c r="B695" s="42"/>
      <c r="C695" s="42"/>
      <c r="D695" s="42"/>
      <c r="E695" s="42"/>
      <c r="F695" s="42"/>
      <c r="G695" s="42"/>
      <c r="H695" s="42"/>
      <c r="I695" s="42"/>
      <c r="J695" s="42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</row>
    <row r="696">
      <c r="A696" s="29"/>
      <c r="B696" s="42"/>
      <c r="C696" s="42"/>
      <c r="D696" s="42"/>
      <c r="E696" s="42"/>
      <c r="F696" s="42"/>
      <c r="G696" s="42"/>
      <c r="H696" s="42"/>
      <c r="I696" s="42"/>
      <c r="J696" s="42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</row>
    <row r="697">
      <c r="A697" s="29"/>
      <c r="B697" s="42"/>
      <c r="C697" s="42"/>
      <c r="D697" s="42"/>
      <c r="E697" s="42"/>
      <c r="F697" s="42"/>
      <c r="G697" s="42"/>
      <c r="H697" s="42"/>
      <c r="I697" s="42"/>
      <c r="J697" s="42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</row>
    <row r="698">
      <c r="A698" s="29"/>
      <c r="B698" s="42"/>
      <c r="C698" s="42"/>
      <c r="D698" s="42"/>
      <c r="E698" s="42"/>
      <c r="F698" s="42"/>
      <c r="G698" s="42"/>
      <c r="H698" s="42"/>
      <c r="I698" s="42"/>
      <c r="J698" s="42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</row>
    <row r="699">
      <c r="A699" s="29"/>
      <c r="B699" s="42"/>
      <c r="C699" s="42"/>
      <c r="D699" s="42"/>
      <c r="E699" s="42"/>
      <c r="F699" s="42"/>
      <c r="G699" s="42"/>
      <c r="H699" s="42"/>
      <c r="I699" s="42"/>
      <c r="J699" s="42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</row>
    <row r="700">
      <c r="A700" s="29"/>
      <c r="B700" s="42"/>
      <c r="C700" s="42"/>
      <c r="D700" s="42"/>
      <c r="E700" s="42"/>
      <c r="F700" s="42"/>
      <c r="G700" s="42"/>
      <c r="H700" s="42"/>
      <c r="I700" s="42"/>
      <c r="J700" s="42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</row>
    <row r="701">
      <c r="A701" s="29"/>
      <c r="B701" s="42"/>
      <c r="C701" s="42"/>
      <c r="D701" s="42"/>
      <c r="E701" s="42"/>
      <c r="F701" s="42"/>
      <c r="G701" s="42"/>
      <c r="H701" s="42"/>
      <c r="I701" s="42"/>
      <c r="J701" s="42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</row>
    <row r="702">
      <c r="A702" s="29"/>
      <c r="B702" s="42"/>
      <c r="C702" s="42"/>
      <c r="D702" s="42"/>
      <c r="E702" s="42"/>
      <c r="F702" s="42"/>
      <c r="G702" s="42"/>
      <c r="H702" s="42"/>
      <c r="I702" s="42"/>
      <c r="J702" s="42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</row>
    <row r="703">
      <c r="A703" s="29"/>
      <c r="B703" s="42"/>
      <c r="C703" s="42"/>
      <c r="D703" s="42"/>
      <c r="E703" s="42"/>
      <c r="F703" s="42"/>
      <c r="G703" s="42"/>
      <c r="H703" s="42"/>
      <c r="I703" s="42"/>
      <c r="J703" s="42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</row>
    <row r="704">
      <c r="A704" s="29"/>
      <c r="B704" s="42"/>
      <c r="C704" s="42"/>
      <c r="D704" s="42"/>
      <c r="E704" s="42"/>
      <c r="F704" s="42"/>
      <c r="G704" s="42"/>
      <c r="H704" s="42"/>
      <c r="I704" s="42"/>
      <c r="J704" s="42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</row>
    <row r="705">
      <c r="A705" s="29"/>
      <c r="B705" s="42"/>
      <c r="C705" s="42"/>
      <c r="D705" s="42"/>
      <c r="E705" s="42"/>
      <c r="F705" s="42"/>
      <c r="G705" s="42"/>
      <c r="H705" s="42"/>
      <c r="I705" s="42"/>
      <c r="J705" s="42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</row>
    <row r="706">
      <c r="A706" s="29"/>
      <c r="B706" s="42"/>
      <c r="C706" s="42"/>
      <c r="D706" s="42"/>
      <c r="E706" s="42"/>
      <c r="F706" s="42"/>
      <c r="G706" s="42"/>
      <c r="H706" s="42"/>
      <c r="I706" s="42"/>
      <c r="J706" s="42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</row>
    <row r="707">
      <c r="A707" s="29"/>
      <c r="B707" s="42"/>
      <c r="C707" s="42"/>
      <c r="D707" s="42"/>
      <c r="E707" s="42"/>
      <c r="F707" s="42"/>
      <c r="G707" s="42"/>
      <c r="H707" s="42"/>
      <c r="I707" s="42"/>
      <c r="J707" s="42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</row>
    <row r="708">
      <c r="A708" s="29"/>
      <c r="B708" s="42"/>
      <c r="C708" s="42"/>
      <c r="D708" s="42"/>
      <c r="E708" s="42"/>
      <c r="F708" s="42"/>
      <c r="G708" s="42"/>
      <c r="H708" s="42"/>
      <c r="I708" s="42"/>
      <c r="J708" s="42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</row>
    <row r="709">
      <c r="A709" s="29"/>
      <c r="B709" s="42"/>
      <c r="C709" s="42"/>
      <c r="D709" s="42"/>
      <c r="E709" s="42"/>
      <c r="F709" s="42"/>
      <c r="G709" s="42"/>
      <c r="H709" s="42"/>
      <c r="I709" s="42"/>
      <c r="J709" s="42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</row>
    <row r="710">
      <c r="A710" s="29"/>
      <c r="B710" s="42"/>
      <c r="C710" s="42"/>
      <c r="D710" s="42"/>
      <c r="E710" s="42"/>
      <c r="F710" s="42"/>
      <c r="G710" s="42"/>
      <c r="H710" s="42"/>
      <c r="I710" s="42"/>
      <c r="J710" s="42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</row>
    <row r="711">
      <c r="A711" s="29"/>
      <c r="B711" s="42"/>
      <c r="C711" s="42"/>
      <c r="D711" s="42"/>
      <c r="E711" s="42"/>
      <c r="F711" s="42"/>
      <c r="G711" s="42"/>
      <c r="H711" s="42"/>
      <c r="I711" s="42"/>
      <c r="J711" s="42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</row>
    <row r="712">
      <c r="A712" s="29"/>
      <c r="B712" s="42"/>
      <c r="C712" s="42"/>
      <c r="D712" s="42"/>
      <c r="E712" s="42"/>
      <c r="F712" s="42"/>
      <c r="G712" s="42"/>
      <c r="H712" s="42"/>
      <c r="I712" s="42"/>
      <c r="J712" s="42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</row>
    <row r="713">
      <c r="A713" s="29"/>
      <c r="B713" s="42"/>
      <c r="C713" s="42"/>
      <c r="D713" s="42"/>
      <c r="E713" s="42"/>
      <c r="F713" s="42"/>
      <c r="G713" s="42"/>
      <c r="H713" s="42"/>
      <c r="I713" s="42"/>
      <c r="J713" s="42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</row>
    <row r="714">
      <c r="A714" s="29"/>
      <c r="B714" s="42"/>
      <c r="C714" s="42"/>
      <c r="D714" s="42"/>
      <c r="E714" s="42"/>
      <c r="F714" s="42"/>
      <c r="G714" s="42"/>
      <c r="H714" s="42"/>
      <c r="I714" s="42"/>
      <c r="J714" s="42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</row>
    <row r="715">
      <c r="A715" s="29"/>
      <c r="B715" s="42"/>
      <c r="C715" s="42"/>
      <c r="D715" s="42"/>
      <c r="E715" s="42"/>
      <c r="F715" s="42"/>
      <c r="G715" s="42"/>
      <c r="H715" s="42"/>
      <c r="I715" s="42"/>
      <c r="J715" s="42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</row>
    <row r="716">
      <c r="A716" s="29"/>
      <c r="B716" s="42"/>
      <c r="C716" s="42"/>
      <c r="D716" s="42"/>
      <c r="E716" s="42"/>
      <c r="F716" s="42"/>
      <c r="G716" s="42"/>
      <c r="H716" s="42"/>
      <c r="I716" s="42"/>
      <c r="J716" s="42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</row>
    <row r="717">
      <c r="A717" s="29"/>
      <c r="B717" s="42"/>
      <c r="C717" s="42"/>
      <c r="D717" s="42"/>
      <c r="E717" s="42"/>
      <c r="F717" s="42"/>
      <c r="G717" s="42"/>
      <c r="H717" s="42"/>
      <c r="I717" s="42"/>
      <c r="J717" s="42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</row>
    <row r="718">
      <c r="A718" s="29"/>
      <c r="B718" s="42"/>
      <c r="C718" s="42"/>
      <c r="D718" s="42"/>
      <c r="E718" s="42"/>
      <c r="F718" s="42"/>
      <c r="G718" s="42"/>
      <c r="H718" s="42"/>
      <c r="I718" s="42"/>
      <c r="J718" s="42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</row>
    <row r="719">
      <c r="A719" s="29"/>
      <c r="B719" s="42"/>
      <c r="C719" s="42"/>
      <c r="D719" s="42"/>
      <c r="E719" s="42"/>
      <c r="F719" s="42"/>
      <c r="G719" s="42"/>
      <c r="H719" s="42"/>
      <c r="I719" s="42"/>
      <c r="J719" s="42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</row>
    <row r="720">
      <c r="A720" s="29"/>
      <c r="B720" s="42"/>
      <c r="C720" s="42"/>
      <c r="D720" s="42"/>
      <c r="E720" s="42"/>
      <c r="F720" s="42"/>
      <c r="G720" s="42"/>
      <c r="H720" s="42"/>
      <c r="I720" s="42"/>
      <c r="J720" s="42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</row>
    <row r="721">
      <c r="A721" s="29"/>
      <c r="B721" s="42"/>
      <c r="C721" s="42"/>
      <c r="D721" s="42"/>
      <c r="E721" s="42"/>
      <c r="F721" s="42"/>
      <c r="G721" s="42"/>
      <c r="H721" s="42"/>
      <c r="I721" s="42"/>
      <c r="J721" s="42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</row>
    <row r="722">
      <c r="A722" s="29"/>
      <c r="B722" s="42"/>
      <c r="C722" s="42"/>
      <c r="D722" s="42"/>
      <c r="E722" s="42"/>
      <c r="F722" s="42"/>
      <c r="G722" s="42"/>
      <c r="H722" s="42"/>
      <c r="I722" s="42"/>
      <c r="J722" s="42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</row>
    <row r="723">
      <c r="A723" s="29"/>
      <c r="B723" s="42"/>
      <c r="C723" s="42"/>
      <c r="D723" s="42"/>
      <c r="E723" s="42"/>
      <c r="F723" s="42"/>
      <c r="G723" s="42"/>
      <c r="H723" s="42"/>
      <c r="I723" s="42"/>
      <c r="J723" s="42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</row>
    <row r="724">
      <c r="A724" s="29"/>
      <c r="B724" s="42"/>
      <c r="C724" s="42"/>
      <c r="D724" s="42"/>
      <c r="E724" s="42"/>
      <c r="F724" s="42"/>
      <c r="G724" s="42"/>
      <c r="H724" s="42"/>
      <c r="I724" s="42"/>
      <c r="J724" s="42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</row>
    <row r="725">
      <c r="A725" s="29"/>
      <c r="B725" s="42"/>
      <c r="C725" s="42"/>
      <c r="D725" s="42"/>
      <c r="E725" s="42"/>
      <c r="F725" s="42"/>
      <c r="G725" s="42"/>
      <c r="H725" s="42"/>
      <c r="I725" s="42"/>
      <c r="J725" s="42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</row>
    <row r="726">
      <c r="A726" s="29"/>
      <c r="B726" s="42"/>
      <c r="C726" s="42"/>
      <c r="D726" s="42"/>
      <c r="E726" s="42"/>
      <c r="F726" s="42"/>
      <c r="G726" s="42"/>
      <c r="H726" s="42"/>
      <c r="I726" s="42"/>
      <c r="J726" s="42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</row>
    <row r="727">
      <c r="A727" s="29"/>
      <c r="B727" s="42"/>
      <c r="C727" s="42"/>
      <c r="D727" s="42"/>
      <c r="E727" s="42"/>
      <c r="F727" s="42"/>
      <c r="G727" s="42"/>
      <c r="H727" s="42"/>
      <c r="I727" s="42"/>
      <c r="J727" s="42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</row>
    <row r="728">
      <c r="A728" s="29"/>
      <c r="B728" s="42"/>
      <c r="C728" s="42"/>
      <c r="D728" s="42"/>
      <c r="E728" s="42"/>
      <c r="F728" s="42"/>
      <c r="G728" s="42"/>
      <c r="H728" s="42"/>
      <c r="I728" s="42"/>
      <c r="J728" s="42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</row>
    <row r="729">
      <c r="A729" s="29"/>
      <c r="B729" s="42"/>
      <c r="C729" s="42"/>
      <c r="D729" s="42"/>
      <c r="E729" s="42"/>
      <c r="F729" s="42"/>
      <c r="G729" s="42"/>
      <c r="H729" s="42"/>
      <c r="I729" s="42"/>
      <c r="J729" s="42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</row>
    <row r="730">
      <c r="A730" s="29"/>
      <c r="B730" s="42"/>
      <c r="C730" s="42"/>
      <c r="D730" s="42"/>
      <c r="E730" s="42"/>
      <c r="F730" s="42"/>
      <c r="G730" s="42"/>
      <c r="H730" s="42"/>
      <c r="I730" s="42"/>
      <c r="J730" s="42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</row>
    <row r="731">
      <c r="A731" s="29"/>
      <c r="B731" s="42"/>
      <c r="C731" s="42"/>
      <c r="D731" s="42"/>
      <c r="E731" s="42"/>
      <c r="F731" s="42"/>
      <c r="G731" s="42"/>
      <c r="H731" s="42"/>
      <c r="I731" s="42"/>
      <c r="J731" s="42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</row>
    <row r="732">
      <c r="A732" s="29"/>
      <c r="B732" s="42"/>
      <c r="C732" s="42"/>
      <c r="D732" s="42"/>
      <c r="E732" s="42"/>
      <c r="F732" s="42"/>
      <c r="G732" s="42"/>
      <c r="H732" s="42"/>
      <c r="I732" s="42"/>
      <c r="J732" s="42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</row>
    <row r="733">
      <c r="A733" s="29"/>
      <c r="B733" s="42"/>
      <c r="C733" s="42"/>
      <c r="D733" s="42"/>
      <c r="E733" s="42"/>
      <c r="F733" s="42"/>
      <c r="G733" s="42"/>
      <c r="H733" s="42"/>
      <c r="I733" s="42"/>
      <c r="J733" s="42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</row>
    <row r="734">
      <c r="A734" s="29"/>
      <c r="B734" s="42"/>
      <c r="C734" s="42"/>
      <c r="D734" s="42"/>
      <c r="E734" s="42"/>
      <c r="F734" s="42"/>
      <c r="G734" s="42"/>
      <c r="H734" s="42"/>
      <c r="I734" s="42"/>
      <c r="J734" s="42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</row>
    <row r="735">
      <c r="A735" s="29"/>
      <c r="B735" s="42"/>
      <c r="C735" s="42"/>
      <c r="D735" s="42"/>
      <c r="E735" s="42"/>
      <c r="F735" s="42"/>
      <c r="G735" s="42"/>
      <c r="H735" s="42"/>
      <c r="I735" s="42"/>
      <c r="J735" s="42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</row>
    <row r="736">
      <c r="A736" s="29"/>
      <c r="B736" s="42"/>
      <c r="C736" s="42"/>
      <c r="D736" s="42"/>
      <c r="E736" s="42"/>
      <c r="F736" s="42"/>
      <c r="G736" s="42"/>
      <c r="H736" s="42"/>
      <c r="I736" s="42"/>
      <c r="J736" s="42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</row>
    <row r="737">
      <c r="A737" s="29"/>
      <c r="B737" s="42"/>
      <c r="C737" s="42"/>
      <c r="D737" s="42"/>
      <c r="E737" s="42"/>
      <c r="F737" s="42"/>
      <c r="G737" s="42"/>
      <c r="H737" s="42"/>
      <c r="I737" s="42"/>
      <c r="J737" s="42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</row>
    <row r="738">
      <c r="A738" s="29"/>
      <c r="B738" s="42"/>
      <c r="C738" s="42"/>
      <c r="D738" s="42"/>
      <c r="E738" s="42"/>
      <c r="F738" s="42"/>
      <c r="G738" s="42"/>
      <c r="H738" s="42"/>
      <c r="I738" s="42"/>
      <c r="J738" s="42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</row>
    <row r="739">
      <c r="A739" s="29"/>
      <c r="B739" s="42"/>
      <c r="C739" s="42"/>
      <c r="D739" s="42"/>
      <c r="E739" s="42"/>
      <c r="F739" s="42"/>
      <c r="G739" s="42"/>
      <c r="H739" s="42"/>
      <c r="I739" s="42"/>
      <c r="J739" s="42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</row>
    <row r="740">
      <c r="A740" s="29"/>
      <c r="B740" s="42"/>
      <c r="C740" s="42"/>
      <c r="D740" s="42"/>
      <c r="E740" s="42"/>
      <c r="F740" s="42"/>
      <c r="G740" s="42"/>
      <c r="H740" s="42"/>
      <c r="I740" s="42"/>
      <c r="J740" s="42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</row>
    <row r="741">
      <c r="A741" s="29"/>
      <c r="B741" s="42"/>
      <c r="C741" s="42"/>
      <c r="D741" s="42"/>
      <c r="E741" s="42"/>
      <c r="F741" s="42"/>
      <c r="G741" s="42"/>
      <c r="H741" s="42"/>
      <c r="I741" s="42"/>
      <c r="J741" s="42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</row>
    <row r="742">
      <c r="A742" s="29"/>
      <c r="B742" s="42"/>
      <c r="C742" s="42"/>
      <c r="D742" s="42"/>
      <c r="E742" s="42"/>
      <c r="F742" s="42"/>
      <c r="G742" s="42"/>
      <c r="H742" s="42"/>
      <c r="I742" s="42"/>
      <c r="J742" s="42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</row>
    <row r="743">
      <c r="A743" s="29"/>
      <c r="B743" s="42"/>
      <c r="C743" s="42"/>
      <c r="D743" s="42"/>
      <c r="E743" s="42"/>
      <c r="F743" s="42"/>
      <c r="G743" s="42"/>
      <c r="H743" s="42"/>
      <c r="I743" s="42"/>
      <c r="J743" s="42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</row>
    <row r="744">
      <c r="A744" s="29"/>
      <c r="B744" s="42"/>
      <c r="C744" s="42"/>
      <c r="D744" s="42"/>
      <c r="E744" s="42"/>
      <c r="F744" s="42"/>
      <c r="G744" s="42"/>
      <c r="H744" s="42"/>
      <c r="I744" s="42"/>
      <c r="J744" s="42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</row>
    <row r="745">
      <c r="A745" s="29"/>
      <c r="B745" s="42"/>
      <c r="C745" s="42"/>
      <c r="D745" s="42"/>
      <c r="E745" s="42"/>
      <c r="F745" s="42"/>
      <c r="G745" s="42"/>
      <c r="H745" s="42"/>
      <c r="I745" s="42"/>
      <c r="J745" s="42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</row>
    <row r="746">
      <c r="A746" s="29"/>
      <c r="B746" s="42"/>
      <c r="C746" s="42"/>
      <c r="D746" s="42"/>
      <c r="E746" s="42"/>
      <c r="F746" s="42"/>
      <c r="G746" s="42"/>
      <c r="H746" s="42"/>
      <c r="I746" s="42"/>
      <c r="J746" s="42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</row>
    <row r="747">
      <c r="A747" s="29"/>
      <c r="B747" s="42"/>
      <c r="C747" s="42"/>
      <c r="D747" s="42"/>
      <c r="E747" s="42"/>
      <c r="F747" s="42"/>
      <c r="G747" s="42"/>
      <c r="H747" s="42"/>
      <c r="I747" s="42"/>
      <c r="J747" s="42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</row>
    <row r="748">
      <c r="A748" s="29"/>
      <c r="B748" s="42"/>
      <c r="C748" s="42"/>
      <c r="D748" s="42"/>
      <c r="E748" s="42"/>
      <c r="F748" s="42"/>
      <c r="G748" s="42"/>
      <c r="H748" s="42"/>
      <c r="I748" s="42"/>
      <c r="J748" s="42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</row>
    <row r="749">
      <c r="A749" s="29"/>
      <c r="B749" s="42"/>
      <c r="C749" s="42"/>
      <c r="D749" s="42"/>
      <c r="E749" s="42"/>
      <c r="F749" s="42"/>
      <c r="G749" s="42"/>
      <c r="H749" s="42"/>
      <c r="I749" s="42"/>
      <c r="J749" s="42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</row>
    <row r="750">
      <c r="A750" s="29"/>
      <c r="B750" s="42"/>
      <c r="C750" s="42"/>
      <c r="D750" s="42"/>
      <c r="E750" s="42"/>
      <c r="F750" s="42"/>
      <c r="G750" s="42"/>
      <c r="H750" s="42"/>
      <c r="I750" s="42"/>
      <c r="J750" s="42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</row>
    <row r="751">
      <c r="A751" s="29"/>
      <c r="B751" s="42"/>
      <c r="C751" s="42"/>
      <c r="D751" s="42"/>
      <c r="E751" s="42"/>
      <c r="F751" s="42"/>
      <c r="G751" s="42"/>
      <c r="H751" s="42"/>
      <c r="I751" s="42"/>
      <c r="J751" s="42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</row>
    <row r="752">
      <c r="A752" s="29"/>
      <c r="B752" s="42"/>
      <c r="C752" s="42"/>
      <c r="D752" s="42"/>
      <c r="E752" s="42"/>
      <c r="F752" s="42"/>
      <c r="G752" s="42"/>
      <c r="H752" s="42"/>
      <c r="I752" s="42"/>
      <c r="J752" s="42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</row>
    <row r="753">
      <c r="A753" s="29"/>
      <c r="B753" s="42"/>
      <c r="C753" s="42"/>
      <c r="D753" s="42"/>
      <c r="E753" s="42"/>
      <c r="F753" s="42"/>
      <c r="G753" s="42"/>
      <c r="H753" s="42"/>
      <c r="I753" s="42"/>
      <c r="J753" s="42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</row>
    <row r="754">
      <c r="A754" s="29"/>
      <c r="B754" s="42"/>
      <c r="C754" s="42"/>
      <c r="D754" s="42"/>
      <c r="E754" s="42"/>
      <c r="F754" s="42"/>
      <c r="G754" s="42"/>
      <c r="H754" s="42"/>
      <c r="I754" s="42"/>
      <c r="J754" s="42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</row>
    <row r="755">
      <c r="A755" s="29"/>
      <c r="B755" s="42"/>
      <c r="C755" s="42"/>
      <c r="D755" s="42"/>
      <c r="E755" s="42"/>
      <c r="F755" s="42"/>
      <c r="G755" s="42"/>
      <c r="H755" s="42"/>
      <c r="I755" s="42"/>
      <c r="J755" s="42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</row>
    <row r="756">
      <c r="A756" s="29"/>
      <c r="B756" s="42"/>
      <c r="C756" s="42"/>
      <c r="D756" s="42"/>
      <c r="E756" s="42"/>
      <c r="F756" s="42"/>
      <c r="G756" s="42"/>
      <c r="H756" s="42"/>
      <c r="I756" s="42"/>
      <c r="J756" s="42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</row>
    <row r="757">
      <c r="A757" s="29"/>
      <c r="B757" s="42"/>
      <c r="C757" s="42"/>
      <c r="D757" s="42"/>
      <c r="E757" s="42"/>
      <c r="F757" s="42"/>
      <c r="G757" s="42"/>
      <c r="H757" s="42"/>
      <c r="I757" s="42"/>
      <c r="J757" s="42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</row>
    <row r="758">
      <c r="A758" s="29"/>
      <c r="B758" s="42"/>
      <c r="C758" s="42"/>
      <c r="D758" s="42"/>
      <c r="E758" s="42"/>
      <c r="F758" s="42"/>
      <c r="G758" s="42"/>
      <c r="H758" s="42"/>
      <c r="I758" s="42"/>
      <c r="J758" s="42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</row>
    <row r="759">
      <c r="A759" s="29"/>
      <c r="B759" s="42"/>
      <c r="C759" s="42"/>
      <c r="D759" s="42"/>
      <c r="E759" s="42"/>
      <c r="F759" s="42"/>
      <c r="G759" s="42"/>
      <c r="H759" s="42"/>
      <c r="I759" s="42"/>
      <c r="J759" s="42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</row>
    <row r="760">
      <c r="A760" s="29"/>
      <c r="B760" s="42"/>
      <c r="C760" s="42"/>
      <c r="D760" s="42"/>
      <c r="E760" s="42"/>
      <c r="F760" s="42"/>
      <c r="G760" s="42"/>
      <c r="H760" s="42"/>
      <c r="I760" s="42"/>
      <c r="J760" s="42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</row>
    <row r="761">
      <c r="A761" s="29"/>
      <c r="B761" s="42"/>
      <c r="C761" s="42"/>
      <c r="D761" s="42"/>
      <c r="E761" s="42"/>
      <c r="F761" s="42"/>
      <c r="G761" s="42"/>
      <c r="H761" s="42"/>
      <c r="I761" s="42"/>
      <c r="J761" s="42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</row>
    <row r="762">
      <c r="A762" s="29"/>
      <c r="B762" s="42"/>
      <c r="C762" s="42"/>
      <c r="D762" s="42"/>
      <c r="E762" s="42"/>
      <c r="F762" s="42"/>
      <c r="G762" s="42"/>
      <c r="H762" s="42"/>
      <c r="I762" s="42"/>
      <c r="J762" s="42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</row>
    <row r="763">
      <c r="A763" s="29"/>
      <c r="B763" s="42"/>
      <c r="C763" s="42"/>
      <c r="D763" s="42"/>
      <c r="E763" s="42"/>
      <c r="F763" s="42"/>
      <c r="G763" s="42"/>
      <c r="H763" s="42"/>
      <c r="I763" s="42"/>
      <c r="J763" s="42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</row>
    <row r="764">
      <c r="A764" s="29"/>
      <c r="B764" s="42"/>
      <c r="C764" s="42"/>
      <c r="D764" s="42"/>
      <c r="E764" s="42"/>
      <c r="F764" s="42"/>
      <c r="G764" s="42"/>
      <c r="H764" s="42"/>
      <c r="I764" s="42"/>
      <c r="J764" s="42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</row>
    <row r="765">
      <c r="A765" s="29"/>
      <c r="B765" s="42"/>
      <c r="C765" s="42"/>
      <c r="D765" s="42"/>
      <c r="E765" s="42"/>
      <c r="F765" s="42"/>
      <c r="G765" s="42"/>
      <c r="H765" s="42"/>
      <c r="I765" s="42"/>
      <c r="J765" s="42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</row>
    <row r="766">
      <c r="A766" s="29"/>
      <c r="B766" s="42"/>
      <c r="C766" s="42"/>
      <c r="D766" s="42"/>
      <c r="E766" s="42"/>
      <c r="F766" s="42"/>
      <c r="G766" s="42"/>
      <c r="H766" s="42"/>
      <c r="I766" s="42"/>
      <c r="J766" s="42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</row>
    <row r="767">
      <c r="A767" s="29"/>
      <c r="B767" s="42"/>
      <c r="C767" s="42"/>
      <c r="D767" s="42"/>
      <c r="E767" s="42"/>
      <c r="F767" s="42"/>
      <c r="G767" s="42"/>
      <c r="H767" s="42"/>
      <c r="I767" s="42"/>
      <c r="J767" s="42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</row>
    <row r="768">
      <c r="A768" s="29"/>
      <c r="B768" s="42"/>
      <c r="C768" s="42"/>
      <c r="D768" s="42"/>
      <c r="E768" s="42"/>
      <c r="F768" s="42"/>
      <c r="G768" s="42"/>
      <c r="H768" s="42"/>
      <c r="I768" s="42"/>
      <c r="J768" s="42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</row>
    <row r="769">
      <c r="A769" s="29"/>
      <c r="B769" s="42"/>
      <c r="C769" s="42"/>
      <c r="D769" s="42"/>
      <c r="E769" s="42"/>
      <c r="F769" s="42"/>
      <c r="G769" s="42"/>
      <c r="H769" s="42"/>
      <c r="I769" s="42"/>
      <c r="J769" s="42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</row>
    <row r="770">
      <c r="A770" s="29"/>
      <c r="B770" s="42"/>
      <c r="C770" s="42"/>
      <c r="D770" s="42"/>
      <c r="E770" s="42"/>
      <c r="F770" s="42"/>
      <c r="G770" s="42"/>
      <c r="H770" s="42"/>
      <c r="I770" s="42"/>
      <c r="J770" s="42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</row>
    <row r="771">
      <c r="A771" s="29"/>
      <c r="B771" s="42"/>
      <c r="C771" s="42"/>
      <c r="D771" s="42"/>
      <c r="E771" s="42"/>
      <c r="F771" s="42"/>
      <c r="G771" s="42"/>
      <c r="H771" s="42"/>
      <c r="I771" s="42"/>
      <c r="J771" s="42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</row>
    <row r="772">
      <c r="A772" s="29"/>
      <c r="B772" s="42"/>
      <c r="C772" s="42"/>
      <c r="D772" s="42"/>
      <c r="E772" s="42"/>
      <c r="F772" s="42"/>
      <c r="G772" s="42"/>
      <c r="H772" s="42"/>
      <c r="I772" s="42"/>
      <c r="J772" s="42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</row>
    <row r="773">
      <c r="A773" s="29"/>
      <c r="B773" s="42"/>
      <c r="C773" s="42"/>
      <c r="D773" s="42"/>
      <c r="E773" s="42"/>
      <c r="F773" s="42"/>
      <c r="G773" s="42"/>
      <c r="H773" s="42"/>
      <c r="I773" s="42"/>
      <c r="J773" s="42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</row>
    <row r="774">
      <c r="A774" s="29"/>
      <c r="B774" s="42"/>
      <c r="C774" s="42"/>
      <c r="D774" s="42"/>
      <c r="E774" s="42"/>
      <c r="F774" s="42"/>
      <c r="G774" s="42"/>
      <c r="H774" s="42"/>
      <c r="I774" s="42"/>
      <c r="J774" s="42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</row>
    <row r="775">
      <c r="A775" s="29"/>
      <c r="B775" s="42"/>
      <c r="C775" s="42"/>
      <c r="D775" s="42"/>
      <c r="E775" s="42"/>
      <c r="F775" s="42"/>
      <c r="G775" s="42"/>
      <c r="H775" s="42"/>
      <c r="I775" s="42"/>
      <c r="J775" s="42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</row>
    <row r="776">
      <c r="A776" s="29"/>
      <c r="B776" s="42"/>
      <c r="C776" s="42"/>
      <c r="D776" s="42"/>
      <c r="E776" s="42"/>
      <c r="F776" s="42"/>
      <c r="G776" s="42"/>
      <c r="H776" s="42"/>
      <c r="I776" s="42"/>
      <c r="J776" s="42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</row>
    <row r="777">
      <c r="A777" s="29"/>
      <c r="B777" s="42"/>
      <c r="C777" s="42"/>
      <c r="D777" s="42"/>
      <c r="E777" s="42"/>
      <c r="F777" s="42"/>
      <c r="G777" s="42"/>
      <c r="H777" s="42"/>
      <c r="I777" s="42"/>
      <c r="J777" s="42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</row>
    <row r="778">
      <c r="A778" s="29"/>
      <c r="B778" s="42"/>
      <c r="C778" s="42"/>
      <c r="D778" s="42"/>
      <c r="E778" s="42"/>
      <c r="F778" s="42"/>
      <c r="G778" s="42"/>
      <c r="H778" s="42"/>
      <c r="I778" s="42"/>
      <c r="J778" s="42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</row>
    <row r="779">
      <c r="A779" s="29"/>
      <c r="B779" s="42"/>
      <c r="C779" s="42"/>
      <c r="D779" s="42"/>
      <c r="E779" s="42"/>
      <c r="F779" s="42"/>
      <c r="G779" s="42"/>
      <c r="H779" s="42"/>
      <c r="I779" s="42"/>
      <c r="J779" s="42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</row>
    <row r="780">
      <c r="A780" s="29"/>
      <c r="B780" s="42"/>
      <c r="C780" s="42"/>
      <c r="D780" s="42"/>
      <c r="E780" s="42"/>
      <c r="F780" s="42"/>
      <c r="G780" s="42"/>
      <c r="H780" s="42"/>
      <c r="I780" s="42"/>
      <c r="J780" s="42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</row>
    <row r="781">
      <c r="A781" s="29"/>
      <c r="B781" s="42"/>
      <c r="C781" s="42"/>
      <c r="D781" s="42"/>
      <c r="E781" s="42"/>
      <c r="F781" s="42"/>
      <c r="G781" s="42"/>
      <c r="H781" s="42"/>
      <c r="I781" s="42"/>
      <c r="J781" s="42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</row>
    <row r="782">
      <c r="A782" s="29"/>
      <c r="B782" s="42"/>
      <c r="C782" s="42"/>
      <c r="D782" s="42"/>
      <c r="E782" s="42"/>
      <c r="F782" s="42"/>
      <c r="G782" s="42"/>
      <c r="H782" s="42"/>
      <c r="I782" s="42"/>
      <c r="J782" s="42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</row>
    <row r="783">
      <c r="A783" s="29"/>
      <c r="B783" s="42"/>
      <c r="C783" s="42"/>
      <c r="D783" s="42"/>
      <c r="E783" s="42"/>
      <c r="F783" s="42"/>
      <c r="G783" s="42"/>
      <c r="H783" s="42"/>
      <c r="I783" s="42"/>
      <c r="J783" s="42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</row>
    <row r="784">
      <c r="A784" s="29"/>
      <c r="B784" s="42"/>
      <c r="C784" s="42"/>
      <c r="D784" s="42"/>
      <c r="E784" s="42"/>
      <c r="F784" s="42"/>
      <c r="G784" s="42"/>
      <c r="H784" s="42"/>
      <c r="I784" s="42"/>
      <c r="J784" s="42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</row>
    <row r="785">
      <c r="A785" s="29"/>
      <c r="B785" s="42"/>
      <c r="C785" s="42"/>
      <c r="D785" s="42"/>
      <c r="E785" s="42"/>
      <c r="F785" s="42"/>
      <c r="G785" s="42"/>
      <c r="H785" s="42"/>
      <c r="I785" s="42"/>
      <c r="J785" s="42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</row>
    <row r="786">
      <c r="A786" s="29"/>
      <c r="B786" s="42"/>
      <c r="C786" s="42"/>
      <c r="D786" s="42"/>
      <c r="E786" s="42"/>
      <c r="F786" s="42"/>
      <c r="G786" s="42"/>
      <c r="H786" s="42"/>
      <c r="I786" s="42"/>
      <c r="J786" s="42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</row>
    <row r="787">
      <c r="A787" s="29"/>
      <c r="B787" s="42"/>
      <c r="C787" s="42"/>
      <c r="D787" s="42"/>
      <c r="E787" s="42"/>
      <c r="F787" s="42"/>
      <c r="G787" s="42"/>
      <c r="H787" s="42"/>
      <c r="I787" s="42"/>
      <c r="J787" s="42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</row>
    <row r="788">
      <c r="A788" s="29"/>
      <c r="B788" s="42"/>
      <c r="C788" s="42"/>
      <c r="D788" s="42"/>
      <c r="E788" s="42"/>
      <c r="F788" s="42"/>
      <c r="G788" s="42"/>
      <c r="H788" s="42"/>
      <c r="I788" s="42"/>
      <c r="J788" s="42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</row>
    <row r="789">
      <c r="A789" s="29"/>
      <c r="B789" s="42"/>
      <c r="C789" s="42"/>
      <c r="D789" s="42"/>
      <c r="E789" s="42"/>
      <c r="F789" s="42"/>
      <c r="G789" s="42"/>
      <c r="H789" s="42"/>
      <c r="I789" s="42"/>
      <c r="J789" s="42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</row>
    <row r="790">
      <c r="A790" s="29"/>
      <c r="B790" s="42"/>
      <c r="C790" s="42"/>
      <c r="D790" s="42"/>
      <c r="E790" s="42"/>
      <c r="F790" s="42"/>
      <c r="G790" s="42"/>
      <c r="H790" s="42"/>
      <c r="I790" s="42"/>
      <c r="J790" s="42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</row>
    <row r="791">
      <c r="A791" s="29"/>
      <c r="B791" s="42"/>
      <c r="C791" s="42"/>
      <c r="D791" s="42"/>
      <c r="E791" s="42"/>
      <c r="F791" s="42"/>
      <c r="G791" s="42"/>
      <c r="H791" s="42"/>
      <c r="I791" s="42"/>
      <c r="J791" s="42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</row>
    <row r="792">
      <c r="A792" s="29"/>
      <c r="B792" s="42"/>
      <c r="C792" s="42"/>
      <c r="D792" s="42"/>
      <c r="E792" s="42"/>
      <c r="F792" s="42"/>
      <c r="G792" s="42"/>
      <c r="H792" s="42"/>
      <c r="I792" s="42"/>
      <c r="J792" s="42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</row>
    <row r="793">
      <c r="A793" s="29"/>
      <c r="B793" s="42"/>
      <c r="C793" s="42"/>
      <c r="D793" s="42"/>
      <c r="E793" s="42"/>
      <c r="F793" s="42"/>
      <c r="G793" s="42"/>
      <c r="H793" s="42"/>
      <c r="I793" s="42"/>
      <c r="J793" s="42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</row>
    <row r="794">
      <c r="A794" s="29"/>
      <c r="B794" s="42"/>
      <c r="C794" s="42"/>
      <c r="D794" s="42"/>
      <c r="E794" s="42"/>
      <c r="F794" s="42"/>
      <c r="G794" s="42"/>
      <c r="H794" s="42"/>
      <c r="I794" s="42"/>
      <c r="J794" s="42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</row>
    <row r="795">
      <c r="A795" s="29"/>
      <c r="B795" s="42"/>
      <c r="C795" s="42"/>
      <c r="D795" s="42"/>
      <c r="E795" s="42"/>
      <c r="F795" s="42"/>
      <c r="G795" s="42"/>
      <c r="H795" s="42"/>
      <c r="I795" s="42"/>
      <c r="J795" s="42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</row>
    <row r="796">
      <c r="A796" s="29"/>
      <c r="B796" s="42"/>
      <c r="C796" s="42"/>
      <c r="D796" s="42"/>
      <c r="E796" s="42"/>
      <c r="F796" s="42"/>
      <c r="G796" s="42"/>
      <c r="H796" s="42"/>
      <c r="I796" s="42"/>
      <c r="J796" s="42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</row>
    <row r="797">
      <c r="A797" s="29"/>
      <c r="B797" s="42"/>
      <c r="C797" s="42"/>
      <c r="D797" s="42"/>
      <c r="E797" s="42"/>
      <c r="F797" s="42"/>
      <c r="G797" s="42"/>
      <c r="H797" s="42"/>
      <c r="I797" s="42"/>
      <c r="J797" s="42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</row>
    <row r="798">
      <c r="A798" s="29"/>
      <c r="B798" s="42"/>
      <c r="C798" s="42"/>
      <c r="D798" s="42"/>
      <c r="E798" s="42"/>
      <c r="F798" s="42"/>
      <c r="G798" s="42"/>
      <c r="H798" s="42"/>
      <c r="I798" s="42"/>
      <c r="J798" s="42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</row>
    <row r="799">
      <c r="A799" s="29"/>
      <c r="B799" s="42"/>
      <c r="C799" s="42"/>
      <c r="D799" s="42"/>
      <c r="E799" s="42"/>
      <c r="F799" s="42"/>
      <c r="G799" s="42"/>
      <c r="H799" s="42"/>
      <c r="I799" s="42"/>
      <c r="J799" s="42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</row>
    <row r="800">
      <c r="A800" s="29"/>
      <c r="B800" s="42"/>
      <c r="C800" s="42"/>
      <c r="D800" s="42"/>
      <c r="E800" s="42"/>
      <c r="F800" s="42"/>
      <c r="G800" s="42"/>
      <c r="H800" s="42"/>
      <c r="I800" s="42"/>
      <c r="J800" s="42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</row>
    <row r="801">
      <c r="A801" s="29"/>
      <c r="B801" s="42"/>
      <c r="C801" s="42"/>
      <c r="D801" s="42"/>
      <c r="E801" s="42"/>
      <c r="F801" s="42"/>
      <c r="G801" s="42"/>
      <c r="H801" s="42"/>
      <c r="I801" s="42"/>
      <c r="J801" s="42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</row>
    <row r="802">
      <c r="A802" s="29"/>
      <c r="B802" s="42"/>
      <c r="C802" s="42"/>
      <c r="D802" s="42"/>
      <c r="E802" s="42"/>
      <c r="F802" s="42"/>
      <c r="G802" s="42"/>
      <c r="H802" s="42"/>
      <c r="I802" s="42"/>
      <c r="J802" s="42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</row>
    <row r="803">
      <c r="A803" s="29"/>
      <c r="B803" s="42"/>
      <c r="C803" s="42"/>
      <c r="D803" s="42"/>
      <c r="E803" s="42"/>
      <c r="F803" s="42"/>
      <c r="G803" s="42"/>
      <c r="H803" s="42"/>
      <c r="I803" s="42"/>
      <c r="J803" s="42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</row>
    <row r="804">
      <c r="A804" s="29"/>
      <c r="B804" s="42"/>
      <c r="C804" s="42"/>
      <c r="D804" s="42"/>
      <c r="E804" s="42"/>
      <c r="F804" s="42"/>
      <c r="G804" s="42"/>
      <c r="H804" s="42"/>
      <c r="I804" s="42"/>
      <c r="J804" s="42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</row>
    <row r="805">
      <c r="A805" s="29"/>
      <c r="B805" s="42"/>
      <c r="C805" s="42"/>
      <c r="D805" s="42"/>
      <c r="E805" s="42"/>
      <c r="F805" s="42"/>
      <c r="G805" s="42"/>
      <c r="H805" s="42"/>
      <c r="I805" s="42"/>
      <c r="J805" s="42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</row>
    <row r="806">
      <c r="A806" s="29"/>
      <c r="B806" s="42"/>
      <c r="C806" s="42"/>
      <c r="D806" s="42"/>
      <c r="E806" s="42"/>
      <c r="F806" s="42"/>
      <c r="G806" s="42"/>
      <c r="H806" s="42"/>
      <c r="I806" s="42"/>
      <c r="J806" s="42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</row>
    <row r="807">
      <c r="A807" s="29"/>
      <c r="B807" s="42"/>
      <c r="C807" s="42"/>
      <c r="D807" s="42"/>
      <c r="E807" s="42"/>
      <c r="F807" s="42"/>
      <c r="G807" s="42"/>
      <c r="H807" s="42"/>
      <c r="I807" s="42"/>
      <c r="J807" s="42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</row>
    <row r="808">
      <c r="A808" s="29"/>
      <c r="B808" s="42"/>
      <c r="C808" s="42"/>
      <c r="D808" s="42"/>
      <c r="E808" s="42"/>
      <c r="F808" s="42"/>
      <c r="G808" s="42"/>
      <c r="H808" s="42"/>
      <c r="I808" s="42"/>
      <c r="J808" s="42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</row>
    <row r="809">
      <c r="A809" s="29"/>
      <c r="B809" s="42"/>
      <c r="C809" s="42"/>
      <c r="D809" s="42"/>
      <c r="E809" s="42"/>
      <c r="F809" s="42"/>
      <c r="G809" s="42"/>
      <c r="H809" s="42"/>
      <c r="I809" s="42"/>
      <c r="J809" s="42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</row>
    <row r="810">
      <c r="A810" s="29"/>
      <c r="B810" s="42"/>
      <c r="C810" s="42"/>
      <c r="D810" s="42"/>
      <c r="E810" s="42"/>
      <c r="F810" s="42"/>
      <c r="G810" s="42"/>
      <c r="H810" s="42"/>
      <c r="I810" s="42"/>
      <c r="J810" s="42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</row>
    <row r="811">
      <c r="A811" s="29"/>
      <c r="B811" s="42"/>
      <c r="C811" s="42"/>
      <c r="D811" s="42"/>
      <c r="E811" s="42"/>
      <c r="F811" s="42"/>
      <c r="G811" s="42"/>
      <c r="H811" s="42"/>
      <c r="I811" s="42"/>
      <c r="J811" s="42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</row>
    <row r="812">
      <c r="A812" s="29"/>
      <c r="B812" s="42"/>
      <c r="C812" s="42"/>
      <c r="D812" s="42"/>
      <c r="E812" s="42"/>
      <c r="F812" s="42"/>
      <c r="G812" s="42"/>
      <c r="H812" s="42"/>
      <c r="I812" s="42"/>
      <c r="J812" s="42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</row>
    <row r="813">
      <c r="A813" s="29"/>
      <c r="B813" s="42"/>
      <c r="C813" s="42"/>
      <c r="D813" s="42"/>
      <c r="E813" s="42"/>
      <c r="F813" s="42"/>
      <c r="G813" s="42"/>
      <c r="H813" s="42"/>
      <c r="I813" s="42"/>
      <c r="J813" s="42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</row>
    <row r="814">
      <c r="A814" s="29"/>
      <c r="B814" s="42"/>
      <c r="C814" s="42"/>
      <c r="D814" s="42"/>
      <c r="E814" s="42"/>
      <c r="F814" s="42"/>
      <c r="G814" s="42"/>
      <c r="H814" s="42"/>
      <c r="I814" s="42"/>
      <c r="J814" s="42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</row>
    <row r="815">
      <c r="A815" s="29"/>
      <c r="B815" s="42"/>
      <c r="C815" s="42"/>
      <c r="D815" s="42"/>
      <c r="E815" s="42"/>
      <c r="F815" s="42"/>
      <c r="G815" s="42"/>
      <c r="H815" s="42"/>
      <c r="I815" s="42"/>
      <c r="J815" s="42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</row>
    <row r="816">
      <c r="A816" s="29"/>
      <c r="B816" s="42"/>
      <c r="C816" s="42"/>
      <c r="D816" s="42"/>
      <c r="E816" s="42"/>
      <c r="F816" s="42"/>
      <c r="G816" s="42"/>
      <c r="H816" s="42"/>
      <c r="I816" s="42"/>
      <c r="J816" s="42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</row>
    <row r="817">
      <c r="A817" s="29"/>
      <c r="B817" s="42"/>
      <c r="C817" s="42"/>
      <c r="D817" s="42"/>
      <c r="E817" s="42"/>
      <c r="F817" s="42"/>
      <c r="G817" s="42"/>
      <c r="H817" s="42"/>
      <c r="I817" s="42"/>
      <c r="J817" s="42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</row>
    <row r="818">
      <c r="A818" s="29"/>
      <c r="B818" s="42"/>
      <c r="C818" s="42"/>
      <c r="D818" s="42"/>
      <c r="E818" s="42"/>
      <c r="F818" s="42"/>
      <c r="G818" s="42"/>
      <c r="H818" s="42"/>
      <c r="I818" s="42"/>
      <c r="J818" s="42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</row>
    <row r="819">
      <c r="A819" s="29"/>
      <c r="B819" s="42"/>
      <c r="C819" s="42"/>
      <c r="D819" s="42"/>
      <c r="E819" s="42"/>
      <c r="F819" s="42"/>
      <c r="G819" s="42"/>
      <c r="H819" s="42"/>
      <c r="I819" s="42"/>
      <c r="J819" s="42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</row>
    <row r="820">
      <c r="A820" s="29"/>
      <c r="B820" s="42"/>
      <c r="C820" s="42"/>
      <c r="D820" s="42"/>
      <c r="E820" s="42"/>
      <c r="F820" s="42"/>
      <c r="G820" s="42"/>
      <c r="H820" s="42"/>
      <c r="I820" s="42"/>
      <c r="J820" s="42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</row>
    <row r="821">
      <c r="A821" s="29"/>
      <c r="B821" s="42"/>
      <c r="C821" s="42"/>
      <c r="D821" s="42"/>
      <c r="E821" s="42"/>
      <c r="F821" s="42"/>
      <c r="G821" s="42"/>
      <c r="H821" s="42"/>
      <c r="I821" s="42"/>
      <c r="J821" s="42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</row>
    <row r="822">
      <c r="A822" s="29"/>
      <c r="B822" s="42"/>
      <c r="C822" s="42"/>
      <c r="D822" s="42"/>
      <c r="E822" s="42"/>
      <c r="F822" s="42"/>
      <c r="G822" s="42"/>
      <c r="H822" s="42"/>
      <c r="I822" s="42"/>
      <c r="J822" s="42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</row>
    <row r="823">
      <c r="A823" s="29"/>
      <c r="B823" s="42"/>
      <c r="C823" s="42"/>
      <c r="D823" s="42"/>
      <c r="E823" s="42"/>
      <c r="F823" s="42"/>
      <c r="G823" s="42"/>
      <c r="H823" s="42"/>
      <c r="I823" s="42"/>
      <c r="J823" s="42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</row>
    <row r="824">
      <c r="A824" s="29"/>
      <c r="B824" s="42"/>
      <c r="C824" s="42"/>
      <c r="D824" s="42"/>
      <c r="E824" s="42"/>
      <c r="F824" s="42"/>
      <c r="G824" s="42"/>
      <c r="H824" s="42"/>
      <c r="I824" s="42"/>
      <c r="J824" s="42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</row>
    <row r="825">
      <c r="A825" s="29"/>
      <c r="B825" s="42"/>
      <c r="C825" s="42"/>
      <c r="D825" s="42"/>
      <c r="E825" s="42"/>
      <c r="F825" s="42"/>
      <c r="G825" s="42"/>
      <c r="H825" s="42"/>
      <c r="I825" s="42"/>
      <c r="J825" s="42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</row>
    <row r="826">
      <c r="A826" s="29"/>
      <c r="B826" s="42"/>
      <c r="C826" s="42"/>
      <c r="D826" s="42"/>
      <c r="E826" s="42"/>
      <c r="F826" s="42"/>
      <c r="G826" s="42"/>
      <c r="H826" s="42"/>
      <c r="I826" s="42"/>
      <c r="J826" s="42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</row>
    <row r="827">
      <c r="A827" s="29"/>
      <c r="B827" s="42"/>
      <c r="C827" s="42"/>
      <c r="D827" s="42"/>
      <c r="E827" s="42"/>
      <c r="F827" s="42"/>
      <c r="G827" s="42"/>
      <c r="H827" s="42"/>
      <c r="I827" s="42"/>
      <c r="J827" s="42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</row>
    <row r="828">
      <c r="A828" s="29"/>
      <c r="B828" s="42"/>
      <c r="C828" s="42"/>
      <c r="D828" s="42"/>
      <c r="E828" s="42"/>
      <c r="F828" s="42"/>
      <c r="G828" s="42"/>
      <c r="H828" s="42"/>
      <c r="I828" s="42"/>
      <c r="J828" s="42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</row>
    <row r="829">
      <c r="A829" s="29"/>
      <c r="B829" s="42"/>
      <c r="C829" s="42"/>
      <c r="D829" s="42"/>
      <c r="E829" s="42"/>
      <c r="F829" s="42"/>
      <c r="G829" s="42"/>
      <c r="H829" s="42"/>
      <c r="I829" s="42"/>
      <c r="J829" s="42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</row>
    <row r="830">
      <c r="A830" s="29"/>
      <c r="B830" s="42"/>
      <c r="C830" s="42"/>
      <c r="D830" s="42"/>
      <c r="E830" s="42"/>
      <c r="F830" s="42"/>
      <c r="G830" s="42"/>
      <c r="H830" s="42"/>
      <c r="I830" s="42"/>
      <c r="J830" s="42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</row>
    <row r="831">
      <c r="A831" s="29"/>
      <c r="B831" s="42"/>
      <c r="C831" s="42"/>
      <c r="D831" s="42"/>
      <c r="E831" s="42"/>
      <c r="F831" s="42"/>
      <c r="G831" s="42"/>
      <c r="H831" s="42"/>
      <c r="I831" s="42"/>
      <c r="J831" s="42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</row>
    <row r="832">
      <c r="A832" s="29"/>
      <c r="B832" s="42"/>
      <c r="C832" s="42"/>
      <c r="D832" s="42"/>
      <c r="E832" s="42"/>
      <c r="F832" s="42"/>
      <c r="G832" s="42"/>
      <c r="H832" s="42"/>
      <c r="I832" s="42"/>
      <c r="J832" s="42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</row>
    <row r="833">
      <c r="A833" s="29"/>
      <c r="B833" s="42"/>
      <c r="C833" s="42"/>
      <c r="D833" s="42"/>
      <c r="E833" s="42"/>
      <c r="F833" s="42"/>
      <c r="G833" s="42"/>
      <c r="H833" s="42"/>
      <c r="I833" s="42"/>
      <c r="J833" s="42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</row>
    <row r="834">
      <c r="A834" s="29"/>
      <c r="B834" s="42"/>
      <c r="C834" s="42"/>
      <c r="D834" s="42"/>
      <c r="E834" s="42"/>
      <c r="F834" s="42"/>
      <c r="G834" s="42"/>
      <c r="H834" s="42"/>
      <c r="I834" s="42"/>
      <c r="J834" s="42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</row>
    <row r="835">
      <c r="A835" s="29"/>
      <c r="B835" s="42"/>
      <c r="C835" s="42"/>
      <c r="D835" s="42"/>
      <c r="E835" s="42"/>
      <c r="F835" s="42"/>
      <c r="G835" s="42"/>
      <c r="H835" s="42"/>
      <c r="I835" s="42"/>
      <c r="J835" s="42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</row>
    <row r="836">
      <c r="A836" s="29"/>
      <c r="B836" s="42"/>
      <c r="C836" s="42"/>
      <c r="D836" s="42"/>
      <c r="E836" s="42"/>
      <c r="F836" s="42"/>
      <c r="G836" s="42"/>
      <c r="H836" s="42"/>
      <c r="I836" s="42"/>
      <c r="J836" s="42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</row>
    <row r="837">
      <c r="A837" s="29"/>
      <c r="B837" s="42"/>
      <c r="C837" s="42"/>
      <c r="D837" s="42"/>
      <c r="E837" s="42"/>
      <c r="F837" s="42"/>
      <c r="G837" s="42"/>
      <c r="H837" s="42"/>
      <c r="I837" s="42"/>
      <c r="J837" s="42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</row>
    <row r="838">
      <c r="A838" s="29"/>
      <c r="B838" s="42"/>
      <c r="C838" s="42"/>
      <c r="D838" s="42"/>
      <c r="E838" s="42"/>
      <c r="F838" s="42"/>
      <c r="G838" s="42"/>
      <c r="H838" s="42"/>
      <c r="I838" s="42"/>
      <c r="J838" s="42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</row>
    <row r="839">
      <c r="A839" s="29"/>
      <c r="B839" s="42"/>
      <c r="C839" s="42"/>
      <c r="D839" s="42"/>
      <c r="E839" s="42"/>
      <c r="F839" s="42"/>
      <c r="G839" s="42"/>
      <c r="H839" s="42"/>
      <c r="I839" s="42"/>
      <c r="J839" s="42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</row>
    <row r="840">
      <c r="A840" s="29"/>
      <c r="B840" s="42"/>
      <c r="C840" s="42"/>
      <c r="D840" s="42"/>
      <c r="E840" s="42"/>
      <c r="F840" s="42"/>
      <c r="G840" s="42"/>
      <c r="H840" s="42"/>
      <c r="I840" s="42"/>
      <c r="J840" s="42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</row>
    <row r="841">
      <c r="A841" s="29"/>
      <c r="B841" s="42"/>
      <c r="C841" s="42"/>
      <c r="D841" s="42"/>
      <c r="E841" s="42"/>
      <c r="F841" s="42"/>
      <c r="G841" s="42"/>
      <c r="H841" s="42"/>
      <c r="I841" s="42"/>
      <c r="J841" s="42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</row>
    <row r="842">
      <c r="A842" s="29"/>
      <c r="B842" s="42"/>
      <c r="C842" s="42"/>
      <c r="D842" s="42"/>
      <c r="E842" s="42"/>
      <c r="F842" s="42"/>
      <c r="G842" s="42"/>
      <c r="H842" s="42"/>
      <c r="I842" s="42"/>
      <c r="J842" s="42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</row>
    <row r="843">
      <c r="A843" s="29"/>
      <c r="B843" s="42"/>
      <c r="C843" s="42"/>
      <c r="D843" s="42"/>
      <c r="E843" s="42"/>
      <c r="F843" s="42"/>
      <c r="G843" s="42"/>
      <c r="H843" s="42"/>
      <c r="I843" s="42"/>
      <c r="J843" s="42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</row>
    <row r="844">
      <c r="A844" s="29"/>
      <c r="B844" s="42"/>
      <c r="C844" s="42"/>
      <c r="D844" s="42"/>
      <c r="E844" s="42"/>
      <c r="F844" s="42"/>
      <c r="G844" s="42"/>
      <c r="H844" s="42"/>
      <c r="I844" s="42"/>
      <c r="J844" s="42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</row>
    <row r="845">
      <c r="A845" s="29"/>
      <c r="B845" s="42"/>
      <c r="C845" s="42"/>
      <c r="D845" s="42"/>
      <c r="E845" s="42"/>
      <c r="F845" s="42"/>
      <c r="G845" s="42"/>
      <c r="H845" s="42"/>
      <c r="I845" s="42"/>
      <c r="J845" s="42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</row>
    <row r="846">
      <c r="A846" s="29"/>
      <c r="B846" s="42"/>
      <c r="C846" s="42"/>
      <c r="D846" s="42"/>
      <c r="E846" s="42"/>
      <c r="F846" s="42"/>
      <c r="G846" s="42"/>
      <c r="H846" s="42"/>
      <c r="I846" s="42"/>
      <c r="J846" s="42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</row>
    <row r="847">
      <c r="A847" s="29"/>
      <c r="B847" s="42"/>
      <c r="C847" s="42"/>
      <c r="D847" s="42"/>
      <c r="E847" s="42"/>
      <c r="F847" s="42"/>
      <c r="G847" s="42"/>
      <c r="H847" s="42"/>
      <c r="I847" s="42"/>
      <c r="J847" s="42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</row>
    <row r="848">
      <c r="A848" s="29"/>
      <c r="B848" s="42"/>
      <c r="C848" s="42"/>
      <c r="D848" s="42"/>
      <c r="E848" s="42"/>
      <c r="F848" s="42"/>
      <c r="G848" s="42"/>
      <c r="H848" s="42"/>
      <c r="I848" s="42"/>
      <c r="J848" s="42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</row>
    <row r="849">
      <c r="A849" s="29"/>
      <c r="B849" s="42"/>
      <c r="C849" s="42"/>
      <c r="D849" s="42"/>
      <c r="E849" s="42"/>
      <c r="F849" s="42"/>
      <c r="G849" s="42"/>
      <c r="H849" s="42"/>
      <c r="I849" s="42"/>
      <c r="J849" s="42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</row>
    <row r="850">
      <c r="A850" s="29"/>
      <c r="B850" s="42"/>
      <c r="C850" s="42"/>
      <c r="D850" s="42"/>
      <c r="E850" s="42"/>
      <c r="F850" s="42"/>
      <c r="G850" s="42"/>
      <c r="H850" s="42"/>
      <c r="I850" s="42"/>
      <c r="J850" s="42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</row>
    <row r="851">
      <c r="A851" s="29"/>
      <c r="B851" s="42"/>
      <c r="C851" s="42"/>
      <c r="D851" s="42"/>
      <c r="E851" s="42"/>
      <c r="F851" s="42"/>
      <c r="G851" s="42"/>
      <c r="H851" s="42"/>
      <c r="I851" s="42"/>
      <c r="J851" s="42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</row>
    <row r="852">
      <c r="A852" s="29"/>
      <c r="B852" s="42"/>
      <c r="C852" s="42"/>
      <c r="D852" s="42"/>
      <c r="E852" s="42"/>
      <c r="F852" s="42"/>
      <c r="G852" s="42"/>
      <c r="H852" s="42"/>
      <c r="I852" s="42"/>
      <c r="J852" s="42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</row>
    <row r="853">
      <c r="A853" s="29"/>
      <c r="B853" s="42"/>
      <c r="C853" s="42"/>
      <c r="D853" s="42"/>
      <c r="E853" s="42"/>
      <c r="F853" s="42"/>
      <c r="G853" s="42"/>
      <c r="H853" s="42"/>
      <c r="I853" s="42"/>
      <c r="J853" s="42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</row>
    <row r="854">
      <c r="A854" s="29"/>
      <c r="B854" s="42"/>
      <c r="C854" s="42"/>
      <c r="D854" s="42"/>
      <c r="E854" s="42"/>
      <c r="F854" s="42"/>
      <c r="G854" s="42"/>
      <c r="H854" s="42"/>
      <c r="I854" s="42"/>
      <c r="J854" s="42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</row>
    <row r="855">
      <c r="A855" s="29"/>
      <c r="B855" s="42"/>
      <c r="C855" s="42"/>
      <c r="D855" s="42"/>
      <c r="E855" s="42"/>
      <c r="F855" s="42"/>
      <c r="G855" s="42"/>
      <c r="H855" s="42"/>
      <c r="I855" s="42"/>
      <c r="J855" s="42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</row>
    <row r="856">
      <c r="A856" s="29"/>
      <c r="B856" s="42"/>
      <c r="C856" s="42"/>
      <c r="D856" s="42"/>
      <c r="E856" s="42"/>
      <c r="F856" s="42"/>
      <c r="G856" s="42"/>
      <c r="H856" s="42"/>
      <c r="I856" s="42"/>
      <c r="J856" s="42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</row>
    <row r="857">
      <c r="A857" s="29"/>
      <c r="B857" s="42"/>
      <c r="C857" s="42"/>
      <c r="D857" s="42"/>
      <c r="E857" s="42"/>
      <c r="F857" s="42"/>
      <c r="G857" s="42"/>
      <c r="H857" s="42"/>
      <c r="I857" s="42"/>
      <c r="J857" s="42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</row>
    <row r="858">
      <c r="A858" s="29"/>
      <c r="B858" s="42"/>
      <c r="C858" s="42"/>
      <c r="D858" s="42"/>
      <c r="E858" s="42"/>
      <c r="F858" s="42"/>
      <c r="G858" s="42"/>
      <c r="H858" s="42"/>
      <c r="I858" s="42"/>
      <c r="J858" s="42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</row>
    <row r="859">
      <c r="A859" s="29"/>
      <c r="B859" s="42"/>
      <c r="C859" s="42"/>
      <c r="D859" s="42"/>
      <c r="E859" s="42"/>
      <c r="F859" s="42"/>
      <c r="G859" s="42"/>
      <c r="H859" s="42"/>
      <c r="I859" s="42"/>
      <c r="J859" s="42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</row>
    <row r="860">
      <c r="A860" s="29"/>
      <c r="B860" s="42"/>
      <c r="C860" s="42"/>
      <c r="D860" s="42"/>
      <c r="E860" s="42"/>
      <c r="F860" s="42"/>
      <c r="G860" s="42"/>
      <c r="H860" s="42"/>
      <c r="I860" s="42"/>
      <c r="J860" s="42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</row>
    <row r="861">
      <c r="A861" s="29"/>
      <c r="B861" s="42"/>
      <c r="C861" s="42"/>
      <c r="D861" s="42"/>
      <c r="E861" s="42"/>
      <c r="F861" s="42"/>
      <c r="G861" s="42"/>
      <c r="H861" s="42"/>
      <c r="I861" s="42"/>
      <c r="J861" s="42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</row>
    <row r="862">
      <c r="A862" s="29"/>
      <c r="B862" s="42"/>
      <c r="C862" s="42"/>
      <c r="D862" s="42"/>
      <c r="E862" s="42"/>
      <c r="F862" s="42"/>
      <c r="G862" s="42"/>
      <c r="H862" s="42"/>
      <c r="I862" s="42"/>
      <c r="J862" s="42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</row>
    <row r="863">
      <c r="A863" s="29"/>
      <c r="B863" s="42"/>
      <c r="C863" s="42"/>
      <c r="D863" s="42"/>
      <c r="E863" s="42"/>
      <c r="F863" s="42"/>
      <c r="G863" s="42"/>
      <c r="H863" s="42"/>
      <c r="I863" s="42"/>
      <c r="J863" s="42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</row>
    <row r="864">
      <c r="A864" s="29"/>
      <c r="B864" s="42"/>
      <c r="C864" s="42"/>
      <c r="D864" s="42"/>
      <c r="E864" s="42"/>
      <c r="F864" s="42"/>
      <c r="G864" s="42"/>
      <c r="H864" s="42"/>
      <c r="I864" s="42"/>
      <c r="J864" s="42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</row>
    <row r="865">
      <c r="A865" s="29"/>
      <c r="B865" s="42"/>
      <c r="C865" s="42"/>
      <c r="D865" s="42"/>
      <c r="E865" s="42"/>
      <c r="F865" s="42"/>
      <c r="G865" s="42"/>
      <c r="H865" s="42"/>
      <c r="I865" s="42"/>
      <c r="J865" s="42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</row>
    <row r="866">
      <c r="A866" s="29"/>
      <c r="B866" s="42"/>
      <c r="C866" s="42"/>
      <c r="D866" s="42"/>
      <c r="E866" s="42"/>
      <c r="F866" s="42"/>
      <c r="G866" s="42"/>
      <c r="H866" s="42"/>
      <c r="I866" s="42"/>
      <c r="J866" s="42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</row>
    <row r="867">
      <c r="A867" s="29"/>
      <c r="B867" s="42"/>
      <c r="C867" s="42"/>
      <c r="D867" s="42"/>
      <c r="E867" s="42"/>
      <c r="F867" s="42"/>
      <c r="G867" s="42"/>
      <c r="H867" s="42"/>
      <c r="I867" s="42"/>
      <c r="J867" s="42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</row>
    <row r="868">
      <c r="A868" s="29"/>
      <c r="B868" s="42"/>
      <c r="C868" s="42"/>
      <c r="D868" s="42"/>
      <c r="E868" s="42"/>
      <c r="F868" s="42"/>
      <c r="G868" s="42"/>
      <c r="H868" s="42"/>
      <c r="I868" s="42"/>
      <c r="J868" s="42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</row>
    <row r="869">
      <c r="A869" s="29"/>
      <c r="B869" s="42"/>
      <c r="C869" s="42"/>
      <c r="D869" s="42"/>
      <c r="E869" s="42"/>
      <c r="F869" s="42"/>
      <c r="G869" s="42"/>
      <c r="H869" s="42"/>
      <c r="I869" s="42"/>
      <c r="J869" s="42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</row>
    <row r="870">
      <c r="A870" s="29"/>
      <c r="B870" s="42"/>
      <c r="C870" s="42"/>
      <c r="D870" s="42"/>
      <c r="E870" s="42"/>
      <c r="F870" s="42"/>
      <c r="G870" s="42"/>
      <c r="H870" s="42"/>
      <c r="I870" s="42"/>
      <c r="J870" s="42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</row>
    <row r="871">
      <c r="A871" s="29"/>
      <c r="B871" s="42"/>
      <c r="C871" s="42"/>
      <c r="D871" s="42"/>
      <c r="E871" s="42"/>
      <c r="F871" s="42"/>
      <c r="G871" s="42"/>
      <c r="H871" s="42"/>
      <c r="I871" s="42"/>
      <c r="J871" s="42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</row>
    <row r="872">
      <c r="A872" s="29"/>
      <c r="B872" s="42"/>
      <c r="C872" s="42"/>
      <c r="D872" s="42"/>
      <c r="E872" s="42"/>
      <c r="F872" s="42"/>
      <c r="G872" s="42"/>
      <c r="H872" s="42"/>
      <c r="I872" s="42"/>
      <c r="J872" s="42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</row>
    <row r="873">
      <c r="A873" s="29"/>
      <c r="B873" s="42"/>
      <c r="C873" s="42"/>
      <c r="D873" s="42"/>
      <c r="E873" s="42"/>
      <c r="F873" s="42"/>
      <c r="G873" s="42"/>
      <c r="H873" s="42"/>
      <c r="I873" s="42"/>
      <c r="J873" s="42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</row>
    <row r="874">
      <c r="A874" s="29"/>
      <c r="B874" s="42"/>
      <c r="C874" s="42"/>
      <c r="D874" s="42"/>
      <c r="E874" s="42"/>
      <c r="F874" s="42"/>
      <c r="G874" s="42"/>
      <c r="H874" s="42"/>
      <c r="I874" s="42"/>
      <c r="J874" s="42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</row>
    <row r="875">
      <c r="A875" s="29"/>
      <c r="B875" s="42"/>
      <c r="C875" s="42"/>
      <c r="D875" s="42"/>
      <c r="E875" s="42"/>
      <c r="F875" s="42"/>
      <c r="G875" s="42"/>
      <c r="H875" s="42"/>
      <c r="I875" s="42"/>
      <c r="J875" s="42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</row>
    <row r="876">
      <c r="A876" s="29"/>
      <c r="B876" s="42"/>
      <c r="C876" s="42"/>
      <c r="D876" s="42"/>
      <c r="E876" s="42"/>
      <c r="F876" s="42"/>
      <c r="G876" s="42"/>
      <c r="H876" s="42"/>
      <c r="I876" s="42"/>
      <c r="J876" s="42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</row>
    <row r="877">
      <c r="A877" s="29"/>
      <c r="B877" s="42"/>
      <c r="C877" s="42"/>
      <c r="D877" s="42"/>
      <c r="E877" s="42"/>
      <c r="F877" s="42"/>
      <c r="G877" s="42"/>
      <c r="H877" s="42"/>
      <c r="I877" s="42"/>
      <c r="J877" s="42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</row>
    <row r="878">
      <c r="A878" s="29"/>
      <c r="B878" s="42"/>
      <c r="C878" s="42"/>
      <c r="D878" s="42"/>
      <c r="E878" s="42"/>
      <c r="F878" s="42"/>
      <c r="G878" s="42"/>
      <c r="H878" s="42"/>
      <c r="I878" s="42"/>
      <c r="J878" s="42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</row>
    <row r="879">
      <c r="A879" s="29"/>
      <c r="B879" s="42"/>
      <c r="C879" s="42"/>
      <c r="D879" s="42"/>
      <c r="E879" s="42"/>
      <c r="F879" s="42"/>
      <c r="G879" s="42"/>
      <c r="H879" s="42"/>
      <c r="I879" s="42"/>
      <c r="J879" s="42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</row>
    <row r="880">
      <c r="A880" s="29"/>
      <c r="B880" s="42"/>
      <c r="C880" s="42"/>
      <c r="D880" s="42"/>
      <c r="E880" s="42"/>
      <c r="F880" s="42"/>
      <c r="G880" s="42"/>
      <c r="H880" s="42"/>
      <c r="I880" s="42"/>
      <c r="J880" s="42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</row>
    <row r="881">
      <c r="A881" s="29"/>
      <c r="B881" s="42"/>
      <c r="C881" s="42"/>
      <c r="D881" s="42"/>
      <c r="E881" s="42"/>
      <c r="F881" s="42"/>
      <c r="G881" s="42"/>
      <c r="H881" s="42"/>
      <c r="I881" s="42"/>
      <c r="J881" s="42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</row>
    <row r="882">
      <c r="A882" s="29"/>
      <c r="B882" s="42"/>
      <c r="C882" s="42"/>
      <c r="D882" s="42"/>
      <c r="E882" s="42"/>
      <c r="F882" s="42"/>
      <c r="G882" s="42"/>
      <c r="H882" s="42"/>
      <c r="I882" s="42"/>
      <c r="J882" s="42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</row>
    <row r="883">
      <c r="A883" s="29"/>
      <c r="B883" s="42"/>
      <c r="C883" s="42"/>
      <c r="D883" s="42"/>
      <c r="E883" s="42"/>
      <c r="F883" s="42"/>
      <c r="G883" s="42"/>
      <c r="H883" s="42"/>
      <c r="I883" s="42"/>
      <c r="J883" s="42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</row>
    <row r="884">
      <c r="A884" s="29"/>
      <c r="B884" s="42"/>
      <c r="C884" s="42"/>
      <c r="D884" s="42"/>
      <c r="E884" s="42"/>
      <c r="F884" s="42"/>
      <c r="G884" s="42"/>
      <c r="H884" s="42"/>
      <c r="I884" s="42"/>
      <c r="J884" s="42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</row>
    <row r="885">
      <c r="A885" s="29"/>
      <c r="B885" s="42"/>
      <c r="C885" s="42"/>
      <c r="D885" s="42"/>
      <c r="E885" s="42"/>
      <c r="F885" s="42"/>
      <c r="G885" s="42"/>
      <c r="H885" s="42"/>
      <c r="I885" s="42"/>
      <c r="J885" s="42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</row>
    <row r="886">
      <c r="A886" s="29"/>
      <c r="B886" s="42"/>
      <c r="C886" s="42"/>
      <c r="D886" s="42"/>
      <c r="E886" s="42"/>
      <c r="F886" s="42"/>
      <c r="G886" s="42"/>
      <c r="H886" s="42"/>
      <c r="I886" s="42"/>
      <c r="J886" s="42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</row>
    <row r="887">
      <c r="A887" s="29"/>
      <c r="B887" s="42"/>
      <c r="C887" s="42"/>
      <c r="D887" s="42"/>
      <c r="E887" s="42"/>
      <c r="F887" s="42"/>
      <c r="G887" s="42"/>
      <c r="H887" s="42"/>
      <c r="I887" s="42"/>
      <c r="J887" s="42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</row>
    <row r="888">
      <c r="A888" s="29"/>
      <c r="B888" s="42"/>
      <c r="C888" s="42"/>
      <c r="D888" s="42"/>
      <c r="E888" s="42"/>
      <c r="F888" s="42"/>
      <c r="G888" s="42"/>
      <c r="H888" s="42"/>
      <c r="I888" s="42"/>
      <c r="J888" s="42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</row>
    <row r="889">
      <c r="A889" s="29"/>
      <c r="B889" s="42"/>
      <c r="C889" s="42"/>
      <c r="D889" s="42"/>
      <c r="E889" s="42"/>
      <c r="F889" s="42"/>
      <c r="G889" s="42"/>
      <c r="H889" s="42"/>
      <c r="I889" s="42"/>
      <c r="J889" s="42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</row>
    <row r="890">
      <c r="A890" s="29"/>
      <c r="B890" s="42"/>
      <c r="C890" s="42"/>
      <c r="D890" s="42"/>
      <c r="E890" s="42"/>
      <c r="F890" s="42"/>
      <c r="G890" s="42"/>
      <c r="H890" s="42"/>
      <c r="I890" s="42"/>
      <c r="J890" s="42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</row>
    <row r="891">
      <c r="A891" s="29"/>
      <c r="B891" s="42"/>
      <c r="C891" s="42"/>
      <c r="D891" s="42"/>
      <c r="E891" s="42"/>
      <c r="F891" s="42"/>
      <c r="G891" s="42"/>
      <c r="H891" s="42"/>
      <c r="I891" s="42"/>
      <c r="J891" s="42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</row>
    <row r="892">
      <c r="A892" s="29"/>
      <c r="B892" s="42"/>
      <c r="C892" s="42"/>
      <c r="D892" s="42"/>
      <c r="E892" s="42"/>
      <c r="F892" s="42"/>
      <c r="G892" s="42"/>
      <c r="H892" s="42"/>
      <c r="I892" s="42"/>
      <c r="J892" s="42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</row>
    <row r="893">
      <c r="A893" s="29"/>
      <c r="B893" s="42"/>
      <c r="C893" s="42"/>
      <c r="D893" s="42"/>
      <c r="E893" s="42"/>
      <c r="F893" s="42"/>
      <c r="G893" s="42"/>
      <c r="H893" s="42"/>
      <c r="I893" s="42"/>
      <c r="J893" s="42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</row>
    <row r="894">
      <c r="A894" s="29"/>
      <c r="B894" s="42"/>
      <c r="C894" s="42"/>
      <c r="D894" s="42"/>
      <c r="E894" s="42"/>
      <c r="F894" s="42"/>
      <c r="G894" s="42"/>
      <c r="H894" s="42"/>
      <c r="I894" s="42"/>
      <c r="J894" s="42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</row>
    <row r="895">
      <c r="A895" s="29"/>
      <c r="B895" s="42"/>
      <c r="C895" s="42"/>
      <c r="D895" s="42"/>
      <c r="E895" s="42"/>
      <c r="F895" s="42"/>
      <c r="G895" s="42"/>
      <c r="H895" s="42"/>
      <c r="I895" s="42"/>
      <c r="J895" s="42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</row>
    <row r="896">
      <c r="A896" s="29"/>
      <c r="B896" s="42"/>
      <c r="C896" s="42"/>
      <c r="D896" s="42"/>
      <c r="E896" s="42"/>
      <c r="F896" s="42"/>
      <c r="G896" s="42"/>
      <c r="H896" s="42"/>
      <c r="I896" s="42"/>
      <c r="J896" s="42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</row>
    <row r="897">
      <c r="A897" s="29"/>
      <c r="B897" s="42"/>
      <c r="C897" s="42"/>
      <c r="D897" s="42"/>
      <c r="E897" s="42"/>
      <c r="F897" s="42"/>
      <c r="G897" s="42"/>
      <c r="H897" s="42"/>
      <c r="I897" s="42"/>
      <c r="J897" s="42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</row>
    <row r="898">
      <c r="A898" s="29"/>
      <c r="B898" s="42"/>
      <c r="C898" s="42"/>
      <c r="D898" s="42"/>
      <c r="E898" s="42"/>
      <c r="F898" s="42"/>
      <c r="G898" s="42"/>
      <c r="H898" s="42"/>
      <c r="I898" s="42"/>
      <c r="J898" s="42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</row>
    <row r="899">
      <c r="A899" s="29"/>
      <c r="B899" s="42"/>
      <c r="C899" s="42"/>
      <c r="D899" s="42"/>
      <c r="E899" s="42"/>
      <c r="F899" s="42"/>
      <c r="G899" s="42"/>
      <c r="H899" s="42"/>
      <c r="I899" s="42"/>
      <c r="J899" s="42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</row>
    <row r="900">
      <c r="A900" s="29"/>
      <c r="B900" s="42"/>
      <c r="C900" s="42"/>
      <c r="D900" s="42"/>
      <c r="E900" s="42"/>
      <c r="F900" s="42"/>
      <c r="G900" s="42"/>
      <c r="H900" s="42"/>
      <c r="I900" s="42"/>
      <c r="J900" s="42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</row>
    <row r="901">
      <c r="A901" s="29"/>
      <c r="B901" s="42"/>
      <c r="C901" s="42"/>
      <c r="D901" s="42"/>
      <c r="E901" s="42"/>
      <c r="F901" s="42"/>
      <c r="G901" s="42"/>
      <c r="H901" s="42"/>
      <c r="I901" s="42"/>
      <c r="J901" s="42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</row>
    <row r="902">
      <c r="A902" s="29"/>
      <c r="B902" s="42"/>
      <c r="C902" s="42"/>
      <c r="D902" s="42"/>
      <c r="E902" s="42"/>
      <c r="F902" s="42"/>
      <c r="G902" s="42"/>
      <c r="H902" s="42"/>
      <c r="I902" s="42"/>
      <c r="J902" s="42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</row>
    <row r="903">
      <c r="A903" s="29"/>
      <c r="B903" s="42"/>
      <c r="C903" s="42"/>
      <c r="D903" s="42"/>
      <c r="E903" s="42"/>
      <c r="F903" s="42"/>
      <c r="G903" s="42"/>
      <c r="H903" s="42"/>
      <c r="I903" s="42"/>
      <c r="J903" s="42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</row>
    <row r="904">
      <c r="A904" s="29"/>
      <c r="B904" s="42"/>
      <c r="C904" s="42"/>
      <c r="D904" s="42"/>
      <c r="E904" s="42"/>
      <c r="F904" s="42"/>
      <c r="G904" s="42"/>
      <c r="H904" s="42"/>
      <c r="I904" s="42"/>
      <c r="J904" s="42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</row>
    <row r="905">
      <c r="A905" s="29"/>
      <c r="B905" s="42"/>
      <c r="C905" s="42"/>
      <c r="D905" s="42"/>
      <c r="E905" s="42"/>
      <c r="F905" s="42"/>
      <c r="G905" s="42"/>
      <c r="H905" s="42"/>
      <c r="I905" s="42"/>
      <c r="J905" s="42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</row>
    <row r="906">
      <c r="A906" s="29"/>
      <c r="B906" s="42"/>
      <c r="C906" s="42"/>
      <c r="D906" s="42"/>
      <c r="E906" s="42"/>
      <c r="F906" s="42"/>
      <c r="G906" s="42"/>
      <c r="H906" s="42"/>
      <c r="I906" s="42"/>
      <c r="J906" s="42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</row>
    <row r="907">
      <c r="A907" s="29"/>
      <c r="B907" s="42"/>
      <c r="C907" s="42"/>
      <c r="D907" s="42"/>
      <c r="E907" s="42"/>
      <c r="F907" s="42"/>
      <c r="G907" s="42"/>
      <c r="H907" s="42"/>
      <c r="I907" s="42"/>
      <c r="J907" s="42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</row>
    <row r="908">
      <c r="A908" s="29"/>
      <c r="B908" s="42"/>
      <c r="C908" s="42"/>
      <c r="D908" s="42"/>
      <c r="E908" s="42"/>
      <c r="F908" s="42"/>
      <c r="G908" s="42"/>
      <c r="H908" s="42"/>
      <c r="I908" s="42"/>
      <c r="J908" s="42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</row>
    <row r="909">
      <c r="A909" s="29"/>
      <c r="B909" s="42"/>
      <c r="C909" s="42"/>
      <c r="D909" s="42"/>
      <c r="E909" s="42"/>
      <c r="F909" s="42"/>
      <c r="G909" s="42"/>
      <c r="H909" s="42"/>
      <c r="I909" s="42"/>
      <c r="J909" s="42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</row>
    <row r="910">
      <c r="A910" s="29"/>
      <c r="B910" s="42"/>
      <c r="C910" s="42"/>
      <c r="D910" s="42"/>
      <c r="E910" s="42"/>
      <c r="F910" s="42"/>
      <c r="G910" s="42"/>
      <c r="H910" s="42"/>
      <c r="I910" s="42"/>
      <c r="J910" s="42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</row>
    <row r="911">
      <c r="A911" s="29"/>
      <c r="B911" s="42"/>
      <c r="C911" s="42"/>
      <c r="D911" s="42"/>
      <c r="E911" s="42"/>
      <c r="F911" s="42"/>
      <c r="G911" s="42"/>
      <c r="H911" s="42"/>
      <c r="I911" s="42"/>
      <c r="J911" s="42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</row>
    <row r="912">
      <c r="A912" s="29"/>
      <c r="B912" s="42"/>
      <c r="C912" s="42"/>
      <c r="D912" s="42"/>
      <c r="E912" s="42"/>
      <c r="F912" s="42"/>
      <c r="G912" s="42"/>
      <c r="H912" s="42"/>
      <c r="I912" s="42"/>
      <c r="J912" s="42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</row>
    <row r="913">
      <c r="A913" s="29"/>
      <c r="B913" s="42"/>
      <c r="C913" s="42"/>
      <c r="D913" s="42"/>
      <c r="E913" s="42"/>
      <c r="F913" s="42"/>
      <c r="G913" s="42"/>
      <c r="H913" s="42"/>
      <c r="I913" s="42"/>
      <c r="J913" s="42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</row>
    <row r="914">
      <c r="A914" s="29"/>
      <c r="B914" s="42"/>
      <c r="C914" s="42"/>
      <c r="D914" s="42"/>
      <c r="E914" s="42"/>
      <c r="F914" s="42"/>
      <c r="G914" s="42"/>
      <c r="H914" s="42"/>
      <c r="I914" s="42"/>
      <c r="J914" s="42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</row>
    <row r="915">
      <c r="A915" s="29"/>
      <c r="B915" s="42"/>
      <c r="C915" s="42"/>
      <c r="D915" s="42"/>
      <c r="E915" s="42"/>
      <c r="F915" s="42"/>
      <c r="G915" s="42"/>
      <c r="H915" s="42"/>
      <c r="I915" s="42"/>
      <c r="J915" s="42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</row>
    <row r="916">
      <c r="A916" s="29"/>
      <c r="B916" s="42"/>
      <c r="C916" s="42"/>
      <c r="D916" s="42"/>
      <c r="E916" s="42"/>
      <c r="F916" s="42"/>
      <c r="G916" s="42"/>
      <c r="H916" s="42"/>
      <c r="I916" s="42"/>
      <c r="J916" s="42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</row>
    <row r="917">
      <c r="A917" s="29"/>
      <c r="B917" s="42"/>
      <c r="C917" s="42"/>
      <c r="D917" s="42"/>
      <c r="E917" s="42"/>
      <c r="F917" s="42"/>
      <c r="G917" s="42"/>
      <c r="H917" s="42"/>
      <c r="I917" s="42"/>
      <c r="J917" s="42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</row>
    <row r="918">
      <c r="A918" s="29"/>
      <c r="B918" s="42"/>
      <c r="C918" s="42"/>
      <c r="D918" s="42"/>
      <c r="E918" s="42"/>
      <c r="F918" s="42"/>
      <c r="G918" s="42"/>
      <c r="H918" s="42"/>
      <c r="I918" s="42"/>
      <c r="J918" s="42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</row>
    <row r="919">
      <c r="A919" s="29"/>
      <c r="B919" s="42"/>
      <c r="C919" s="42"/>
      <c r="D919" s="42"/>
      <c r="E919" s="42"/>
      <c r="F919" s="42"/>
      <c r="G919" s="42"/>
      <c r="H919" s="42"/>
      <c r="I919" s="42"/>
      <c r="J919" s="42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</row>
    <row r="920">
      <c r="A920" s="29"/>
      <c r="B920" s="42"/>
      <c r="C920" s="42"/>
      <c r="D920" s="42"/>
      <c r="E920" s="42"/>
      <c r="F920" s="42"/>
      <c r="G920" s="42"/>
      <c r="H920" s="42"/>
      <c r="I920" s="42"/>
      <c r="J920" s="42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</row>
    <row r="921">
      <c r="A921" s="29"/>
      <c r="B921" s="42"/>
      <c r="C921" s="42"/>
      <c r="D921" s="42"/>
      <c r="E921" s="42"/>
      <c r="F921" s="42"/>
      <c r="G921" s="42"/>
      <c r="H921" s="42"/>
      <c r="I921" s="42"/>
      <c r="J921" s="42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</row>
    <row r="922">
      <c r="A922" s="29"/>
      <c r="B922" s="42"/>
      <c r="C922" s="42"/>
      <c r="D922" s="42"/>
      <c r="E922" s="42"/>
      <c r="F922" s="42"/>
      <c r="G922" s="42"/>
      <c r="H922" s="42"/>
      <c r="I922" s="42"/>
      <c r="J922" s="42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</row>
    <row r="923">
      <c r="A923" s="29"/>
      <c r="B923" s="42"/>
      <c r="C923" s="42"/>
      <c r="D923" s="42"/>
      <c r="E923" s="42"/>
      <c r="F923" s="42"/>
      <c r="G923" s="42"/>
      <c r="H923" s="42"/>
      <c r="I923" s="42"/>
      <c r="J923" s="42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</row>
    <row r="924">
      <c r="A924" s="29"/>
      <c r="B924" s="42"/>
      <c r="C924" s="42"/>
      <c r="D924" s="42"/>
      <c r="E924" s="42"/>
      <c r="F924" s="42"/>
      <c r="G924" s="42"/>
      <c r="H924" s="42"/>
      <c r="I924" s="42"/>
      <c r="J924" s="42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</row>
    <row r="925">
      <c r="A925" s="29"/>
      <c r="B925" s="42"/>
      <c r="C925" s="42"/>
      <c r="D925" s="42"/>
      <c r="E925" s="42"/>
      <c r="F925" s="42"/>
      <c r="G925" s="42"/>
      <c r="H925" s="42"/>
      <c r="I925" s="42"/>
      <c r="J925" s="42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</row>
    <row r="926">
      <c r="A926" s="29"/>
      <c r="B926" s="42"/>
      <c r="C926" s="42"/>
      <c r="D926" s="42"/>
      <c r="E926" s="42"/>
      <c r="F926" s="42"/>
      <c r="G926" s="42"/>
      <c r="H926" s="42"/>
      <c r="I926" s="42"/>
      <c r="J926" s="42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</row>
    <row r="927">
      <c r="A927" s="29"/>
      <c r="B927" s="42"/>
      <c r="C927" s="42"/>
      <c r="D927" s="42"/>
      <c r="E927" s="42"/>
      <c r="F927" s="42"/>
      <c r="G927" s="42"/>
      <c r="H927" s="42"/>
      <c r="I927" s="42"/>
      <c r="J927" s="42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</row>
    <row r="928">
      <c r="A928" s="29"/>
      <c r="B928" s="42"/>
      <c r="C928" s="42"/>
      <c r="D928" s="42"/>
      <c r="E928" s="42"/>
      <c r="F928" s="42"/>
      <c r="G928" s="42"/>
      <c r="H928" s="42"/>
      <c r="I928" s="42"/>
      <c r="J928" s="42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</row>
    <row r="929">
      <c r="A929" s="29"/>
      <c r="B929" s="42"/>
      <c r="C929" s="42"/>
      <c r="D929" s="42"/>
      <c r="E929" s="42"/>
      <c r="F929" s="42"/>
      <c r="G929" s="42"/>
      <c r="H929" s="42"/>
      <c r="I929" s="42"/>
      <c r="J929" s="42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</row>
    <row r="930">
      <c r="A930" s="29"/>
      <c r="B930" s="42"/>
      <c r="C930" s="42"/>
      <c r="D930" s="42"/>
      <c r="E930" s="42"/>
      <c r="F930" s="42"/>
      <c r="G930" s="42"/>
      <c r="H930" s="42"/>
      <c r="I930" s="42"/>
      <c r="J930" s="42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</row>
    <row r="931">
      <c r="A931" s="29"/>
      <c r="B931" s="42"/>
      <c r="C931" s="42"/>
      <c r="D931" s="42"/>
      <c r="E931" s="42"/>
      <c r="F931" s="42"/>
      <c r="G931" s="42"/>
      <c r="H931" s="42"/>
      <c r="I931" s="42"/>
      <c r="J931" s="42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</row>
    <row r="932">
      <c r="A932" s="29"/>
      <c r="B932" s="42"/>
      <c r="C932" s="42"/>
      <c r="D932" s="42"/>
      <c r="E932" s="42"/>
      <c r="F932" s="42"/>
      <c r="G932" s="42"/>
      <c r="H932" s="42"/>
      <c r="I932" s="42"/>
      <c r="J932" s="42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</row>
    <row r="933">
      <c r="A933" s="29"/>
      <c r="B933" s="42"/>
      <c r="C933" s="42"/>
      <c r="D933" s="42"/>
      <c r="E933" s="42"/>
      <c r="F933" s="42"/>
      <c r="G933" s="42"/>
      <c r="H933" s="42"/>
      <c r="I933" s="42"/>
      <c r="J933" s="42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</row>
    <row r="934">
      <c r="A934" s="29"/>
      <c r="B934" s="42"/>
      <c r="C934" s="42"/>
      <c r="D934" s="42"/>
      <c r="E934" s="42"/>
      <c r="F934" s="42"/>
      <c r="G934" s="42"/>
      <c r="H934" s="42"/>
      <c r="I934" s="42"/>
      <c r="J934" s="42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</row>
    <row r="935">
      <c r="A935" s="29"/>
      <c r="B935" s="42"/>
      <c r="C935" s="42"/>
      <c r="D935" s="42"/>
      <c r="E935" s="42"/>
      <c r="F935" s="42"/>
      <c r="G935" s="42"/>
      <c r="H935" s="42"/>
      <c r="I935" s="42"/>
      <c r="J935" s="42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</row>
    <row r="936">
      <c r="A936" s="29"/>
      <c r="B936" s="42"/>
      <c r="C936" s="42"/>
      <c r="D936" s="42"/>
      <c r="E936" s="42"/>
      <c r="F936" s="42"/>
      <c r="G936" s="42"/>
      <c r="H936" s="42"/>
      <c r="I936" s="42"/>
      <c r="J936" s="42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</row>
    <row r="937">
      <c r="A937" s="29"/>
      <c r="B937" s="42"/>
      <c r="C937" s="42"/>
      <c r="D937" s="42"/>
      <c r="E937" s="42"/>
      <c r="F937" s="42"/>
      <c r="G937" s="42"/>
      <c r="H937" s="42"/>
      <c r="I937" s="42"/>
      <c r="J937" s="42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</row>
    <row r="938">
      <c r="A938" s="29"/>
      <c r="B938" s="42"/>
      <c r="C938" s="42"/>
      <c r="D938" s="42"/>
      <c r="E938" s="42"/>
      <c r="F938" s="42"/>
      <c r="G938" s="42"/>
      <c r="H938" s="42"/>
      <c r="I938" s="42"/>
      <c r="J938" s="42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</row>
    <row r="939">
      <c r="A939" s="29"/>
      <c r="B939" s="42"/>
      <c r="C939" s="42"/>
      <c r="D939" s="42"/>
      <c r="E939" s="42"/>
      <c r="F939" s="42"/>
      <c r="G939" s="42"/>
      <c r="H939" s="42"/>
      <c r="I939" s="42"/>
      <c r="J939" s="42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</row>
    <row r="940">
      <c r="A940" s="29"/>
      <c r="B940" s="42"/>
      <c r="C940" s="42"/>
      <c r="D940" s="42"/>
      <c r="E940" s="42"/>
      <c r="F940" s="42"/>
      <c r="G940" s="42"/>
      <c r="H940" s="42"/>
      <c r="I940" s="42"/>
      <c r="J940" s="42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</row>
    <row r="941">
      <c r="A941" s="29"/>
      <c r="B941" s="42"/>
      <c r="C941" s="42"/>
      <c r="D941" s="42"/>
      <c r="E941" s="42"/>
      <c r="F941" s="42"/>
      <c r="G941" s="42"/>
      <c r="H941" s="42"/>
      <c r="I941" s="42"/>
      <c r="J941" s="42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</row>
    <row r="942">
      <c r="A942" s="29"/>
      <c r="B942" s="42"/>
      <c r="C942" s="42"/>
      <c r="D942" s="42"/>
      <c r="E942" s="42"/>
      <c r="F942" s="42"/>
      <c r="G942" s="42"/>
      <c r="H942" s="42"/>
      <c r="I942" s="42"/>
      <c r="J942" s="42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</row>
    <row r="943">
      <c r="A943" s="29"/>
      <c r="B943" s="42"/>
      <c r="C943" s="42"/>
      <c r="D943" s="42"/>
      <c r="E943" s="42"/>
      <c r="F943" s="42"/>
      <c r="G943" s="42"/>
      <c r="H943" s="42"/>
      <c r="I943" s="42"/>
      <c r="J943" s="42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</row>
    <row r="944">
      <c r="A944" s="29"/>
      <c r="B944" s="42"/>
      <c r="C944" s="42"/>
      <c r="D944" s="42"/>
      <c r="E944" s="42"/>
      <c r="F944" s="42"/>
      <c r="G944" s="42"/>
      <c r="H944" s="42"/>
      <c r="I944" s="42"/>
      <c r="J944" s="42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</row>
    <row r="945">
      <c r="A945" s="29"/>
      <c r="B945" s="42"/>
      <c r="C945" s="42"/>
      <c r="D945" s="42"/>
      <c r="E945" s="42"/>
      <c r="F945" s="42"/>
      <c r="G945" s="42"/>
      <c r="H945" s="42"/>
      <c r="I945" s="42"/>
      <c r="J945" s="42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</row>
    <row r="946">
      <c r="A946" s="29"/>
      <c r="B946" s="42"/>
      <c r="C946" s="42"/>
      <c r="D946" s="42"/>
      <c r="E946" s="42"/>
      <c r="F946" s="42"/>
      <c r="G946" s="42"/>
      <c r="H946" s="42"/>
      <c r="I946" s="42"/>
      <c r="J946" s="42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</row>
    <row r="947">
      <c r="A947" s="29"/>
      <c r="B947" s="42"/>
      <c r="C947" s="42"/>
      <c r="D947" s="42"/>
      <c r="E947" s="42"/>
      <c r="F947" s="42"/>
      <c r="G947" s="42"/>
      <c r="H947" s="42"/>
      <c r="I947" s="42"/>
      <c r="J947" s="42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</row>
    <row r="948">
      <c r="A948" s="29"/>
      <c r="B948" s="42"/>
      <c r="C948" s="42"/>
      <c r="D948" s="42"/>
      <c r="E948" s="42"/>
      <c r="F948" s="42"/>
      <c r="G948" s="42"/>
      <c r="H948" s="42"/>
      <c r="I948" s="42"/>
      <c r="J948" s="42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</row>
    <row r="949">
      <c r="A949" s="29"/>
      <c r="B949" s="42"/>
      <c r="C949" s="42"/>
      <c r="D949" s="42"/>
      <c r="E949" s="42"/>
      <c r="F949" s="42"/>
      <c r="G949" s="42"/>
      <c r="H949" s="42"/>
      <c r="I949" s="42"/>
      <c r="J949" s="42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</row>
    <row r="950">
      <c r="A950" s="29"/>
      <c r="B950" s="42"/>
      <c r="C950" s="42"/>
      <c r="D950" s="42"/>
      <c r="E950" s="42"/>
      <c r="F950" s="42"/>
      <c r="G950" s="42"/>
      <c r="H950" s="42"/>
      <c r="I950" s="42"/>
      <c r="J950" s="42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</row>
    <row r="951">
      <c r="A951" s="29"/>
      <c r="B951" s="42"/>
      <c r="C951" s="42"/>
      <c r="D951" s="42"/>
      <c r="E951" s="42"/>
      <c r="F951" s="42"/>
      <c r="G951" s="42"/>
      <c r="H951" s="42"/>
      <c r="I951" s="42"/>
      <c r="J951" s="42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</row>
    <row r="952">
      <c r="A952" s="29"/>
      <c r="B952" s="42"/>
      <c r="C952" s="42"/>
      <c r="D952" s="42"/>
      <c r="E952" s="42"/>
      <c r="F952" s="42"/>
      <c r="G952" s="42"/>
      <c r="H952" s="42"/>
      <c r="I952" s="42"/>
      <c r="J952" s="42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</row>
    <row r="953">
      <c r="A953" s="29"/>
      <c r="B953" s="42"/>
      <c r="C953" s="42"/>
      <c r="D953" s="42"/>
      <c r="E953" s="42"/>
      <c r="F953" s="42"/>
      <c r="G953" s="42"/>
      <c r="H953" s="42"/>
      <c r="I953" s="42"/>
      <c r="J953" s="42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</row>
    <row r="954">
      <c r="A954" s="29"/>
      <c r="B954" s="42"/>
      <c r="C954" s="42"/>
      <c r="D954" s="42"/>
      <c r="E954" s="42"/>
      <c r="F954" s="42"/>
      <c r="G954" s="42"/>
      <c r="H954" s="42"/>
      <c r="I954" s="42"/>
      <c r="J954" s="42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</row>
    <row r="955">
      <c r="A955" s="29"/>
      <c r="B955" s="42"/>
      <c r="C955" s="42"/>
      <c r="D955" s="42"/>
      <c r="E955" s="42"/>
      <c r="F955" s="42"/>
      <c r="G955" s="42"/>
      <c r="H955" s="42"/>
      <c r="I955" s="42"/>
      <c r="J955" s="42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</row>
    <row r="956">
      <c r="A956" s="29"/>
      <c r="B956" s="42"/>
      <c r="C956" s="42"/>
      <c r="D956" s="42"/>
      <c r="E956" s="42"/>
      <c r="F956" s="42"/>
      <c r="G956" s="42"/>
      <c r="H956" s="42"/>
      <c r="I956" s="42"/>
      <c r="J956" s="42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</row>
    <row r="957">
      <c r="A957" s="29"/>
      <c r="B957" s="42"/>
      <c r="C957" s="42"/>
      <c r="D957" s="42"/>
      <c r="E957" s="42"/>
      <c r="F957" s="42"/>
      <c r="G957" s="42"/>
      <c r="H957" s="42"/>
      <c r="I957" s="42"/>
      <c r="J957" s="42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</row>
    <row r="958">
      <c r="A958" s="29"/>
      <c r="B958" s="42"/>
      <c r="C958" s="42"/>
      <c r="D958" s="42"/>
      <c r="E958" s="42"/>
      <c r="F958" s="42"/>
      <c r="G958" s="42"/>
      <c r="H958" s="42"/>
      <c r="I958" s="42"/>
      <c r="J958" s="42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</row>
    <row r="959">
      <c r="A959" s="29"/>
      <c r="B959" s="42"/>
      <c r="C959" s="42"/>
      <c r="D959" s="42"/>
      <c r="E959" s="42"/>
      <c r="F959" s="42"/>
      <c r="G959" s="42"/>
      <c r="H959" s="42"/>
      <c r="I959" s="42"/>
      <c r="J959" s="42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</row>
    <row r="960">
      <c r="A960" s="29"/>
      <c r="B960" s="42"/>
      <c r="C960" s="42"/>
      <c r="D960" s="42"/>
      <c r="E960" s="42"/>
      <c r="F960" s="42"/>
      <c r="G960" s="42"/>
      <c r="H960" s="42"/>
      <c r="I960" s="42"/>
      <c r="J960" s="42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</row>
    <row r="961">
      <c r="A961" s="29"/>
      <c r="B961" s="42"/>
      <c r="C961" s="42"/>
      <c r="D961" s="42"/>
      <c r="E961" s="42"/>
      <c r="F961" s="42"/>
      <c r="G961" s="42"/>
      <c r="H961" s="42"/>
      <c r="I961" s="42"/>
      <c r="J961" s="42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</row>
    <row r="962">
      <c r="A962" s="29"/>
      <c r="B962" s="42"/>
      <c r="C962" s="42"/>
      <c r="D962" s="42"/>
      <c r="E962" s="42"/>
      <c r="F962" s="42"/>
      <c r="G962" s="42"/>
      <c r="H962" s="42"/>
      <c r="I962" s="42"/>
      <c r="J962" s="42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</row>
    <row r="963">
      <c r="A963" s="29"/>
      <c r="B963" s="42"/>
      <c r="C963" s="42"/>
      <c r="D963" s="42"/>
      <c r="E963" s="42"/>
      <c r="F963" s="42"/>
      <c r="G963" s="42"/>
      <c r="H963" s="42"/>
      <c r="I963" s="42"/>
      <c r="J963" s="42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</row>
    <row r="964">
      <c r="A964" s="29"/>
      <c r="B964" s="42"/>
      <c r="C964" s="42"/>
      <c r="D964" s="42"/>
      <c r="E964" s="42"/>
      <c r="F964" s="42"/>
      <c r="G964" s="42"/>
      <c r="H964" s="42"/>
      <c r="I964" s="42"/>
      <c r="J964" s="42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</row>
    <row r="965">
      <c r="A965" s="29"/>
      <c r="B965" s="42"/>
      <c r="C965" s="42"/>
      <c r="D965" s="42"/>
      <c r="E965" s="42"/>
      <c r="F965" s="42"/>
      <c r="G965" s="42"/>
      <c r="H965" s="42"/>
      <c r="I965" s="42"/>
      <c r="J965" s="42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</row>
    <row r="966">
      <c r="A966" s="29"/>
      <c r="B966" s="42"/>
      <c r="C966" s="42"/>
      <c r="D966" s="42"/>
      <c r="E966" s="42"/>
      <c r="F966" s="42"/>
      <c r="G966" s="42"/>
      <c r="H966" s="42"/>
      <c r="I966" s="42"/>
      <c r="J966" s="42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</row>
    <row r="967">
      <c r="A967" s="29"/>
      <c r="B967" s="42"/>
      <c r="C967" s="42"/>
      <c r="D967" s="42"/>
      <c r="E967" s="42"/>
      <c r="F967" s="42"/>
      <c r="G967" s="42"/>
      <c r="H967" s="42"/>
      <c r="I967" s="42"/>
      <c r="J967" s="42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</row>
    <row r="968">
      <c r="A968" s="29"/>
      <c r="B968" s="42"/>
      <c r="C968" s="42"/>
      <c r="D968" s="42"/>
      <c r="E968" s="42"/>
      <c r="F968" s="42"/>
      <c r="G968" s="42"/>
      <c r="H968" s="42"/>
      <c r="I968" s="42"/>
      <c r="J968" s="42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</row>
    <row r="969">
      <c r="A969" s="29"/>
      <c r="B969" s="42"/>
      <c r="C969" s="42"/>
      <c r="D969" s="42"/>
      <c r="E969" s="42"/>
      <c r="F969" s="42"/>
      <c r="G969" s="42"/>
      <c r="H969" s="42"/>
      <c r="I969" s="42"/>
      <c r="J969" s="42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</row>
    <row r="970">
      <c r="A970" s="29"/>
      <c r="B970" s="42"/>
      <c r="C970" s="42"/>
      <c r="D970" s="42"/>
      <c r="E970" s="42"/>
      <c r="F970" s="42"/>
      <c r="G970" s="42"/>
      <c r="H970" s="42"/>
      <c r="I970" s="42"/>
      <c r="J970" s="42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</row>
    <row r="971">
      <c r="A971" s="29"/>
      <c r="B971" s="42"/>
      <c r="C971" s="42"/>
      <c r="D971" s="42"/>
      <c r="E971" s="42"/>
      <c r="F971" s="42"/>
      <c r="G971" s="42"/>
      <c r="H971" s="42"/>
      <c r="I971" s="42"/>
      <c r="J971" s="42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</row>
    <row r="972">
      <c r="A972" s="29"/>
      <c r="B972" s="42"/>
      <c r="C972" s="42"/>
      <c r="D972" s="42"/>
      <c r="E972" s="42"/>
      <c r="F972" s="42"/>
      <c r="G972" s="42"/>
      <c r="H972" s="42"/>
      <c r="I972" s="42"/>
      <c r="J972" s="42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</row>
    <row r="973">
      <c r="A973" s="29"/>
      <c r="B973" s="42"/>
      <c r="C973" s="42"/>
      <c r="D973" s="42"/>
      <c r="E973" s="42"/>
      <c r="F973" s="42"/>
      <c r="G973" s="42"/>
      <c r="H973" s="42"/>
      <c r="I973" s="42"/>
      <c r="J973" s="42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</row>
    <row r="974">
      <c r="A974" s="29"/>
      <c r="B974" s="42"/>
      <c r="C974" s="42"/>
      <c r="D974" s="42"/>
      <c r="E974" s="42"/>
      <c r="F974" s="42"/>
      <c r="G974" s="42"/>
      <c r="H974" s="42"/>
      <c r="I974" s="42"/>
      <c r="J974" s="42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</row>
    <row r="975">
      <c r="A975" s="29"/>
      <c r="B975" s="42"/>
      <c r="C975" s="42"/>
      <c r="D975" s="42"/>
      <c r="E975" s="42"/>
      <c r="F975" s="42"/>
      <c r="G975" s="42"/>
      <c r="H975" s="42"/>
      <c r="I975" s="42"/>
      <c r="J975" s="42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</row>
    <row r="976">
      <c r="A976" s="29"/>
      <c r="B976" s="42"/>
      <c r="C976" s="42"/>
      <c r="D976" s="42"/>
      <c r="E976" s="42"/>
      <c r="F976" s="42"/>
      <c r="G976" s="42"/>
      <c r="H976" s="42"/>
      <c r="I976" s="42"/>
      <c r="J976" s="42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</row>
    <row r="977">
      <c r="A977" s="29"/>
      <c r="B977" s="42"/>
      <c r="C977" s="42"/>
      <c r="D977" s="42"/>
      <c r="E977" s="42"/>
      <c r="F977" s="42"/>
      <c r="G977" s="42"/>
      <c r="H977" s="42"/>
      <c r="I977" s="42"/>
      <c r="J977" s="42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</row>
    <row r="978">
      <c r="A978" s="29"/>
      <c r="B978" s="42"/>
      <c r="C978" s="42"/>
      <c r="D978" s="42"/>
      <c r="E978" s="42"/>
      <c r="F978" s="42"/>
      <c r="G978" s="42"/>
      <c r="H978" s="42"/>
      <c r="I978" s="42"/>
      <c r="J978" s="42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</row>
    <row r="979">
      <c r="A979" s="29"/>
      <c r="B979" s="42"/>
      <c r="C979" s="42"/>
      <c r="D979" s="42"/>
      <c r="E979" s="42"/>
      <c r="F979" s="42"/>
      <c r="G979" s="42"/>
      <c r="H979" s="42"/>
      <c r="I979" s="42"/>
      <c r="J979" s="42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</row>
    <row r="980">
      <c r="A980" s="29"/>
      <c r="B980" s="42"/>
      <c r="C980" s="42"/>
      <c r="D980" s="42"/>
      <c r="E980" s="42"/>
      <c r="F980" s="42"/>
      <c r="G980" s="42"/>
      <c r="H980" s="42"/>
      <c r="I980" s="42"/>
      <c r="J980" s="42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</row>
    <row r="981">
      <c r="A981" s="29"/>
      <c r="B981" s="42"/>
      <c r="C981" s="42"/>
      <c r="D981" s="42"/>
      <c r="E981" s="42"/>
      <c r="F981" s="42"/>
      <c r="G981" s="42"/>
      <c r="H981" s="42"/>
      <c r="I981" s="42"/>
      <c r="J981" s="42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</row>
    <row r="982">
      <c r="A982" s="29"/>
      <c r="B982" s="42"/>
      <c r="C982" s="42"/>
      <c r="D982" s="42"/>
      <c r="E982" s="42"/>
      <c r="F982" s="42"/>
      <c r="G982" s="42"/>
      <c r="H982" s="42"/>
      <c r="I982" s="42"/>
      <c r="J982" s="42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</row>
    <row r="983">
      <c r="A983" s="29"/>
      <c r="B983" s="42"/>
      <c r="C983" s="42"/>
      <c r="D983" s="42"/>
      <c r="E983" s="42"/>
      <c r="F983" s="42"/>
      <c r="G983" s="42"/>
      <c r="H983" s="42"/>
      <c r="I983" s="42"/>
      <c r="J983" s="42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</row>
    <row r="984">
      <c r="A984" s="29"/>
      <c r="B984" s="42"/>
      <c r="C984" s="42"/>
      <c r="D984" s="42"/>
      <c r="E984" s="42"/>
      <c r="F984" s="42"/>
      <c r="G984" s="42"/>
      <c r="H984" s="42"/>
      <c r="I984" s="42"/>
      <c r="J984" s="42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</row>
    <row r="985">
      <c r="A985" s="29"/>
      <c r="B985" s="42"/>
      <c r="C985" s="42"/>
      <c r="D985" s="42"/>
      <c r="E985" s="42"/>
      <c r="F985" s="42"/>
      <c r="G985" s="42"/>
      <c r="H985" s="42"/>
      <c r="I985" s="42"/>
      <c r="J985" s="42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</row>
    <row r="986">
      <c r="A986" s="29"/>
      <c r="B986" s="42"/>
      <c r="C986" s="42"/>
      <c r="D986" s="42"/>
      <c r="E986" s="42"/>
      <c r="F986" s="42"/>
      <c r="G986" s="42"/>
      <c r="H986" s="42"/>
      <c r="I986" s="42"/>
      <c r="J986" s="42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</row>
    <row r="987">
      <c r="A987" s="29"/>
      <c r="B987" s="42"/>
      <c r="C987" s="42"/>
      <c r="D987" s="42"/>
      <c r="E987" s="42"/>
      <c r="F987" s="42"/>
      <c r="G987" s="42"/>
      <c r="H987" s="42"/>
      <c r="I987" s="42"/>
      <c r="J987" s="42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</row>
    <row r="988">
      <c r="A988" s="29"/>
      <c r="B988" s="42"/>
      <c r="C988" s="42"/>
      <c r="D988" s="42"/>
      <c r="E988" s="42"/>
      <c r="F988" s="42"/>
      <c r="G988" s="42"/>
      <c r="H988" s="42"/>
      <c r="I988" s="42"/>
      <c r="J988" s="42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</row>
    <row r="989">
      <c r="A989" s="29"/>
      <c r="B989" s="42"/>
      <c r="C989" s="42"/>
      <c r="D989" s="42"/>
      <c r="E989" s="42"/>
      <c r="F989" s="42"/>
      <c r="G989" s="42"/>
      <c r="H989" s="42"/>
      <c r="I989" s="42"/>
      <c r="J989" s="42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</row>
    <row r="990">
      <c r="A990" s="29"/>
      <c r="B990" s="42"/>
      <c r="C990" s="42"/>
      <c r="D990" s="42"/>
      <c r="E990" s="42"/>
      <c r="F990" s="42"/>
      <c r="G990" s="42"/>
      <c r="H990" s="42"/>
      <c r="I990" s="42"/>
      <c r="J990" s="42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</row>
    <row r="991">
      <c r="A991" s="29"/>
      <c r="B991" s="42"/>
      <c r="C991" s="42"/>
      <c r="D991" s="42"/>
      <c r="E991" s="42"/>
      <c r="F991" s="42"/>
      <c r="G991" s="42"/>
      <c r="H991" s="42"/>
      <c r="I991" s="42"/>
      <c r="J991" s="42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</row>
    <row r="992">
      <c r="A992" s="29"/>
      <c r="B992" s="42"/>
      <c r="C992" s="42"/>
      <c r="D992" s="42"/>
      <c r="E992" s="42"/>
      <c r="F992" s="42"/>
      <c r="G992" s="42"/>
      <c r="H992" s="42"/>
      <c r="I992" s="42"/>
      <c r="J992" s="42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</row>
    <row r="993">
      <c r="A993" s="29"/>
      <c r="B993" s="42"/>
      <c r="C993" s="42"/>
      <c r="D993" s="42"/>
      <c r="E993" s="42"/>
      <c r="F993" s="42"/>
      <c r="G993" s="42"/>
      <c r="H993" s="42"/>
      <c r="I993" s="42"/>
      <c r="J993" s="42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</row>
    <row r="994">
      <c r="A994" s="29"/>
      <c r="B994" s="42"/>
      <c r="C994" s="42"/>
      <c r="D994" s="42"/>
      <c r="E994" s="42"/>
      <c r="F994" s="42"/>
      <c r="G994" s="42"/>
      <c r="H994" s="42"/>
      <c r="I994" s="42"/>
      <c r="J994" s="42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</row>
    <row r="995">
      <c r="A995" s="29"/>
      <c r="B995" s="42"/>
      <c r="C995" s="42"/>
      <c r="D995" s="42"/>
      <c r="E995" s="42"/>
      <c r="F995" s="42"/>
      <c r="G995" s="42"/>
      <c r="H995" s="42"/>
      <c r="I995" s="42"/>
      <c r="J995" s="42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</row>
    <row r="996">
      <c r="A996" s="29"/>
      <c r="B996" s="42"/>
      <c r="C996" s="42"/>
      <c r="D996" s="42"/>
      <c r="E996" s="42"/>
      <c r="F996" s="42"/>
      <c r="G996" s="42"/>
      <c r="H996" s="42"/>
      <c r="I996" s="42"/>
      <c r="J996" s="42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</row>
    <row r="997">
      <c r="A997" s="29"/>
      <c r="B997" s="42"/>
      <c r="C997" s="42"/>
      <c r="D997" s="42"/>
      <c r="E997" s="42"/>
      <c r="F997" s="42"/>
      <c r="G997" s="42"/>
      <c r="H997" s="42"/>
      <c r="I997" s="42"/>
      <c r="J997" s="42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</row>
  </sheetData>
  <hyperlinks>
    <hyperlink r:id="rId1" ref="C45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43" t="s">
        <v>183</v>
      </c>
      <c r="B1" s="44" t="s">
        <v>184</v>
      </c>
      <c r="C1" s="44" t="s">
        <v>185</v>
      </c>
      <c r="D1" s="44" t="s">
        <v>186</v>
      </c>
      <c r="E1" s="44" t="s">
        <v>187</v>
      </c>
      <c r="F1" s="44" t="s">
        <v>188</v>
      </c>
      <c r="G1" s="44" t="s">
        <v>189</v>
      </c>
      <c r="H1" s="44"/>
      <c r="I1" s="44" t="s">
        <v>190</v>
      </c>
      <c r="J1" s="44" t="s">
        <v>191</v>
      </c>
      <c r="K1" s="45" t="b">
        <v>0</v>
      </c>
      <c r="L1" s="44" t="s">
        <v>191</v>
      </c>
      <c r="M1" s="45" t="b">
        <v>0</v>
      </c>
      <c r="N1" s="45" t="b">
        <v>0</v>
      </c>
      <c r="O1" s="44"/>
      <c r="P1" s="44"/>
      <c r="Q1" s="44" t="s">
        <v>19</v>
      </c>
      <c r="R1" s="44"/>
      <c r="S1" s="46"/>
      <c r="T1" s="46"/>
      <c r="U1" s="46"/>
      <c r="V1" s="46"/>
      <c r="W1" s="46"/>
      <c r="X1" s="46"/>
      <c r="Y1" s="46"/>
      <c r="Z1" s="46"/>
    </row>
    <row r="2">
      <c r="A2" s="47" t="s">
        <v>183</v>
      </c>
      <c r="B2" s="48" t="s">
        <v>184</v>
      </c>
      <c r="C2" s="48" t="s">
        <v>185</v>
      </c>
      <c r="D2" s="48" t="s">
        <v>192</v>
      </c>
      <c r="E2" s="48" t="s">
        <v>193</v>
      </c>
      <c r="F2" s="48" t="s">
        <v>194</v>
      </c>
      <c r="G2" s="48" t="s">
        <v>195</v>
      </c>
      <c r="H2" s="48"/>
      <c r="I2" s="48" t="s">
        <v>196</v>
      </c>
      <c r="J2" s="48" t="s">
        <v>197</v>
      </c>
      <c r="K2" s="49" t="b">
        <v>0</v>
      </c>
      <c r="L2" s="48" t="s">
        <v>197</v>
      </c>
      <c r="M2" s="49" t="b">
        <v>0</v>
      </c>
      <c r="N2" s="49" t="b">
        <v>0</v>
      </c>
      <c r="O2" s="50" t="s">
        <v>198</v>
      </c>
      <c r="P2" s="48"/>
      <c r="Q2" s="50" t="s">
        <v>199</v>
      </c>
      <c r="R2" s="51"/>
      <c r="S2" s="46"/>
      <c r="T2" s="46"/>
      <c r="U2" s="46"/>
      <c r="V2" s="46"/>
      <c r="W2" s="46"/>
      <c r="X2" s="46"/>
      <c r="Y2" s="46"/>
      <c r="Z2" s="46"/>
    </row>
    <row r="3">
      <c r="A3" s="43" t="s">
        <v>183</v>
      </c>
      <c r="B3" s="44" t="s">
        <v>184</v>
      </c>
      <c r="C3" s="44" t="s">
        <v>200</v>
      </c>
      <c r="D3" s="44" t="s">
        <v>201</v>
      </c>
      <c r="E3" s="44" t="s">
        <v>202</v>
      </c>
      <c r="F3" s="44" t="s">
        <v>203</v>
      </c>
      <c r="G3" s="44" t="s">
        <v>204</v>
      </c>
      <c r="H3" s="44"/>
      <c r="I3" s="44" t="s">
        <v>205</v>
      </c>
      <c r="J3" s="44" t="s">
        <v>206</v>
      </c>
      <c r="K3" s="45" t="b">
        <v>1</v>
      </c>
      <c r="L3" s="44" t="s">
        <v>207</v>
      </c>
      <c r="M3" s="45" t="b">
        <v>0</v>
      </c>
      <c r="N3" s="45" t="b">
        <v>0</v>
      </c>
      <c r="O3" s="44"/>
      <c r="P3" s="44"/>
      <c r="Q3" s="44" t="s">
        <v>19</v>
      </c>
      <c r="R3" s="44"/>
      <c r="S3" s="46"/>
      <c r="T3" s="46"/>
      <c r="U3" s="46"/>
      <c r="V3" s="46"/>
      <c r="W3" s="46"/>
      <c r="X3" s="46"/>
      <c r="Y3" s="46"/>
      <c r="Z3" s="46"/>
    </row>
    <row r="4">
      <c r="A4" s="47" t="s">
        <v>183</v>
      </c>
      <c r="B4" s="48" t="s">
        <v>184</v>
      </c>
      <c r="C4" s="48" t="s">
        <v>200</v>
      </c>
      <c r="D4" s="48" t="s">
        <v>208</v>
      </c>
      <c r="E4" s="48" t="s">
        <v>208</v>
      </c>
      <c r="F4" s="48" t="s">
        <v>203</v>
      </c>
      <c r="G4" s="48" t="s">
        <v>209</v>
      </c>
      <c r="H4" s="48"/>
      <c r="I4" s="48" t="s">
        <v>210</v>
      </c>
      <c r="J4" s="48" t="s">
        <v>211</v>
      </c>
      <c r="K4" s="49" t="b">
        <v>1</v>
      </c>
      <c r="L4" s="48" t="s">
        <v>207</v>
      </c>
      <c r="M4" s="49" t="b">
        <v>0</v>
      </c>
      <c r="N4" s="49" t="b">
        <v>0</v>
      </c>
      <c r="O4" s="48"/>
      <c r="P4" s="48"/>
      <c r="Q4" s="48" t="s">
        <v>19</v>
      </c>
      <c r="R4" s="48"/>
      <c r="S4" s="46"/>
      <c r="T4" s="46"/>
      <c r="U4" s="46"/>
      <c r="V4" s="46"/>
      <c r="W4" s="46"/>
      <c r="X4" s="46"/>
      <c r="Y4" s="46"/>
      <c r="Z4" s="46"/>
    </row>
    <row r="5">
      <c r="A5" s="47" t="s">
        <v>183</v>
      </c>
      <c r="B5" s="48" t="s">
        <v>184</v>
      </c>
      <c r="C5" s="48" t="s">
        <v>200</v>
      </c>
      <c r="D5" s="48" t="s">
        <v>212</v>
      </c>
      <c r="E5" s="48" t="s">
        <v>213</v>
      </c>
      <c r="F5" s="48" t="s">
        <v>214</v>
      </c>
      <c r="G5" s="48" t="s">
        <v>215</v>
      </c>
      <c r="H5" s="48"/>
      <c r="I5" s="48" t="s">
        <v>216</v>
      </c>
      <c r="J5" s="48" t="s">
        <v>217</v>
      </c>
      <c r="K5" s="49" t="b">
        <v>0</v>
      </c>
      <c r="L5" s="48" t="s">
        <v>217</v>
      </c>
      <c r="M5" s="49" t="b">
        <v>0</v>
      </c>
      <c r="N5" s="49" t="b">
        <v>0</v>
      </c>
      <c r="O5" s="48"/>
      <c r="P5" s="48"/>
      <c r="Q5" s="48" t="s">
        <v>19</v>
      </c>
      <c r="R5" s="48"/>
      <c r="S5" s="46"/>
      <c r="T5" s="46"/>
      <c r="U5" s="46"/>
      <c r="V5" s="46"/>
      <c r="W5" s="46"/>
      <c r="X5" s="46"/>
      <c r="Y5" s="46"/>
      <c r="Z5" s="46"/>
    </row>
    <row r="6">
      <c r="A6" s="47" t="s">
        <v>183</v>
      </c>
      <c r="B6" s="48" t="s">
        <v>184</v>
      </c>
      <c r="C6" s="48" t="s">
        <v>200</v>
      </c>
      <c r="D6" s="48" t="s">
        <v>218</v>
      </c>
      <c r="E6" s="48" t="s">
        <v>219</v>
      </c>
      <c r="F6" s="48" t="s">
        <v>220</v>
      </c>
      <c r="G6" s="48" t="s">
        <v>221</v>
      </c>
      <c r="H6" s="48"/>
      <c r="I6" s="48" t="s">
        <v>222</v>
      </c>
      <c r="J6" s="48" t="s">
        <v>223</v>
      </c>
      <c r="K6" s="49" t="b">
        <v>0</v>
      </c>
      <c r="L6" s="48" t="s">
        <v>223</v>
      </c>
      <c r="M6" s="49" t="b">
        <v>0</v>
      </c>
      <c r="N6" s="49" t="b">
        <v>0</v>
      </c>
      <c r="O6" s="48"/>
      <c r="P6" s="48"/>
      <c r="Q6" s="48" t="s">
        <v>19</v>
      </c>
      <c r="R6" s="48"/>
      <c r="S6" s="46"/>
      <c r="T6" s="46"/>
      <c r="U6" s="46"/>
      <c r="V6" s="46"/>
      <c r="W6" s="46"/>
      <c r="X6" s="46"/>
      <c r="Y6" s="46"/>
      <c r="Z6" s="46"/>
    </row>
    <row r="7">
      <c r="A7" s="47" t="s">
        <v>183</v>
      </c>
      <c r="B7" s="48" t="s">
        <v>184</v>
      </c>
      <c r="C7" s="48" t="s">
        <v>200</v>
      </c>
      <c r="D7" s="48" t="s">
        <v>224</v>
      </c>
      <c r="E7" s="48" t="s">
        <v>224</v>
      </c>
      <c r="F7" s="48" t="s">
        <v>220</v>
      </c>
      <c r="G7" s="48" t="s">
        <v>221</v>
      </c>
      <c r="H7" s="48"/>
      <c r="I7" s="48" t="s">
        <v>210</v>
      </c>
      <c r="J7" s="48" t="s">
        <v>223</v>
      </c>
      <c r="K7" s="49" t="b">
        <v>0</v>
      </c>
      <c r="L7" s="48" t="s">
        <v>223</v>
      </c>
      <c r="M7" s="49" t="b">
        <v>0</v>
      </c>
      <c r="N7" s="49" t="b">
        <v>0</v>
      </c>
      <c r="O7" s="48"/>
      <c r="P7" s="48"/>
      <c r="Q7" s="48" t="s">
        <v>19</v>
      </c>
      <c r="R7" s="48"/>
      <c r="S7" s="46"/>
      <c r="T7" s="46"/>
      <c r="U7" s="46"/>
      <c r="V7" s="46"/>
      <c r="W7" s="46"/>
      <c r="X7" s="46"/>
      <c r="Y7" s="46"/>
      <c r="Z7" s="4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75"/>
  <cols>
    <col customWidth="1" min="4" max="4" width="31.0"/>
    <col customWidth="1" min="7" max="7" width="20.71"/>
    <col customWidth="1" min="11" max="11" width="20.71"/>
  </cols>
  <sheetData>
    <row r="1">
      <c r="A1" s="52" t="s">
        <v>225</v>
      </c>
      <c r="B1" s="53" t="s">
        <v>226</v>
      </c>
      <c r="C1" s="53" t="s">
        <v>227</v>
      </c>
      <c r="D1" s="54" t="s">
        <v>228</v>
      </c>
      <c r="E1" s="53" t="s">
        <v>229</v>
      </c>
      <c r="F1" s="53" t="s">
        <v>230</v>
      </c>
      <c r="G1" s="53" t="s">
        <v>231</v>
      </c>
      <c r="H1" s="53" t="s">
        <v>232</v>
      </c>
      <c r="I1" s="53" t="s">
        <v>233</v>
      </c>
      <c r="J1" s="55" t="s">
        <v>234</v>
      </c>
      <c r="K1" s="56" t="s">
        <v>235</v>
      </c>
      <c r="L1" s="53" t="s">
        <v>236</v>
      </c>
      <c r="M1" s="53" t="s">
        <v>237</v>
      </c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</row>
    <row r="2">
      <c r="A2" s="58">
        <v>43698.0</v>
      </c>
      <c r="B2" s="59" t="s">
        <v>238</v>
      </c>
      <c r="C2" s="59" t="s">
        <v>238</v>
      </c>
      <c r="D2" s="60" t="s">
        <v>239</v>
      </c>
      <c r="E2" s="59" t="s">
        <v>240</v>
      </c>
      <c r="F2" s="61">
        <v>962.0</v>
      </c>
      <c r="G2" s="59">
        <v>9.62791314528E11</v>
      </c>
      <c r="H2" s="43"/>
      <c r="I2" s="62"/>
      <c r="J2" s="59" t="s">
        <v>241</v>
      </c>
      <c r="K2" s="63" t="s">
        <v>242</v>
      </c>
      <c r="L2" s="59" t="s">
        <v>243</v>
      </c>
      <c r="M2" s="64" t="s">
        <v>19</v>
      </c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</row>
    <row r="3">
      <c r="A3" s="58">
        <v>43698.0</v>
      </c>
      <c r="B3" s="61" t="s">
        <v>244</v>
      </c>
      <c r="C3" s="59" t="s">
        <v>245</v>
      </c>
      <c r="D3" s="60" t="s">
        <v>246</v>
      </c>
      <c r="E3" s="59" t="s">
        <v>247</v>
      </c>
      <c r="F3" s="59">
        <v>971.0</v>
      </c>
      <c r="G3" s="59" t="s">
        <v>248</v>
      </c>
      <c r="H3" s="43"/>
      <c r="I3" s="62"/>
      <c r="J3" s="43"/>
      <c r="K3" s="63" t="s">
        <v>249</v>
      </c>
      <c r="L3" s="59" t="s">
        <v>243</v>
      </c>
      <c r="M3" s="61" t="s">
        <v>19</v>
      </c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</row>
    <row r="4">
      <c r="A4" s="58">
        <v>43698.0</v>
      </c>
      <c r="B4" s="59" t="s">
        <v>250</v>
      </c>
      <c r="C4" s="59" t="s">
        <v>251</v>
      </c>
      <c r="D4" s="60" t="s">
        <v>252</v>
      </c>
      <c r="E4" s="59" t="s">
        <v>253</v>
      </c>
      <c r="F4" s="61">
        <v>39.0</v>
      </c>
      <c r="G4" s="59">
        <f>+393393734367</f>
        <v>393393734367</v>
      </c>
      <c r="H4" s="59" t="s">
        <v>254</v>
      </c>
      <c r="I4" s="59" t="s">
        <v>255</v>
      </c>
      <c r="J4" s="59" t="s">
        <v>241</v>
      </c>
      <c r="K4" s="65" t="s">
        <v>256</v>
      </c>
      <c r="L4" s="62"/>
      <c r="M4" s="61" t="s">
        <v>19</v>
      </c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</row>
    <row r="5">
      <c r="A5" s="58">
        <v>43698.0</v>
      </c>
      <c r="B5" s="61" t="s">
        <v>257</v>
      </c>
      <c r="C5" s="43"/>
      <c r="D5" s="66" t="s">
        <v>258</v>
      </c>
      <c r="E5" s="67" t="s">
        <v>259</v>
      </c>
      <c r="F5" s="61" t="s">
        <v>260</v>
      </c>
      <c r="G5" s="68" t="s">
        <v>261</v>
      </c>
      <c r="H5" s="43"/>
      <c r="I5" s="67" t="s">
        <v>262</v>
      </c>
      <c r="J5" s="43"/>
      <c r="K5" s="65" t="s">
        <v>71</v>
      </c>
      <c r="L5" s="61" t="s">
        <v>263</v>
      </c>
      <c r="M5" s="61" t="s">
        <v>19</v>
      </c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</row>
    <row r="6">
      <c r="A6" s="58">
        <v>43698.0</v>
      </c>
      <c r="B6" s="59" t="s">
        <v>264</v>
      </c>
      <c r="C6" s="59" t="s">
        <v>265</v>
      </c>
      <c r="D6" s="60" t="s">
        <v>266</v>
      </c>
      <c r="E6" s="59" t="s">
        <v>259</v>
      </c>
      <c r="F6" s="59" t="s">
        <v>267</v>
      </c>
      <c r="G6" s="69" t="s">
        <v>268</v>
      </c>
      <c r="H6" s="59" t="s">
        <v>254</v>
      </c>
      <c r="I6" s="59" t="s">
        <v>255</v>
      </c>
      <c r="J6" s="43"/>
      <c r="K6" s="65" t="s">
        <v>269</v>
      </c>
      <c r="L6" s="61" t="s">
        <v>263</v>
      </c>
      <c r="M6" s="61" t="s">
        <v>19</v>
      </c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</row>
    <row r="7">
      <c r="A7" s="58">
        <v>43698.0</v>
      </c>
      <c r="B7" s="59" t="s">
        <v>270</v>
      </c>
      <c r="C7" s="59" t="s">
        <v>271</v>
      </c>
      <c r="D7" s="60" t="s">
        <v>272</v>
      </c>
      <c r="E7" s="61" t="s">
        <v>273</v>
      </c>
      <c r="F7" s="61">
        <v>966.0</v>
      </c>
      <c r="G7" s="59" t="s">
        <v>274</v>
      </c>
      <c r="H7" s="59" t="s">
        <v>254</v>
      </c>
      <c r="I7" s="59" t="s">
        <v>255</v>
      </c>
      <c r="J7" s="43"/>
      <c r="K7" s="65" t="s">
        <v>275</v>
      </c>
      <c r="L7" s="59" t="s">
        <v>263</v>
      </c>
      <c r="M7" s="61" t="s">
        <v>19</v>
      </c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</row>
    <row r="8">
      <c r="A8" s="70">
        <v>43699.0</v>
      </c>
      <c r="B8" s="59" t="s">
        <v>264</v>
      </c>
      <c r="C8" s="59" t="s">
        <v>276</v>
      </c>
      <c r="D8" s="60" t="s">
        <v>277</v>
      </c>
      <c r="E8" s="59" t="s">
        <v>278</v>
      </c>
      <c r="F8" s="69" t="s">
        <v>279</v>
      </c>
      <c r="G8" s="59">
        <v>9.66509093057E11</v>
      </c>
      <c r="H8" s="59" t="s">
        <v>280</v>
      </c>
      <c r="I8" s="59" t="s">
        <v>281</v>
      </c>
      <c r="J8" s="59" t="s">
        <v>241</v>
      </c>
      <c r="K8" s="43"/>
      <c r="L8" s="59" t="s">
        <v>263</v>
      </c>
      <c r="M8" s="61" t="s">
        <v>19</v>
      </c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</row>
    <row r="9">
      <c r="A9" s="70">
        <v>43699.0</v>
      </c>
      <c r="B9" s="59" t="s">
        <v>282</v>
      </c>
      <c r="C9" s="43"/>
      <c r="D9" s="60" t="s">
        <v>283</v>
      </c>
      <c r="E9" s="59" t="s">
        <v>284</v>
      </c>
      <c r="F9" s="69" t="s">
        <v>285</v>
      </c>
      <c r="G9" s="59">
        <v>2.44923610936E11</v>
      </c>
      <c r="H9" s="59" t="s">
        <v>254</v>
      </c>
      <c r="I9" s="59" t="s">
        <v>255</v>
      </c>
      <c r="J9" s="43"/>
      <c r="K9" s="43"/>
      <c r="L9" s="59" t="s">
        <v>263</v>
      </c>
      <c r="M9" s="61" t="s">
        <v>19</v>
      </c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</row>
    <row r="10">
      <c r="A10" s="70">
        <v>43699.0</v>
      </c>
      <c r="B10" s="71" t="s">
        <v>286</v>
      </c>
      <c r="C10" s="43"/>
      <c r="D10" s="66" t="s">
        <v>287</v>
      </c>
      <c r="E10" s="62"/>
      <c r="F10" s="61">
        <v>971.0</v>
      </c>
      <c r="G10" s="68" t="s">
        <v>288</v>
      </c>
      <c r="H10" s="72" t="s">
        <v>254</v>
      </c>
      <c r="I10" s="61" t="s">
        <v>289</v>
      </c>
      <c r="J10" s="43"/>
      <c r="K10" s="43"/>
      <c r="L10" s="59" t="s">
        <v>263</v>
      </c>
      <c r="M10" s="61" t="s">
        <v>19</v>
      </c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</row>
    <row r="11">
      <c r="A11" s="70">
        <v>43699.0</v>
      </c>
      <c r="B11" s="43" t="s">
        <v>290</v>
      </c>
      <c r="C11" s="73" t="s">
        <v>291</v>
      </c>
      <c r="D11" s="62"/>
      <c r="E11" s="62"/>
      <c r="F11" s="43"/>
      <c r="G11" s="74" t="s">
        <v>292</v>
      </c>
      <c r="H11" s="43"/>
      <c r="I11" s="75" t="s">
        <v>281</v>
      </c>
      <c r="J11" s="43"/>
      <c r="K11" s="43"/>
      <c r="L11" s="76" t="s">
        <v>293</v>
      </c>
      <c r="M11" s="62" t="s">
        <v>19</v>
      </c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</row>
    <row r="12">
      <c r="A12" s="70">
        <v>43699.0</v>
      </c>
      <c r="B12" s="43" t="s">
        <v>294</v>
      </c>
      <c r="C12" s="43" t="s">
        <v>295</v>
      </c>
      <c r="D12" s="77" t="s">
        <v>296</v>
      </c>
      <c r="E12" s="62" t="s">
        <v>146</v>
      </c>
      <c r="F12" s="62">
        <v>44.0</v>
      </c>
      <c r="G12" s="74" t="s">
        <v>297</v>
      </c>
      <c r="H12" s="43"/>
      <c r="I12" s="75" t="s">
        <v>281</v>
      </c>
      <c r="J12" s="59" t="s">
        <v>241</v>
      </c>
      <c r="K12" s="43"/>
      <c r="L12" s="76" t="s">
        <v>293</v>
      </c>
      <c r="M12" s="62" t="s">
        <v>19</v>
      </c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</row>
    <row r="13">
      <c r="A13" s="70">
        <v>43700.0</v>
      </c>
      <c r="B13" s="78" t="s">
        <v>298</v>
      </c>
      <c r="C13" s="78" t="s">
        <v>299</v>
      </c>
      <c r="D13" s="79" t="s">
        <v>300</v>
      </c>
      <c r="E13" s="59" t="s">
        <v>301</v>
      </c>
      <c r="F13" s="62">
        <v>971.0</v>
      </c>
      <c r="G13" s="59">
        <v>5.61477287E8</v>
      </c>
      <c r="H13" s="43"/>
      <c r="I13" s="62"/>
      <c r="J13" s="78" t="s">
        <v>241</v>
      </c>
      <c r="K13" s="43"/>
      <c r="L13" s="62" t="s">
        <v>302</v>
      </c>
      <c r="M13" s="72" t="s">
        <v>303</v>
      </c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</row>
    <row r="14">
      <c r="A14" s="70">
        <v>43700.0</v>
      </c>
      <c r="B14" s="78" t="s">
        <v>304</v>
      </c>
      <c r="C14" s="78" t="s">
        <v>305</v>
      </c>
      <c r="D14" s="79" t="s">
        <v>210</v>
      </c>
      <c r="E14" s="59" t="s">
        <v>207</v>
      </c>
      <c r="F14" s="69" t="s">
        <v>306</v>
      </c>
      <c r="G14" s="59">
        <v>5.52269531E8</v>
      </c>
      <c r="H14" s="78"/>
      <c r="I14" s="62"/>
      <c r="J14" s="43"/>
      <c r="K14" s="43"/>
      <c r="L14" s="62" t="s">
        <v>302</v>
      </c>
      <c r="M14" s="62" t="s">
        <v>307</v>
      </c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</row>
    <row r="15">
      <c r="A15" s="70">
        <v>43700.0</v>
      </c>
      <c r="B15" s="78" t="s">
        <v>308</v>
      </c>
      <c r="C15" s="78" t="s">
        <v>309</v>
      </c>
      <c r="D15" s="79" t="s">
        <v>310</v>
      </c>
      <c r="E15" s="59" t="s">
        <v>311</v>
      </c>
      <c r="F15" s="62">
        <v>34.0</v>
      </c>
      <c r="G15" s="59">
        <v>6.30163009E8</v>
      </c>
      <c r="H15" s="78" t="s">
        <v>254</v>
      </c>
      <c r="I15" s="59" t="s">
        <v>312</v>
      </c>
      <c r="J15" s="78" t="s">
        <v>241</v>
      </c>
      <c r="K15" s="43"/>
      <c r="L15" s="62" t="s">
        <v>302</v>
      </c>
      <c r="M15" s="72" t="s">
        <v>303</v>
      </c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</row>
    <row r="16">
      <c r="A16" s="70">
        <v>43700.0</v>
      </c>
      <c r="B16" s="78" t="s">
        <v>313</v>
      </c>
      <c r="C16" s="78" t="s">
        <v>314</v>
      </c>
      <c r="D16" s="79" t="s">
        <v>315</v>
      </c>
      <c r="E16" s="59" t="s">
        <v>217</v>
      </c>
      <c r="F16" s="62">
        <v>968.0</v>
      </c>
      <c r="G16" s="59">
        <v>9.6895161158E10</v>
      </c>
      <c r="H16" s="78" t="s">
        <v>280</v>
      </c>
      <c r="I16" s="59" t="s">
        <v>262</v>
      </c>
      <c r="J16" s="43"/>
      <c r="K16" s="43"/>
      <c r="L16" s="62" t="s">
        <v>302</v>
      </c>
      <c r="M16" s="72" t="s">
        <v>316</v>
      </c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</row>
    <row r="17">
      <c r="A17" s="70">
        <v>43700.0</v>
      </c>
      <c r="B17" s="78" t="s">
        <v>317</v>
      </c>
      <c r="C17" s="78" t="s">
        <v>318</v>
      </c>
      <c r="D17" s="79" t="s">
        <v>319</v>
      </c>
      <c r="E17" s="59" t="s">
        <v>320</v>
      </c>
      <c r="F17" s="62">
        <v>353.0</v>
      </c>
      <c r="G17" s="59" t="s">
        <v>321</v>
      </c>
      <c r="H17" s="78" t="s">
        <v>254</v>
      </c>
      <c r="I17" s="59" t="s">
        <v>255</v>
      </c>
      <c r="J17" s="78" t="s">
        <v>241</v>
      </c>
      <c r="K17" s="43"/>
      <c r="L17" s="62" t="s">
        <v>302</v>
      </c>
      <c r="M17" s="72" t="s">
        <v>316</v>
      </c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</row>
    <row r="18">
      <c r="A18" s="70">
        <v>43700.0</v>
      </c>
      <c r="B18" s="78" t="s">
        <v>322</v>
      </c>
      <c r="C18" s="78" t="s">
        <v>323</v>
      </c>
      <c r="D18" s="79" t="s">
        <v>324</v>
      </c>
      <c r="E18" s="59" t="s">
        <v>278</v>
      </c>
      <c r="F18" s="62">
        <v>966.0</v>
      </c>
      <c r="G18" s="59">
        <v>9.66505166105E11</v>
      </c>
      <c r="H18" s="78" t="s">
        <v>254</v>
      </c>
      <c r="I18" s="59" t="s">
        <v>255</v>
      </c>
      <c r="J18" s="78" t="s">
        <v>241</v>
      </c>
      <c r="K18" s="43"/>
      <c r="L18" s="62" t="s">
        <v>302</v>
      </c>
      <c r="M18" s="72" t="s">
        <v>325</v>
      </c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</row>
    <row r="19">
      <c r="A19" s="70">
        <v>43700.0</v>
      </c>
      <c r="B19" s="78" t="s">
        <v>326</v>
      </c>
      <c r="C19" s="78" t="s">
        <v>327</v>
      </c>
      <c r="D19" s="79" t="s">
        <v>328</v>
      </c>
      <c r="E19" s="62" t="s">
        <v>329</v>
      </c>
      <c r="F19" s="62">
        <v>971.0</v>
      </c>
      <c r="G19" s="59">
        <v>5.52724947E8</v>
      </c>
      <c r="H19" s="78" t="s">
        <v>254</v>
      </c>
      <c r="I19" s="59" t="s">
        <v>330</v>
      </c>
      <c r="J19" s="78" t="s">
        <v>241</v>
      </c>
      <c r="K19" s="43"/>
      <c r="L19" s="62" t="s">
        <v>302</v>
      </c>
      <c r="M19" s="72" t="s">
        <v>325</v>
      </c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</row>
    <row r="20">
      <c r="A20" s="80">
        <v>43703.99444444444</v>
      </c>
      <c r="B20" s="81" t="s">
        <v>331</v>
      </c>
      <c r="C20" s="81" t="s">
        <v>332</v>
      </c>
      <c r="D20" s="81" t="s">
        <v>333</v>
      </c>
      <c r="E20" s="82" t="s">
        <v>207</v>
      </c>
      <c r="F20" s="83">
        <v>971.0</v>
      </c>
      <c r="G20" s="84" t="s">
        <v>334</v>
      </c>
      <c r="H20" s="82" t="s">
        <v>254</v>
      </c>
      <c r="I20" s="82" t="s">
        <v>335</v>
      </c>
      <c r="J20" s="82" t="s">
        <v>335</v>
      </c>
      <c r="K20" s="39"/>
      <c r="L20" s="83" t="s">
        <v>336</v>
      </c>
      <c r="M20" s="85" t="s">
        <v>337</v>
      </c>
      <c r="N20" s="46"/>
      <c r="O20" s="46"/>
      <c r="P20" s="46"/>
      <c r="Q20" s="46"/>
      <c r="R20" s="46"/>
      <c r="S20" s="46"/>
      <c r="T20" s="46"/>
      <c r="U20" s="46"/>
    </row>
    <row r="21">
      <c r="A21" s="80">
        <v>43703.964583333334</v>
      </c>
      <c r="B21" s="81" t="s">
        <v>338</v>
      </c>
      <c r="C21" s="81" t="s">
        <v>339</v>
      </c>
      <c r="D21" s="81" t="s">
        <v>340</v>
      </c>
      <c r="E21" s="82" t="s">
        <v>341</v>
      </c>
      <c r="F21" s="83">
        <v>965.0</v>
      </c>
      <c r="G21" s="84">
        <v>6.5099998E7</v>
      </c>
      <c r="H21" s="82" t="s">
        <v>254</v>
      </c>
      <c r="I21" s="82" t="s">
        <v>335</v>
      </c>
      <c r="J21" s="82" t="s">
        <v>335</v>
      </c>
      <c r="K21" s="39"/>
      <c r="L21" s="83" t="s">
        <v>342</v>
      </c>
      <c r="M21" s="85" t="s">
        <v>343</v>
      </c>
      <c r="N21" s="46"/>
      <c r="O21" s="46"/>
      <c r="P21" s="46"/>
      <c r="Q21" s="46"/>
      <c r="R21" s="46"/>
      <c r="S21" s="46"/>
      <c r="T21" s="46"/>
      <c r="U21" s="46"/>
    </row>
    <row r="22">
      <c r="A22" s="80">
        <v>43703.93680555555</v>
      </c>
      <c r="B22" s="81" t="s">
        <v>344</v>
      </c>
      <c r="C22" s="81" t="s">
        <v>339</v>
      </c>
      <c r="D22" s="81" t="s">
        <v>345</v>
      </c>
      <c r="E22" s="82" t="s">
        <v>207</v>
      </c>
      <c r="F22" s="83">
        <v>971.0</v>
      </c>
      <c r="G22" s="84" t="s">
        <v>346</v>
      </c>
      <c r="H22" s="82" t="s">
        <v>280</v>
      </c>
      <c r="I22" s="82" t="s">
        <v>335</v>
      </c>
      <c r="J22" s="82" t="s">
        <v>335</v>
      </c>
      <c r="K22" s="39"/>
      <c r="L22" s="83" t="s">
        <v>347</v>
      </c>
      <c r="M22" s="85" t="s">
        <v>343</v>
      </c>
      <c r="N22" s="46"/>
      <c r="O22" s="46"/>
      <c r="P22" s="46"/>
      <c r="Q22" s="46"/>
      <c r="R22" s="46"/>
      <c r="S22" s="46"/>
      <c r="T22" s="46"/>
      <c r="U22" s="46"/>
    </row>
    <row r="23">
      <c r="A23" s="80">
        <v>43703.92916666667</v>
      </c>
      <c r="B23" s="81" t="s">
        <v>348</v>
      </c>
      <c r="C23" s="81" t="s">
        <v>349</v>
      </c>
      <c r="D23" s="81" t="s">
        <v>350</v>
      </c>
      <c r="E23" s="82" t="s">
        <v>259</v>
      </c>
      <c r="F23" s="83">
        <v>971.0</v>
      </c>
      <c r="G23" s="84" t="s">
        <v>351</v>
      </c>
      <c r="H23" s="82" t="s">
        <v>254</v>
      </c>
      <c r="I23" s="82" t="s">
        <v>335</v>
      </c>
      <c r="J23" s="82" t="s">
        <v>241</v>
      </c>
      <c r="K23" s="39"/>
      <c r="L23" s="83" t="s">
        <v>352</v>
      </c>
      <c r="M23" s="85" t="s">
        <v>343</v>
      </c>
      <c r="N23" s="46"/>
      <c r="O23" s="46"/>
      <c r="P23" s="46"/>
      <c r="Q23" s="46"/>
      <c r="R23" s="46"/>
      <c r="S23" s="46"/>
      <c r="T23" s="46"/>
      <c r="U23" s="46"/>
    </row>
    <row r="24">
      <c r="A24" s="80">
        <v>43703.925</v>
      </c>
      <c r="B24" s="81" t="s">
        <v>353</v>
      </c>
      <c r="C24" s="81" t="s">
        <v>354</v>
      </c>
      <c r="D24" s="81" t="s">
        <v>355</v>
      </c>
      <c r="E24" s="82" t="s">
        <v>259</v>
      </c>
      <c r="F24" s="83">
        <v>44.0</v>
      </c>
      <c r="G24" s="84" t="s">
        <v>356</v>
      </c>
      <c r="H24" s="82" t="s">
        <v>254</v>
      </c>
      <c r="I24" s="82" t="s">
        <v>335</v>
      </c>
      <c r="J24" s="82" t="s">
        <v>357</v>
      </c>
      <c r="K24" s="39"/>
      <c r="L24" s="83" t="s">
        <v>358</v>
      </c>
      <c r="M24" s="85" t="s">
        <v>26</v>
      </c>
      <c r="N24" s="46"/>
      <c r="O24" s="46"/>
      <c r="P24" s="46"/>
      <c r="Q24" s="46"/>
      <c r="R24" s="46"/>
      <c r="S24" s="46"/>
      <c r="T24" s="46"/>
      <c r="U24" s="46"/>
    </row>
    <row r="25">
      <c r="A25" s="80">
        <v>43703.924305555556</v>
      </c>
      <c r="B25" s="81" t="s">
        <v>353</v>
      </c>
      <c r="C25" s="81" t="s">
        <v>354</v>
      </c>
      <c r="D25" s="81" t="s">
        <v>355</v>
      </c>
      <c r="E25" s="82" t="s">
        <v>259</v>
      </c>
      <c r="F25" s="83">
        <v>44.0</v>
      </c>
      <c r="G25" s="84" t="s">
        <v>356</v>
      </c>
      <c r="H25" s="82" t="s">
        <v>254</v>
      </c>
      <c r="I25" s="82" t="s">
        <v>335</v>
      </c>
      <c r="J25" s="82" t="s">
        <v>357</v>
      </c>
      <c r="K25" s="39"/>
      <c r="L25" s="83" t="s">
        <v>293</v>
      </c>
      <c r="M25" s="85" t="s">
        <v>26</v>
      </c>
      <c r="N25" s="46"/>
      <c r="O25" s="46"/>
      <c r="P25" s="46"/>
      <c r="Q25" s="46"/>
      <c r="R25" s="46"/>
      <c r="S25" s="46"/>
      <c r="T25" s="46"/>
      <c r="U25" s="46"/>
    </row>
    <row r="26">
      <c r="A26" s="80">
        <v>43703.916666666664</v>
      </c>
      <c r="B26" s="81" t="s">
        <v>359</v>
      </c>
      <c r="C26" s="81" t="s">
        <v>360</v>
      </c>
      <c r="D26" s="81" t="s">
        <v>345</v>
      </c>
      <c r="E26" s="82" t="s">
        <v>361</v>
      </c>
      <c r="F26" s="83">
        <v>91.0</v>
      </c>
      <c r="G26" s="84">
        <v>9.19167321231E11</v>
      </c>
      <c r="H26" s="82" t="s">
        <v>254</v>
      </c>
      <c r="I26" s="82" t="s">
        <v>335</v>
      </c>
      <c r="J26" s="82" t="s">
        <v>335</v>
      </c>
      <c r="K26" s="39"/>
      <c r="L26" s="83" t="s">
        <v>336</v>
      </c>
      <c r="M26" s="85" t="s">
        <v>337</v>
      </c>
      <c r="N26" s="46"/>
      <c r="O26" s="46"/>
      <c r="P26" s="46"/>
      <c r="Q26" s="46"/>
      <c r="R26" s="46"/>
      <c r="S26" s="46"/>
      <c r="T26" s="46"/>
      <c r="U26" s="46"/>
    </row>
    <row r="27">
      <c r="A27" s="80">
        <v>43703.86736111111</v>
      </c>
      <c r="B27" s="81" t="s">
        <v>362</v>
      </c>
      <c r="C27" s="81" t="s">
        <v>363</v>
      </c>
      <c r="D27" s="81" t="s">
        <v>364</v>
      </c>
      <c r="E27" s="82" t="s">
        <v>365</v>
      </c>
      <c r="F27" s="83">
        <v>46.0</v>
      </c>
      <c r="G27" s="84">
        <v>4.60707656142E11</v>
      </c>
      <c r="H27" s="82" t="s">
        <v>254</v>
      </c>
      <c r="I27" s="82" t="s">
        <v>335</v>
      </c>
      <c r="J27" s="82" t="s">
        <v>357</v>
      </c>
      <c r="K27" s="39"/>
      <c r="L27" s="83" t="s">
        <v>293</v>
      </c>
      <c r="M27" s="85" t="s">
        <v>26</v>
      </c>
      <c r="N27" s="46"/>
      <c r="O27" s="46"/>
      <c r="P27" s="46"/>
      <c r="Q27" s="46"/>
      <c r="R27" s="46"/>
      <c r="S27" s="46"/>
      <c r="T27" s="46"/>
      <c r="U27" s="46"/>
    </row>
    <row r="28">
      <c r="D28" s="86"/>
      <c r="G28" s="86"/>
      <c r="I28" s="86"/>
      <c r="L28" s="86"/>
      <c r="M28" s="86"/>
    </row>
    <row r="29">
      <c r="D29" s="86"/>
      <c r="G29" s="86"/>
      <c r="I29" s="86"/>
      <c r="L29" s="86"/>
      <c r="M29" s="86"/>
    </row>
    <row r="30">
      <c r="D30" s="86"/>
      <c r="G30" s="86"/>
      <c r="I30" s="86"/>
      <c r="L30" s="86"/>
      <c r="M30" s="86"/>
    </row>
    <row r="31">
      <c r="D31" s="86"/>
      <c r="G31" s="86"/>
      <c r="I31" s="86"/>
      <c r="L31" s="86"/>
      <c r="M31" s="86"/>
    </row>
    <row r="32">
      <c r="D32" s="86"/>
      <c r="G32" s="86"/>
      <c r="I32" s="86"/>
      <c r="L32" s="86"/>
      <c r="M32" s="86"/>
    </row>
    <row r="33">
      <c r="D33" s="86"/>
      <c r="G33" s="86"/>
      <c r="I33" s="86"/>
      <c r="L33" s="86"/>
      <c r="M33" s="86"/>
    </row>
    <row r="34">
      <c r="D34" s="86"/>
      <c r="G34" s="86"/>
      <c r="I34" s="86"/>
      <c r="L34" s="86"/>
      <c r="M34" s="86"/>
    </row>
    <row r="35">
      <c r="D35" s="86"/>
      <c r="G35" s="86"/>
      <c r="I35" s="86"/>
      <c r="L35" s="86"/>
      <c r="M35" s="86"/>
    </row>
    <row r="36">
      <c r="D36" s="86"/>
      <c r="E36" s="86"/>
      <c r="G36" s="86"/>
      <c r="I36" s="86"/>
      <c r="L36" s="86"/>
      <c r="M36" s="86"/>
    </row>
    <row r="37">
      <c r="D37" s="86"/>
      <c r="E37" s="86"/>
      <c r="G37" s="86"/>
      <c r="I37" s="86"/>
      <c r="L37" s="86"/>
      <c r="M37" s="86"/>
    </row>
    <row r="38">
      <c r="D38" s="86"/>
      <c r="E38" s="86"/>
      <c r="G38" s="86"/>
      <c r="I38" s="86"/>
      <c r="L38" s="86"/>
      <c r="M38" s="86"/>
    </row>
    <row r="39">
      <c r="D39" s="86"/>
      <c r="E39" s="86"/>
      <c r="G39" s="86"/>
      <c r="I39" s="86"/>
      <c r="L39" s="86"/>
      <c r="M39" s="86"/>
    </row>
    <row r="40">
      <c r="D40" s="86"/>
      <c r="E40" s="86"/>
      <c r="G40" s="86"/>
      <c r="I40" s="86"/>
      <c r="L40" s="86"/>
      <c r="M40" s="86"/>
    </row>
    <row r="41">
      <c r="D41" s="86"/>
      <c r="E41" s="86"/>
      <c r="G41" s="86"/>
      <c r="I41" s="86"/>
      <c r="L41" s="86"/>
      <c r="M41" s="86"/>
    </row>
    <row r="42">
      <c r="D42" s="86"/>
      <c r="E42" s="86"/>
      <c r="G42" s="86"/>
      <c r="I42" s="86"/>
      <c r="L42" s="86"/>
      <c r="M42" s="86"/>
    </row>
    <row r="43">
      <c r="D43" s="86"/>
      <c r="E43" s="86"/>
      <c r="G43" s="86"/>
      <c r="I43" s="86"/>
      <c r="L43" s="86"/>
      <c r="M43" s="86"/>
    </row>
    <row r="44">
      <c r="D44" s="86"/>
      <c r="E44" s="86"/>
      <c r="G44" s="86"/>
      <c r="I44" s="86"/>
      <c r="L44" s="86"/>
      <c r="M44" s="86"/>
    </row>
    <row r="45">
      <c r="D45" s="86"/>
      <c r="E45" s="86"/>
      <c r="G45" s="86"/>
      <c r="I45" s="86"/>
      <c r="L45" s="86"/>
      <c r="M45" s="86"/>
    </row>
    <row r="46">
      <c r="D46" s="86"/>
      <c r="E46" s="86"/>
      <c r="G46" s="86"/>
      <c r="I46" s="86"/>
      <c r="L46" s="86"/>
      <c r="M46" s="86"/>
    </row>
    <row r="47">
      <c r="D47" s="86"/>
      <c r="E47" s="86"/>
      <c r="G47" s="86"/>
      <c r="I47" s="86"/>
      <c r="L47" s="86"/>
      <c r="M47" s="86"/>
    </row>
    <row r="48">
      <c r="D48" s="86"/>
      <c r="E48" s="86"/>
      <c r="G48" s="86"/>
      <c r="I48" s="86"/>
      <c r="L48" s="86"/>
      <c r="M48" s="86"/>
    </row>
    <row r="49">
      <c r="D49" s="86"/>
      <c r="E49" s="86"/>
      <c r="G49" s="86"/>
      <c r="I49" s="86"/>
      <c r="L49" s="86"/>
      <c r="M49" s="86"/>
    </row>
    <row r="50">
      <c r="D50" s="86"/>
      <c r="E50" s="86"/>
      <c r="G50" s="86"/>
      <c r="I50" s="86"/>
      <c r="L50" s="86"/>
      <c r="M50" s="86"/>
    </row>
    <row r="51">
      <c r="D51" s="86"/>
      <c r="E51" s="86"/>
      <c r="G51" s="86"/>
      <c r="I51" s="86"/>
      <c r="L51" s="86"/>
      <c r="M51" s="86"/>
    </row>
    <row r="52">
      <c r="D52" s="86"/>
      <c r="E52" s="86"/>
      <c r="G52" s="86"/>
      <c r="I52" s="86"/>
      <c r="L52" s="86"/>
      <c r="M52" s="86"/>
    </row>
    <row r="53">
      <c r="D53" s="86"/>
      <c r="E53" s="86"/>
      <c r="G53" s="86"/>
      <c r="I53" s="86"/>
      <c r="L53" s="86"/>
      <c r="M53" s="86"/>
    </row>
    <row r="54">
      <c r="D54" s="86"/>
      <c r="E54" s="86"/>
      <c r="G54" s="86"/>
      <c r="I54" s="86"/>
      <c r="L54" s="86"/>
      <c r="M54" s="86"/>
    </row>
    <row r="55">
      <c r="D55" s="86"/>
      <c r="E55" s="86"/>
      <c r="G55" s="86"/>
      <c r="I55" s="86"/>
      <c r="L55" s="86"/>
      <c r="M55" s="86"/>
    </row>
    <row r="56">
      <c r="D56" s="86"/>
      <c r="E56" s="86"/>
      <c r="G56" s="86"/>
      <c r="I56" s="86"/>
      <c r="L56" s="86"/>
      <c r="M56" s="86"/>
    </row>
    <row r="57">
      <c r="D57" s="86"/>
      <c r="E57" s="86"/>
      <c r="G57" s="86"/>
      <c r="I57" s="86"/>
      <c r="L57" s="86"/>
      <c r="M57" s="86"/>
    </row>
    <row r="58">
      <c r="D58" s="86"/>
      <c r="E58" s="86"/>
      <c r="G58" s="86"/>
      <c r="I58" s="86"/>
      <c r="L58" s="86"/>
      <c r="M58" s="86"/>
    </row>
    <row r="59">
      <c r="D59" s="86"/>
      <c r="E59" s="86"/>
      <c r="G59" s="86"/>
      <c r="I59" s="86"/>
      <c r="L59" s="86"/>
      <c r="M59" s="86"/>
    </row>
    <row r="60">
      <c r="D60" s="86"/>
      <c r="E60" s="86"/>
      <c r="G60" s="86"/>
      <c r="I60" s="86"/>
      <c r="L60" s="86"/>
      <c r="M60" s="86"/>
    </row>
    <row r="61">
      <c r="D61" s="86"/>
      <c r="E61" s="86"/>
      <c r="G61" s="86"/>
      <c r="I61" s="86"/>
      <c r="L61" s="86"/>
      <c r="M61" s="86"/>
    </row>
    <row r="62">
      <c r="D62" s="86"/>
      <c r="E62" s="86"/>
      <c r="G62" s="86"/>
      <c r="I62" s="86"/>
      <c r="L62" s="86"/>
      <c r="M62" s="86"/>
    </row>
    <row r="63">
      <c r="D63" s="86"/>
      <c r="E63" s="86"/>
      <c r="G63" s="86"/>
      <c r="I63" s="86"/>
      <c r="L63" s="86"/>
      <c r="M63" s="86"/>
    </row>
    <row r="64">
      <c r="D64" s="86"/>
      <c r="E64" s="86"/>
      <c r="G64" s="86"/>
      <c r="I64" s="86"/>
      <c r="L64" s="86"/>
      <c r="M64" s="86"/>
    </row>
    <row r="65">
      <c r="D65" s="86"/>
      <c r="E65" s="86"/>
      <c r="G65" s="86"/>
      <c r="I65" s="86"/>
      <c r="L65" s="86"/>
      <c r="M65" s="86"/>
    </row>
    <row r="66">
      <c r="D66" s="86"/>
      <c r="E66" s="86"/>
      <c r="G66" s="86"/>
      <c r="I66" s="86"/>
      <c r="L66" s="86"/>
      <c r="M66" s="86"/>
    </row>
    <row r="67">
      <c r="D67" s="86"/>
      <c r="E67" s="86"/>
      <c r="G67" s="86"/>
      <c r="I67" s="86"/>
      <c r="L67" s="86"/>
      <c r="M67" s="86"/>
    </row>
    <row r="68">
      <c r="D68" s="86"/>
      <c r="E68" s="86"/>
      <c r="G68" s="86"/>
      <c r="I68" s="86"/>
      <c r="L68" s="86"/>
      <c r="M68" s="86"/>
    </row>
    <row r="69">
      <c r="D69" s="86"/>
      <c r="E69" s="86"/>
      <c r="G69" s="86"/>
      <c r="I69" s="86"/>
      <c r="L69" s="86"/>
      <c r="M69" s="86"/>
    </row>
    <row r="70">
      <c r="D70" s="86"/>
      <c r="E70" s="86"/>
      <c r="G70" s="86"/>
      <c r="I70" s="86"/>
      <c r="L70" s="86"/>
      <c r="M70" s="86"/>
    </row>
    <row r="71">
      <c r="D71" s="86"/>
      <c r="E71" s="86"/>
      <c r="G71" s="86"/>
      <c r="I71" s="86"/>
      <c r="L71" s="86"/>
      <c r="M71" s="86"/>
    </row>
    <row r="72">
      <c r="D72" s="86"/>
      <c r="E72" s="86"/>
      <c r="G72" s="86"/>
      <c r="I72" s="86"/>
      <c r="L72" s="86"/>
      <c r="M72" s="86"/>
    </row>
    <row r="73">
      <c r="D73" s="86"/>
      <c r="E73" s="86"/>
      <c r="G73" s="86"/>
      <c r="I73" s="86"/>
      <c r="L73" s="86"/>
      <c r="M73" s="86"/>
    </row>
    <row r="74">
      <c r="D74" s="86"/>
      <c r="E74" s="86"/>
      <c r="G74" s="86"/>
      <c r="I74" s="86"/>
      <c r="L74" s="86"/>
      <c r="M74" s="86"/>
    </row>
    <row r="75">
      <c r="D75" s="86"/>
      <c r="E75" s="86"/>
      <c r="G75" s="86"/>
      <c r="I75" s="86"/>
      <c r="L75" s="86"/>
      <c r="M75" s="86"/>
    </row>
    <row r="76">
      <c r="D76" s="86"/>
      <c r="E76" s="86"/>
      <c r="G76" s="86"/>
      <c r="I76" s="86"/>
      <c r="L76" s="86"/>
      <c r="M76" s="86"/>
    </row>
    <row r="77">
      <c r="D77" s="86"/>
      <c r="E77" s="86"/>
      <c r="G77" s="86"/>
      <c r="I77" s="86"/>
      <c r="L77" s="86"/>
      <c r="M77" s="86"/>
    </row>
    <row r="78">
      <c r="D78" s="86"/>
      <c r="E78" s="86"/>
      <c r="G78" s="86"/>
      <c r="I78" s="86"/>
      <c r="L78" s="86"/>
      <c r="M78" s="86"/>
    </row>
    <row r="79">
      <c r="D79" s="86"/>
      <c r="E79" s="86"/>
      <c r="G79" s="86"/>
      <c r="I79" s="86"/>
      <c r="L79" s="86"/>
      <c r="M79" s="86"/>
    </row>
    <row r="80">
      <c r="D80" s="86"/>
      <c r="E80" s="86"/>
      <c r="G80" s="86"/>
      <c r="I80" s="86"/>
      <c r="L80" s="86"/>
      <c r="M80" s="86"/>
    </row>
    <row r="81">
      <c r="D81" s="86"/>
      <c r="E81" s="86"/>
      <c r="G81" s="86"/>
      <c r="I81" s="86"/>
      <c r="L81" s="86"/>
      <c r="M81" s="86"/>
    </row>
    <row r="82">
      <c r="D82" s="86"/>
      <c r="E82" s="86"/>
      <c r="G82" s="86"/>
      <c r="I82" s="86"/>
      <c r="L82" s="86"/>
      <c r="M82" s="86"/>
    </row>
    <row r="83">
      <c r="D83" s="86"/>
      <c r="E83" s="86"/>
      <c r="G83" s="86"/>
      <c r="I83" s="86"/>
      <c r="L83" s="86"/>
      <c r="M83" s="86"/>
    </row>
    <row r="84">
      <c r="D84" s="86"/>
      <c r="E84" s="86"/>
      <c r="G84" s="86"/>
      <c r="I84" s="86"/>
      <c r="L84" s="86"/>
      <c r="M84" s="86"/>
    </row>
    <row r="85">
      <c r="D85" s="86"/>
      <c r="E85" s="86"/>
      <c r="G85" s="86"/>
      <c r="I85" s="86"/>
      <c r="L85" s="86"/>
      <c r="M85" s="86"/>
    </row>
    <row r="86">
      <c r="D86" s="86"/>
      <c r="E86" s="86"/>
      <c r="G86" s="86"/>
      <c r="I86" s="86"/>
      <c r="L86" s="86"/>
      <c r="M86" s="86"/>
    </row>
    <row r="87">
      <c r="D87" s="86"/>
      <c r="E87" s="86"/>
      <c r="G87" s="86"/>
      <c r="I87" s="86"/>
      <c r="L87" s="86"/>
      <c r="M87" s="86"/>
    </row>
    <row r="88">
      <c r="D88" s="86"/>
      <c r="E88" s="86"/>
      <c r="G88" s="86"/>
      <c r="I88" s="86"/>
      <c r="L88" s="86"/>
      <c r="M88" s="86"/>
    </row>
    <row r="89">
      <c r="D89" s="86"/>
      <c r="E89" s="86"/>
      <c r="G89" s="86"/>
      <c r="I89" s="86"/>
      <c r="L89" s="86"/>
      <c r="M89" s="86"/>
    </row>
    <row r="90">
      <c r="D90" s="86"/>
      <c r="E90" s="86"/>
      <c r="G90" s="86"/>
      <c r="I90" s="86"/>
      <c r="L90" s="86"/>
      <c r="M90" s="86"/>
    </row>
    <row r="91">
      <c r="D91" s="86"/>
      <c r="E91" s="86"/>
      <c r="G91" s="86"/>
      <c r="I91" s="86"/>
      <c r="L91" s="86"/>
      <c r="M91" s="86"/>
    </row>
    <row r="92">
      <c r="D92" s="86"/>
      <c r="E92" s="86"/>
      <c r="G92" s="86"/>
      <c r="I92" s="86"/>
      <c r="L92" s="86"/>
      <c r="M92" s="86"/>
    </row>
    <row r="93">
      <c r="D93" s="86"/>
      <c r="E93" s="86"/>
      <c r="G93" s="86"/>
      <c r="I93" s="86"/>
      <c r="L93" s="86"/>
      <c r="M93" s="86"/>
    </row>
    <row r="94">
      <c r="D94" s="86"/>
      <c r="E94" s="86"/>
      <c r="G94" s="86"/>
      <c r="I94" s="86"/>
      <c r="L94" s="86"/>
      <c r="M94" s="86"/>
    </row>
    <row r="95">
      <c r="D95" s="86"/>
      <c r="E95" s="86"/>
      <c r="G95" s="86"/>
      <c r="I95" s="86"/>
      <c r="L95" s="86"/>
      <c r="M95" s="86"/>
    </row>
    <row r="96">
      <c r="D96" s="86"/>
      <c r="E96" s="86"/>
      <c r="G96" s="86"/>
      <c r="I96" s="86"/>
      <c r="L96" s="86"/>
      <c r="M96" s="86"/>
    </row>
    <row r="97">
      <c r="D97" s="86"/>
      <c r="E97" s="86"/>
      <c r="G97" s="86"/>
      <c r="I97" s="86"/>
      <c r="L97" s="86"/>
      <c r="M97" s="86"/>
    </row>
    <row r="98">
      <c r="D98" s="86"/>
      <c r="E98" s="86"/>
      <c r="G98" s="86"/>
      <c r="I98" s="86"/>
      <c r="L98" s="86"/>
      <c r="M98" s="86"/>
    </row>
    <row r="99">
      <c r="D99" s="86"/>
      <c r="E99" s="86"/>
      <c r="G99" s="86"/>
      <c r="I99" s="86"/>
      <c r="L99" s="86"/>
      <c r="M99" s="86"/>
    </row>
    <row r="100">
      <c r="D100" s="86"/>
      <c r="E100" s="86"/>
      <c r="G100" s="86"/>
      <c r="I100" s="86"/>
      <c r="L100" s="86"/>
      <c r="M100" s="86"/>
    </row>
    <row r="101">
      <c r="D101" s="86"/>
      <c r="E101" s="86"/>
      <c r="G101" s="86"/>
      <c r="I101" s="86"/>
      <c r="L101" s="86"/>
      <c r="M101" s="86"/>
    </row>
    <row r="102">
      <c r="D102" s="86"/>
      <c r="E102" s="86"/>
      <c r="G102" s="86"/>
      <c r="I102" s="86"/>
      <c r="L102" s="86"/>
      <c r="M102" s="86"/>
    </row>
    <row r="103">
      <c r="D103" s="86"/>
      <c r="E103" s="86"/>
      <c r="G103" s="86"/>
      <c r="I103" s="86"/>
      <c r="L103" s="86"/>
      <c r="M103" s="86"/>
    </row>
    <row r="104">
      <c r="D104" s="86"/>
      <c r="E104" s="86"/>
      <c r="G104" s="86"/>
      <c r="I104" s="86"/>
      <c r="L104" s="86"/>
      <c r="M104" s="86"/>
    </row>
    <row r="105">
      <c r="D105" s="86"/>
      <c r="E105" s="86"/>
      <c r="G105" s="86"/>
      <c r="I105" s="86"/>
      <c r="L105" s="86"/>
      <c r="M105" s="86"/>
    </row>
    <row r="106">
      <c r="D106" s="86"/>
      <c r="E106" s="86"/>
      <c r="G106" s="86"/>
      <c r="I106" s="86"/>
      <c r="L106" s="86"/>
      <c r="M106" s="86"/>
    </row>
    <row r="107">
      <c r="D107" s="86"/>
      <c r="E107" s="86"/>
      <c r="G107" s="86"/>
      <c r="I107" s="86"/>
      <c r="L107" s="86"/>
      <c r="M107" s="86"/>
    </row>
    <row r="108">
      <c r="D108" s="86"/>
      <c r="E108" s="86"/>
      <c r="G108" s="86"/>
      <c r="I108" s="86"/>
      <c r="L108" s="86"/>
      <c r="M108" s="86"/>
    </row>
    <row r="109">
      <c r="D109" s="86"/>
      <c r="E109" s="86"/>
      <c r="G109" s="86"/>
      <c r="I109" s="86"/>
      <c r="L109" s="86"/>
      <c r="M109" s="86"/>
    </row>
    <row r="110">
      <c r="D110" s="86"/>
      <c r="E110" s="86"/>
      <c r="G110" s="86"/>
      <c r="I110" s="86"/>
      <c r="L110" s="86"/>
      <c r="M110" s="86"/>
    </row>
    <row r="111">
      <c r="D111" s="86"/>
      <c r="E111" s="86"/>
      <c r="G111" s="86"/>
      <c r="I111" s="86"/>
      <c r="L111" s="86"/>
      <c r="M111" s="86"/>
    </row>
    <row r="112">
      <c r="D112" s="86"/>
      <c r="E112" s="86"/>
      <c r="G112" s="86"/>
      <c r="I112" s="86"/>
      <c r="L112" s="86"/>
      <c r="M112" s="86"/>
    </row>
    <row r="113">
      <c r="D113" s="86"/>
      <c r="E113" s="86"/>
      <c r="G113" s="86"/>
      <c r="I113" s="86"/>
      <c r="L113" s="86"/>
      <c r="M113" s="86"/>
    </row>
    <row r="114">
      <c r="D114" s="86"/>
      <c r="E114" s="86"/>
      <c r="G114" s="86"/>
      <c r="I114" s="86"/>
      <c r="L114" s="86"/>
      <c r="M114" s="86"/>
    </row>
    <row r="115">
      <c r="D115" s="86"/>
      <c r="E115" s="86"/>
      <c r="G115" s="86"/>
      <c r="I115" s="86"/>
      <c r="L115" s="86"/>
      <c r="M115" s="86"/>
    </row>
    <row r="116">
      <c r="D116" s="86"/>
      <c r="E116" s="86"/>
      <c r="G116" s="86"/>
      <c r="I116" s="86"/>
      <c r="L116" s="86"/>
      <c r="M116" s="86"/>
    </row>
    <row r="117">
      <c r="D117" s="86"/>
      <c r="E117" s="86"/>
      <c r="G117" s="86"/>
      <c r="I117" s="86"/>
      <c r="L117" s="86"/>
      <c r="M117" s="86"/>
    </row>
    <row r="118">
      <c r="D118" s="86"/>
      <c r="E118" s="86"/>
      <c r="G118" s="86"/>
      <c r="I118" s="86"/>
      <c r="L118" s="86"/>
      <c r="M118" s="86"/>
    </row>
    <row r="119">
      <c r="D119" s="86"/>
      <c r="E119" s="86"/>
      <c r="G119" s="86"/>
      <c r="I119" s="86"/>
      <c r="L119" s="86"/>
      <c r="M119" s="86"/>
    </row>
    <row r="120">
      <c r="D120" s="86"/>
      <c r="E120" s="86"/>
      <c r="G120" s="86"/>
      <c r="I120" s="86"/>
      <c r="L120" s="86"/>
      <c r="M120" s="86"/>
    </row>
    <row r="121">
      <c r="D121" s="86"/>
      <c r="E121" s="86"/>
      <c r="G121" s="86"/>
      <c r="I121" s="86"/>
      <c r="L121" s="86"/>
      <c r="M121" s="86"/>
    </row>
    <row r="122">
      <c r="D122" s="86"/>
      <c r="E122" s="86"/>
      <c r="G122" s="86"/>
      <c r="I122" s="86"/>
      <c r="L122" s="86"/>
      <c r="M122" s="86"/>
    </row>
    <row r="123">
      <c r="D123" s="86"/>
      <c r="E123" s="86"/>
      <c r="G123" s="86"/>
      <c r="I123" s="86"/>
      <c r="L123" s="86"/>
      <c r="M123" s="86"/>
    </row>
    <row r="124">
      <c r="D124" s="86"/>
      <c r="E124" s="86"/>
      <c r="G124" s="86"/>
      <c r="I124" s="86"/>
      <c r="L124" s="86"/>
      <c r="M124" s="86"/>
    </row>
    <row r="125">
      <c r="D125" s="86"/>
      <c r="E125" s="86"/>
      <c r="G125" s="86"/>
      <c r="I125" s="86"/>
      <c r="L125" s="86"/>
      <c r="M125" s="86"/>
    </row>
    <row r="126">
      <c r="D126" s="86"/>
      <c r="E126" s="86"/>
      <c r="G126" s="86"/>
      <c r="I126" s="86"/>
      <c r="L126" s="86"/>
      <c r="M126" s="86"/>
    </row>
    <row r="127">
      <c r="D127" s="86"/>
      <c r="E127" s="86"/>
      <c r="G127" s="86"/>
      <c r="I127" s="86"/>
      <c r="L127" s="86"/>
      <c r="M127" s="86"/>
    </row>
    <row r="128">
      <c r="D128" s="86"/>
      <c r="E128" s="86"/>
      <c r="G128" s="86"/>
      <c r="I128" s="86"/>
      <c r="L128" s="86"/>
      <c r="M128" s="86"/>
    </row>
    <row r="129">
      <c r="D129" s="86"/>
      <c r="E129" s="86"/>
      <c r="G129" s="86"/>
      <c r="I129" s="86"/>
      <c r="L129" s="86"/>
      <c r="M129" s="86"/>
    </row>
    <row r="130">
      <c r="D130" s="86"/>
      <c r="E130" s="86"/>
      <c r="G130" s="86"/>
      <c r="I130" s="86"/>
      <c r="L130" s="86"/>
      <c r="M130" s="86"/>
    </row>
    <row r="131">
      <c r="D131" s="86"/>
      <c r="E131" s="86"/>
      <c r="G131" s="86"/>
      <c r="I131" s="86"/>
      <c r="L131" s="86"/>
      <c r="M131" s="86"/>
    </row>
    <row r="132">
      <c r="D132" s="86"/>
      <c r="E132" s="86"/>
      <c r="G132" s="86"/>
      <c r="I132" s="86"/>
      <c r="L132" s="86"/>
      <c r="M132" s="86"/>
    </row>
    <row r="133">
      <c r="D133" s="86"/>
      <c r="E133" s="86"/>
      <c r="G133" s="86"/>
      <c r="I133" s="86"/>
      <c r="L133" s="86"/>
      <c r="M133" s="86"/>
    </row>
    <row r="134">
      <c r="D134" s="86"/>
      <c r="E134" s="86"/>
      <c r="G134" s="86"/>
      <c r="I134" s="86"/>
      <c r="L134" s="86"/>
      <c r="M134" s="86"/>
    </row>
    <row r="135">
      <c r="D135" s="86"/>
      <c r="E135" s="86"/>
      <c r="G135" s="86"/>
      <c r="I135" s="86"/>
      <c r="L135" s="86"/>
      <c r="M135" s="86"/>
    </row>
    <row r="136">
      <c r="D136" s="86"/>
      <c r="E136" s="86"/>
      <c r="G136" s="86"/>
      <c r="I136" s="86"/>
      <c r="L136" s="86"/>
      <c r="M136" s="86"/>
    </row>
    <row r="137">
      <c r="D137" s="86"/>
      <c r="E137" s="86"/>
      <c r="G137" s="86"/>
      <c r="I137" s="86"/>
      <c r="L137" s="86"/>
      <c r="M137" s="86"/>
    </row>
    <row r="138">
      <c r="D138" s="86"/>
      <c r="E138" s="86"/>
      <c r="G138" s="86"/>
      <c r="I138" s="86"/>
      <c r="L138" s="86"/>
      <c r="M138" s="86"/>
    </row>
    <row r="139">
      <c r="D139" s="86"/>
      <c r="E139" s="86"/>
      <c r="G139" s="86"/>
      <c r="I139" s="86"/>
      <c r="L139" s="86"/>
      <c r="M139" s="86"/>
    </row>
    <row r="140">
      <c r="D140" s="86"/>
      <c r="E140" s="86"/>
      <c r="G140" s="86"/>
      <c r="I140" s="86"/>
      <c r="L140" s="86"/>
      <c r="M140" s="86"/>
    </row>
    <row r="141">
      <c r="D141" s="86"/>
      <c r="E141" s="86"/>
      <c r="G141" s="86"/>
      <c r="I141" s="86"/>
      <c r="L141" s="86"/>
      <c r="M141" s="86"/>
    </row>
    <row r="142">
      <c r="D142" s="86"/>
      <c r="E142" s="86"/>
      <c r="G142" s="86"/>
      <c r="I142" s="86"/>
      <c r="L142" s="86"/>
      <c r="M142" s="86"/>
    </row>
    <row r="143">
      <c r="D143" s="86"/>
      <c r="E143" s="86"/>
      <c r="G143" s="86"/>
      <c r="I143" s="86"/>
      <c r="L143" s="86"/>
      <c r="M143" s="86"/>
    </row>
    <row r="144">
      <c r="D144" s="86"/>
      <c r="E144" s="86"/>
      <c r="G144" s="86"/>
      <c r="I144" s="86"/>
      <c r="L144" s="86"/>
      <c r="M144" s="86"/>
    </row>
    <row r="145">
      <c r="D145" s="86"/>
      <c r="E145" s="86"/>
      <c r="G145" s="86"/>
      <c r="I145" s="86"/>
      <c r="L145" s="86"/>
      <c r="M145" s="86"/>
    </row>
    <row r="146">
      <c r="D146" s="86"/>
      <c r="E146" s="86"/>
      <c r="G146" s="86"/>
      <c r="I146" s="86"/>
      <c r="L146" s="86"/>
      <c r="M146" s="86"/>
    </row>
    <row r="147">
      <c r="D147" s="86"/>
      <c r="E147" s="86"/>
      <c r="G147" s="86"/>
      <c r="I147" s="86"/>
      <c r="L147" s="86"/>
      <c r="M147" s="86"/>
    </row>
    <row r="148">
      <c r="D148" s="86"/>
      <c r="E148" s="86"/>
      <c r="G148" s="86"/>
      <c r="I148" s="86"/>
      <c r="L148" s="86"/>
      <c r="M148" s="86"/>
    </row>
    <row r="149">
      <c r="D149" s="86"/>
      <c r="E149" s="86"/>
      <c r="G149" s="86"/>
      <c r="I149" s="86"/>
      <c r="L149" s="86"/>
      <c r="M149" s="86"/>
    </row>
    <row r="150">
      <c r="D150" s="86"/>
      <c r="E150" s="86"/>
      <c r="G150" s="86"/>
      <c r="I150" s="86"/>
      <c r="L150" s="86"/>
      <c r="M150" s="86"/>
    </row>
    <row r="151">
      <c r="D151" s="86"/>
      <c r="E151" s="86"/>
      <c r="G151" s="86"/>
      <c r="I151" s="86"/>
      <c r="L151" s="86"/>
      <c r="M151" s="86"/>
    </row>
    <row r="152">
      <c r="D152" s="86"/>
      <c r="E152" s="86"/>
      <c r="G152" s="86"/>
      <c r="I152" s="86"/>
      <c r="L152" s="86"/>
      <c r="M152" s="86"/>
    </row>
    <row r="153">
      <c r="D153" s="86"/>
      <c r="E153" s="86"/>
      <c r="G153" s="86"/>
      <c r="I153" s="86"/>
      <c r="L153" s="86"/>
      <c r="M153" s="86"/>
    </row>
    <row r="154">
      <c r="D154" s="86"/>
      <c r="E154" s="86"/>
      <c r="G154" s="86"/>
      <c r="I154" s="86"/>
      <c r="L154" s="86"/>
      <c r="M154" s="86"/>
    </row>
    <row r="155">
      <c r="D155" s="86"/>
      <c r="E155" s="86"/>
      <c r="G155" s="86"/>
      <c r="I155" s="86"/>
      <c r="L155" s="86"/>
      <c r="M155" s="86"/>
    </row>
    <row r="156">
      <c r="D156" s="86"/>
      <c r="E156" s="86"/>
      <c r="G156" s="86"/>
      <c r="I156" s="86"/>
      <c r="L156" s="86"/>
      <c r="M156" s="86"/>
    </row>
    <row r="157">
      <c r="D157" s="86"/>
      <c r="E157" s="86"/>
      <c r="G157" s="86"/>
      <c r="I157" s="86"/>
      <c r="L157" s="86"/>
      <c r="M157" s="86"/>
    </row>
    <row r="158">
      <c r="D158" s="86"/>
      <c r="E158" s="86"/>
      <c r="G158" s="86"/>
      <c r="I158" s="86"/>
      <c r="L158" s="86"/>
      <c r="M158" s="86"/>
    </row>
    <row r="159">
      <c r="D159" s="86"/>
      <c r="E159" s="86"/>
      <c r="G159" s="86"/>
      <c r="I159" s="86"/>
      <c r="L159" s="86"/>
      <c r="M159" s="86"/>
    </row>
    <row r="160">
      <c r="D160" s="86"/>
      <c r="E160" s="86"/>
      <c r="G160" s="86"/>
      <c r="I160" s="86"/>
      <c r="L160" s="86"/>
      <c r="M160" s="86"/>
    </row>
    <row r="161">
      <c r="D161" s="86"/>
      <c r="E161" s="86"/>
      <c r="G161" s="86"/>
      <c r="I161" s="86"/>
      <c r="L161" s="86"/>
      <c r="M161" s="86"/>
    </row>
    <row r="162">
      <c r="D162" s="86"/>
      <c r="E162" s="86"/>
      <c r="G162" s="86"/>
      <c r="I162" s="86"/>
      <c r="L162" s="86"/>
      <c r="M162" s="86"/>
    </row>
    <row r="163">
      <c r="D163" s="86"/>
      <c r="E163" s="86"/>
      <c r="G163" s="86"/>
      <c r="I163" s="86"/>
      <c r="L163" s="86"/>
      <c r="M163" s="86"/>
    </row>
    <row r="164">
      <c r="D164" s="86"/>
      <c r="E164" s="86"/>
      <c r="G164" s="86"/>
      <c r="I164" s="86"/>
      <c r="L164" s="86"/>
      <c r="M164" s="86"/>
    </row>
    <row r="165">
      <c r="D165" s="86"/>
      <c r="E165" s="86"/>
      <c r="G165" s="86"/>
      <c r="I165" s="86"/>
      <c r="L165" s="86"/>
      <c r="M165" s="86"/>
    </row>
    <row r="166">
      <c r="D166" s="86"/>
      <c r="E166" s="86"/>
      <c r="G166" s="86"/>
      <c r="I166" s="86"/>
      <c r="L166" s="86"/>
      <c r="M166" s="86"/>
    </row>
    <row r="167">
      <c r="D167" s="86"/>
      <c r="E167" s="86"/>
      <c r="G167" s="86"/>
      <c r="I167" s="86"/>
      <c r="L167" s="86"/>
      <c r="M167" s="86"/>
    </row>
    <row r="168">
      <c r="D168" s="86"/>
      <c r="E168" s="86"/>
      <c r="G168" s="86"/>
      <c r="I168" s="86"/>
      <c r="L168" s="86"/>
      <c r="M168" s="86"/>
    </row>
    <row r="169">
      <c r="D169" s="86"/>
      <c r="E169" s="86"/>
      <c r="G169" s="86"/>
      <c r="I169" s="86"/>
      <c r="L169" s="86"/>
      <c r="M169" s="86"/>
    </row>
    <row r="170">
      <c r="D170" s="86"/>
      <c r="E170" s="86"/>
      <c r="G170" s="86"/>
      <c r="I170" s="86"/>
      <c r="L170" s="86"/>
      <c r="M170" s="86"/>
    </row>
    <row r="171">
      <c r="D171" s="86"/>
      <c r="E171" s="86"/>
      <c r="G171" s="86"/>
      <c r="I171" s="86"/>
      <c r="L171" s="86"/>
      <c r="M171" s="86"/>
    </row>
    <row r="172">
      <c r="D172" s="86"/>
      <c r="E172" s="86"/>
      <c r="G172" s="86"/>
      <c r="I172" s="86"/>
      <c r="L172" s="86"/>
      <c r="M172" s="86"/>
    </row>
    <row r="173">
      <c r="D173" s="86"/>
      <c r="E173" s="86"/>
      <c r="G173" s="86"/>
      <c r="I173" s="86"/>
      <c r="L173" s="86"/>
      <c r="M173" s="86"/>
    </row>
    <row r="174">
      <c r="D174" s="86"/>
      <c r="E174" s="86"/>
      <c r="G174" s="86"/>
      <c r="I174" s="86"/>
      <c r="L174" s="86"/>
      <c r="M174" s="86"/>
    </row>
    <row r="175">
      <c r="D175" s="86"/>
      <c r="E175" s="86"/>
      <c r="G175" s="86"/>
      <c r="I175" s="86"/>
      <c r="L175" s="86"/>
      <c r="M175" s="86"/>
    </row>
    <row r="176">
      <c r="D176" s="86"/>
      <c r="E176" s="86"/>
      <c r="G176" s="86"/>
      <c r="I176" s="86"/>
      <c r="L176" s="86"/>
      <c r="M176" s="86"/>
    </row>
    <row r="177">
      <c r="D177" s="86"/>
      <c r="E177" s="86"/>
      <c r="G177" s="86"/>
      <c r="I177" s="86"/>
      <c r="L177" s="86"/>
      <c r="M177" s="86"/>
    </row>
    <row r="178">
      <c r="D178" s="86"/>
      <c r="E178" s="86"/>
      <c r="G178" s="86"/>
      <c r="I178" s="86"/>
      <c r="L178" s="86"/>
      <c r="M178" s="86"/>
    </row>
    <row r="179">
      <c r="D179" s="86"/>
      <c r="E179" s="86"/>
      <c r="G179" s="86"/>
      <c r="I179" s="86"/>
      <c r="L179" s="86"/>
      <c r="M179" s="86"/>
    </row>
    <row r="180">
      <c r="D180" s="86"/>
      <c r="E180" s="86"/>
      <c r="G180" s="86"/>
      <c r="I180" s="86"/>
      <c r="L180" s="86"/>
      <c r="M180" s="86"/>
    </row>
    <row r="181">
      <c r="D181" s="86"/>
      <c r="E181" s="86"/>
      <c r="G181" s="86"/>
      <c r="I181" s="86"/>
      <c r="L181" s="86"/>
      <c r="M181" s="86"/>
    </row>
    <row r="182">
      <c r="D182" s="86"/>
      <c r="E182" s="86"/>
      <c r="G182" s="86"/>
      <c r="I182" s="86"/>
      <c r="L182" s="86"/>
      <c r="M182" s="86"/>
    </row>
    <row r="183">
      <c r="D183" s="86"/>
      <c r="E183" s="86"/>
      <c r="G183" s="86"/>
      <c r="I183" s="86"/>
      <c r="L183" s="86"/>
      <c r="M183" s="86"/>
    </row>
    <row r="184">
      <c r="D184" s="86"/>
      <c r="E184" s="86"/>
      <c r="G184" s="86"/>
      <c r="I184" s="86"/>
      <c r="L184" s="86"/>
      <c r="M184" s="86"/>
    </row>
    <row r="185">
      <c r="D185" s="86"/>
      <c r="E185" s="86"/>
      <c r="G185" s="86"/>
      <c r="I185" s="86"/>
      <c r="L185" s="86"/>
      <c r="M185" s="86"/>
    </row>
    <row r="186">
      <c r="D186" s="86"/>
      <c r="E186" s="86"/>
      <c r="G186" s="86"/>
      <c r="I186" s="86"/>
      <c r="L186" s="86"/>
      <c r="M186" s="86"/>
    </row>
    <row r="187">
      <c r="D187" s="86"/>
      <c r="E187" s="86"/>
      <c r="G187" s="86"/>
      <c r="I187" s="86"/>
      <c r="L187" s="86"/>
      <c r="M187" s="86"/>
    </row>
    <row r="188">
      <c r="D188" s="86"/>
      <c r="E188" s="86"/>
      <c r="G188" s="86"/>
      <c r="I188" s="86"/>
      <c r="L188" s="86"/>
      <c r="M188" s="86"/>
    </row>
    <row r="189">
      <c r="D189" s="86"/>
      <c r="E189" s="86"/>
      <c r="G189" s="86"/>
      <c r="I189" s="86"/>
      <c r="L189" s="86"/>
      <c r="M189" s="86"/>
    </row>
    <row r="190">
      <c r="D190" s="86"/>
      <c r="E190" s="86"/>
      <c r="G190" s="86"/>
      <c r="I190" s="86"/>
      <c r="L190" s="86"/>
      <c r="M190" s="86"/>
    </row>
    <row r="191">
      <c r="D191" s="86"/>
      <c r="E191" s="86"/>
      <c r="G191" s="86"/>
      <c r="I191" s="86"/>
      <c r="L191" s="86"/>
      <c r="M191" s="86"/>
    </row>
    <row r="192">
      <c r="D192" s="86"/>
      <c r="E192" s="86"/>
      <c r="G192" s="86"/>
      <c r="I192" s="86"/>
      <c r="L192" s="86"/>
      <c r="M192" s="86"/>
    </row>
    <row r="193">
      <c r="D193" s="86"/>
      <c r="E193" s="86"/>
      <c r="G193" s="86"/>
      <c r="I193" s="86"/>
      <c r="L193" s="86"/>
      <c r="M193" s="86"/>
    </row>
    <row r="194">
      <c r="D194" s="86"/>
      <c r="E194" s="86"/>
      <c r="G194" s="86"/>
      <c r="I194" s="86"/>
      <c r="L194" s="86"/>
      <c r="M194" s="86"/>
    </row>
    <row r="195">
      <c r="D195" s="86"/>
      <c r="E195" s="86"/>
      <c r="G195" s="86"/>
      <c r="I195" s="86"/>
      <c r="L195" s="86"/>
      <c r="M195" s="86"/>
    </row>
    <row r="196">
      <c r="D196" s="86"/>
      <c r="E196" s="86"/>
      <c r="G196" s="86"/>
      <c r="I196" s="86"/>
      <c r="L196" s="86"/>
      <c r="M196" s="86"/>
    </row>
    <row r="197">
      <c r="D197" s="86"/>
      <c r="E197" s="86"/>
      <c r="G197" s="86"/>
      <c r="I197" s="86"/>
      <c r="L197" s="86"/>
      <c r="M197" s="86"/>
    </row>
    <row r="198">
      <c r="D198" s="86"/>
      <c r="E198" s="86"/>
      <c r="G198" s="86"/>
      <c r="I198" s="86"/>
      <c r="L198" s="86"/>
      <c r="M198" s="86"/>
    </row>
    <row r="199">
      <c r="D199" s="86"/>
      <c r="E199" s="86"/>
      <c r="G199" s="86"/>
      <c r="I199" s="86"/>
      <c r="L199" s="86"/>
      <c r="M199" s="86"/>
    </row>
    <row r="200">
      <c r="D200" s="86"/>
      <c r="E200" s="86"/>
      <c r="G200" s="86"/>
      <c r="I200" s="86"/>
      <c r="L200" s="86"/>
      <c r="M200" s="86"/>
    </row>
    <row r="201">
      <c r="D201" s="86"/>
      <c r="E201" s="86"/>
      <c r="G201" s="86"/>
      <c r="I201" s="86"/>
      <c r="L201" s="86"/>
      <c r="M201" s="86"/>
    </row>
    <row r="202">
      <c r="D202" s="86"/>
      <c r="E202" s="86"/>
      <c r="G202" s="86"/>
      <c r="I202" s="86"/>
      <c r="L202" s="86"/>
      <c r="M202" s="86"/>
    </row>
    <row r="203">
      <c r="D203" s="86"/>
      <c r="E203" s="86"/>
      <c r="G203" s="86"/>
      <c r="I203" s="86"/>
      <c r="L203" s="86"/>
      <c r="M203" s="86"/>
    </row>
    <row r="204">
      <c r="D204" s="86"/>
      <c r="E204" s="86"/>
      <c r="G204" s="86"/>
      <c r="I204" s="86"/>
      <c r="L204" s="86"/>
      <c r="M204" s="86"/>
    </row>
    <row r="205">
      <c r="D205" s="86"/>
      <c r="E205" s="86"/>
      <c r="G205" s="86"/>
      <c r="I205" s="86"/>
      <c r="L205" s="86"/>
      <c r="M205" s="86"/>
    </row>
    <row r="206">
      <c r="D206" s="86"/>
      <c r="E206" s="86"/>
      <c r="G206" s="86"/>
      <c r="I206" s="86"/>
      <c r="L206" s="86"/>
      <c r="M206" s="86"/>
    </row>
    <row r="207">
      <c r="D207" s="86"/>
      <c r="E207" s="86"/>
      <c r="G207" s="86"/>
      <c r="I207" s="86"/>
      <c r="L207" s="86"/>
      <c r="M207" s="86"/>
    </row>
    <row r="208">
      <c r="D208" s="86"/>
      <c r="E208" s="86"/>
      <c r="G208" s="86"/>
      <c r="I208" s="86"/>
      <c r="L208" s="86"/>
      <c r="M208" s="86"/>
    </row>
    <row r="209">
      <c r="D209" s="86"/>
      <c r="E209" s="86"/>
      <c r="G209" s="86"/>
      <c r="I209" s="86"/>
      <c r="L209" s="86"/>
      <c r="M209" s="86"/>
    </row>
    <row r="210">
      <c r="D210" s="86"/>
      <c r="E210" s="86"/>
      <c r="G210" s="86"/>
      <c r="I210" s="86"/>
      <c r="L210" s="86"/>
      <c r="M210" s="86"/>
    </row>
    <row r="211">
      <c r="D211" s="86"/>
      <c r="E211" s="86"/>
      <c r="G211" s="86"/>
      <c r="I211" s="86"/>
      <c r="L211" s="86"/>
      <c r="M211" s="86"/>
    </row>
    <row r="212">
      <c r="D212" s="86"/>
      <c r="E212" s="86"/>
      <c r="G212" s="86"/>
      <c r="I212" s="86"/>
      <c r="L212" s="86"/>
      <c r="M212" s="86"/>
    </row>
    <row r="213">
      <c r="D213" s="86"/>
      <c r="E213" s="86"/>
      <c r="G213" s="86"/>
      <c r="I213" s="86"/>
      <c r="L213" s="86"/>
      <c r="M213" s="86"/>
    </row>
    <row r="214">
      <c r="D214" s="86"/>
      <c r="E214" s="86"/>
      <c r="G214" s="86"/>
      <c r="I214" s="86"/>
      <c r="L214" s="86"/>
      <c r="M214" s="86"/>
    </row>
    <row r="215">
      <c r="D215" s="86"/>
      <c r="E215" s="86"/>
      <c r="G215" s="86"/>
      <c r="I215" s="86"/>
      <c r="L215" s="86"/>
      <c r="M215" s="86"/>
    </row>
    <row r="216">
      <c r="D216" s="86"/>
      <c r="E216" s="86"/>
      <c r="G216" s="86"/>
      <c r="I216" s="86"/>
      <c r="L216" s="86"/>
      <c r="M216" s="86"/>
    </row>
    <row r="217">
      <c r="D217" s="86"/>
      <c r="E217" s="86"/>
      <c r="G217" s="86"/>
      <c r="I217" s="86"/>
      <c r="L217" s="86"/>
      <c r="M217" s="86"/>
    </row>
    <row r="218">
      <c r="D218" s="86"/>
      <c r="E218" s="86"/>
      <c r="G218" s="86"/>
      <c r="I218" s="86"/>
      <c r="L218" s="86"/>
      <c r="M218" s="86"/>
    </row>
    <row r="219">
      <c r="D219" s="86"/>
      <c r="E219" s="86"/>
      <c r="G219" s="86"/>
      <c r="I219" s="86"/>
      <c r="L219" s="86"/>
      <c r="M219" s="86"/>
    </row>
    <row r="220">
      <c r="D220" s="86"/>
      <c r="E220" s="86"/>
      <c r="G220" s="86"/>
      <c r="I220" s="86"/>
      <c r="L220" s="86"/>
      <c r="M220" s="86"/>
    </row>
    <row r="221">
      <c r="D221" s="86"/>
      <c r="E221" s="86"/>
      <c r="G221" s="86"/>
      <c r="I221" s="86"/>
      <c r="L221" s="86"/>
      <c r="M221" s="86"/>
    </row>
    <row r="222">
      <c r="D222" s="86"/>
      <c r="E222" s="86"/>
      <c r="G222" s="86"/>
      <c r="I222" s="86"/>
      <c r="L222" s="86"/>
      <c r="M222" s="86"/>
    </row>
    <row r="223">
      <c r="D223" s="86"/>
      <c r="E223" s="86"/>
      <c r="G223" s="86"/>
      <c r="I223" s="86"/>
      <c r="L223" s="86"/>
      <c r="M223" s="86"/>
    </row>
    <row r="224">
      <c r="D224" s="86"/>
      <c r="E224" s="86"/>
      <c r="G224" s="86"/>
      <c r="I224" s="86"/>
      <c r="L224" s="86"/>
      <c r="M224" s="86"/>
    </row>
    <row r="225">
      <c r="D225" s="86"/>
      <c r="E225" s="86"/>
      <c r="G225" s="86"/>
      <c r="I225" s="86"/>
      <c r="L225" s="86"/>
      <c r="M225" s="86"/>
    </row>
    <row r="226">
      <c r="D226" s="86"/>
      <c r="E226" s="86"/>
      <c r="G226" s="86"/>
      <c r="I226" s="86"/>
      <c r="L226" s="86"/>
      <c r="M226" s="86"/>
    </row>
    <row r="227">
      <c r="D227" s="86"/>
      <c r="E227" s="86"/>
      <c r="G227" s="86"/>
      <c r="I227" s="86"/>
      <c r="L227" s="86"/>
      <c r="M227" s="86"/>
    </row>
    <row r="228">
      <c r="D228" s="86"/>
      <c r="E228" s="86"/>
      <c r="G228" s="86"/>
      <c r="I228" s="86"/>
      <c r="L228" s="86"/>
      <c r="M228" s="86"/>
    </row>
    <row r="229">
      <c r="D229" s="86"/>
      <c r="E229" s="86"/>
      <c r="G229" s="86"/>
      <c r="I229" s="86"/>
      <c r="L229" s="86"/>
      <c r="M229" s="86"/>
    </row>
    <row r="230">
      <c r="D230" s="86"/>
      <c r="E230" s="86"/>
      <c r="G230" s="86"/>
      <c r="I230" s="86"/>
      <c r="L230" s="86"/>
      <c r="M230" s="86"/>
    </row>
    <row r="231">
      <c r="D231" s="86"/>
      <c r="E231" s="86"/>
      <c r="G231" s="86"/>
      <c r="I231" s="86"/>
      <c r="L231" s="86"/>
      <c r="M231" s="86"/>
    </row>
    <row r="232">
      <c r="D232" s="86"/>
      <c r="E232" s="86"/>
      <c r="G232" s="86"/>
      <c r="I232" s="86"/>
      <c r="L232" s="86"/>
      <c r="M232" s="86"/>
    </row>
    <row r="233">
      <c r="D233" s="86"/>
      <c r="E233" s="86"/>
      <c r="G233" s="86"/>
      <c r="I233" s="86"/>
      <c r="L233" s="86"/>
      <c r="M233" s="86"/>
    </row>
    <row r="234">
      <c r="D234" s="86"/>
      <c r="E234" s="86"/>
      <c r="G234" s="86"/>
      <c r="I234" s="86"/>
      <c r="L234" s="86"/>
      <c r="M234" s="86"/>
    </row>
    <row r="235">
      <c r="D235" s="86"/>
      <c r="E235" s="86"/>
      <c r="G235" s="86"/>
      <c r="I235" s="86"/>
      <c r="L235" s="86"/>
      <c r="M235" s="86"/>
    </row>
    <row r="236">
      <c r="D236" s="86"/>
      <c r="E236" s="86"/>
      <c r="G236" s="86"/>
      <c r="I236" s="86"/>
      <c r="L236" s="86"/>
      <c r="M236" s="86"/>
    </row>
    <row r="237">
      <c r="D237" s="86"/>
      <c r="E237" s="86"/>
      <c r="G237" s="86"/>
      <c r="I237" s="86"/>
      <c r="L237" s="86"/>
      <c r="M237" s="86"/>
    </row>
    <row r="238">
      <c r="D238" s="86"/>
      <c r="E238" s="86"/>
      <c r="G238" s="86"/>
      <c r="I238" s="86"/>
      <c r="L238" s="86"/>
      <c r="M238" s="86"/>
    </row>
    <row r="239">
      <c r="D239" s="86"/>
      <c r="E239" s="86"/>
      <c r="G239" s="86"/>
      <c r="I239" s="86"/>
      <c r="L239" s="86"/>
      <c r="M239" s="86"/>
    </row>
    <row r="240">
      <c r="D240" s="86"/>
      <c r="E240" s="86"/>
      <c r="G240" s="86"/>
      <c r="I240" s="86"/>
      <c r="L240" s="86"/>
      <c r="M240" s="86"/>
    </row>
    <row r="241">
      <c r="D241" s="86"/>
      <c r="E241" s="86"/>
      <c r="G241" s="86"/>
      <c r="I241" s="86"/>
      <c r="L241" s="86"/>
      <c r="M241" s="86"/>
    </row>
    <row r="242">
      <c r="D242" s="86"/>
      <c r="E242" s="86"/>
      <c r="G242" s="86"/>
      <c r="I242" s="86"/>
      <c r="L242" s="86"/>
      <c r="M242" s="86"/>
    </row>
    <row r="243">
      <c r="D243" s="86"/>
      <c r="E243" s="86"/>
      <c r="G243" s="86"/>
      <c r="I243" s="86"/>
      <c r="L243" s="86"/>
      <c r="M243" s="86"/>
    </row>
    <row r="244">
      <c r="D244" s="86"/>
      <c r="E244" s="86"/>
      <c r="G244" s="86"/>
      <c r="I244" s="86"/>
      <c r="L244" s="86"/>
      <c r="M244" s="86"/>
    </row>
    <row r="245">
      <c r="D245" s="86"/>
      <c r="E245" s="86"/>
      <c r="G245" s="86"/>
      <c r="I245" s="86"/>
      <c r="L245" s="86"/>
      <c r="M245" s="86"/>
    </row>
    <row r="246">
      <c r="D246" s="86"/>
      <c r="E246" s="86"/>
      <c r="G246" s="86"/>
      <c r="I246" s="86"/>
      <c r="L246" s="86"/>
      <c r="M246" s="86"/>
    </row>
    <row r="247">
      <c r="D247" s="86"/>
      <c r="E247" s="86"/>
      <c r="G247" s="86"/>
      <c r="I247" s="86"/>
      <c r="L247" s="86"/>
      <c r="M247" s="86"/>
    </row>
    <row r="248">
      <c r="D248" s="86"/>
      <c r="E248" s="86"/>
      <c r="G248" s="86"/>
      <c r="I248" s="86"/>
      <c r="L248" s="86"/>
      <c r="M248" s="86"/>
    </row>
    <row r="249">
      <c r="D249" s="86"/>
      <c r="E249" s="86"/>
      <c r="G249" s="86"/>
      <c r="I249" s="86"/>
      <c r="L249" s="86"/>
      <c r="M249" s="86"/>
    </row>
    <row r="250">
      <c r="D250" s="86"/>
      <c r="E250" s="86"/>
      <c r="G250" s="86"/>
      <c r="I250" s="86"/>
      <c r="L250" s="86"/>
      <c r="M250" s="86"/>
    </row>
    <row r="251">
      <c r="D251" s="86"/>
      <c r="E251" s="86"/>
      <c r="G251" s="86"/>
      <c r="I251" s="86"/>
      <c r="L251" s="86"/>
      <c r="M251" s="86"/>
    </row>
    <row r="252">
      <c r="D252" s="86"/>
      <c r="E252" s="86"/>
      <c r="G252" s="86"/>
      <c r="I252" s="86"/>
      <c r="L252" s="86"/>
      <c r="M252" s="86"/>
    </row>
    <row r="253">
      <c r="D253" s="86"/>
      <c r="E253" s="86"/>
      <c r="G253" s="86"/>
      <c r="I253" s="86"/>
      <c r="L253" s="86"/>
      <c r="M253" s="86"/>
    </row>
    <row r="254">
      <c r="D254" s="86"/>
      <c r="E254" s="86"/>
      <c r="G254" s="86"/>
      <c r="I254" s="86"/>
      <c r="L254" s="86"/>
      <c r="M254" s="86"/>
    </row>
    <row r="255">
      <c r="D255" s="86"/>
      <c r="E255" s="86"/>
      <c r="G255" s="86"/>
      <c r="I255" s="86"/>
      <c r="L255" s="86"/>
      <c r="M255" s="86"/>
    </row>
    <row r="256">
      <c r="D256" s="86"/>
      <c r="E256" s="86"/>
      <c r="G256" s="86"/>
      <c r="I256" s="86"/>
      <c r="L256" s="86"/>
      <c r="M256" s="86"/>
    </row>
    <row r="257">
      <c r="D257" s="86"/>
      <c r="E257" s="86"/>
      <c r="G257" s="86"/>
      <c r="I257" s="86"/>
      <c r="L257" s="86"/>
      <c r="M257" s="86"/>
    </row>
    <row r="258">
      <c r="D258" s="86"/>
      <c r="E258" s="86"/>
      <c r="G258" s="86"/>
      <c r="I258" s="86"/>
      <c r="L258" s="86"/>
      <c r="M258" s="86"/>
    </row>
    <row r="259">
      <c r="D259" s="86"/>
      <c r="E259" s="86"/>
      <c r="G259" s="86"/>
      <c r="I259" s="86"/>
      <c r="L259" s="86"/>
      <c r="M259" s="86"/>
    </row>
    <row r="260">
      <c r="D260" s="86"/>
      <c r="E260" s="86"/>
      <c r="G260" s="86"/>
      <c r="I260" s="86"/>
      <c r="L260" s="86"/>
      <c r="M260" s="86"/>
    </row>
    <row r="261">
      <c r="D261" s="86"/>
      <c r="E261" s="86"/>
      <c r="G261" s="86"/>
      <c r="I261" s="86"/>
      <c r="L261" s="86"/>
      <c r="M261" s="86"/>
    </row>
    <row r="262">
      <c r="D262" s="86"/>
      <c r="E262" s="86"/>
      <c r="G262" s="86"/>
      <c r="I262" s="86"/>
      <c r="L262" s="86"/>
      <c r="M262" s="86"/>
    </row>
    <row r="263">
      <c r="D263" s="86"/>
      <c r="E263" s="86"/>
      <c r="G263" s="86"/>
      <c r="I263" s="86"/>
      <c r="L263" s="86"/>
      <c r="M263" s="86"/>
    </row>
    <row r="264">
      <c r="D264" s="86"/>
      <c r="E264" s="86"/>
      <c r="G264" s="86"/>
      <c r="I264" s="86"/>
      <c r="L264" s="86"/>
      <c r="M264" s="86"/>
    </row>
    <row r="265">
      <c r="D265" s="86"/>
      <c r="E265" s="86"/>
      <c r="G265" s="86"/>
      <c r="I265" s="86"/>
      <c r="L265" s="86"/>
      <c r="M265" s="86"/>
    </row>
    <row r="266">
      <c r="D266" s="86"/>
      <c r="E266" s="86"/>
      <c r="G266" s="86"/>
      <c r="I266" s="86"/>
      <c r="L266" s="86"/>
      <c r="M266" s="86"/>
    </row>
    <row r="267">
      <c r="D267" s="86"/>
      <c r="E267" s="86"/>
      <c r="G267" s="86"/>
      <c r="I267" s="86"/>
      <c r="L267" s="86"/>
      <c r="M267" s="86"/>
    </row>
    <row r="268">
      <c r="D268" s="86"/>
      <c r="E268" s="86"/>
      <c r="G268" s="86"/>
      <c r="I268" s="86"/>
      <c r="L268" s="86"/>
      <c r="M268" s="86"/>
    </row>
    <row r="269">
      <c r="D269" s="86"/>
      <c r="E269" s="86"/>
      <c r="G269" s="86"/>
      <c r="I269" s="86"/>
      <c r="L269" s="86"/>
      <c r="M269" s="86"/>
    </row>
    <row r="270">
      <c r="D270" s="86"/>
      <c r="E270" s="86"/>
      <c r="G270" s="86"/>
      <c r="I270" s="86"/>
      <c r="L270" s="86"/>
      <c r="M270" s="86"/>
    </row>
    <row r="271">
      <c r="D271" s="86"/>
      <c r="E271" s="86"/>
      <c r="G271" s="86"/>
      <c r="I271" s="86"/>
      <c r="L271" s="86"/>
      <c r="M271" s="86"/>
    </row>
    <row r="272">
      <c r="D272" s="86"/>
      <c r="E272" s="86"/>
      <c r="G272" s="86"/>
      <c r="I272" s="86"/>
      <c r="L272" s="86"/>
      <c r="M272" s="86"/>
    </row>
    <row r="273">
      <c r="D273" s="86"/>
      <c r="E273" s="86"/>
      <c r="G273" s="86"/>
      <c r="I273" s="86"/>
      <c r="L273" s="86"/>
      <c r="M273" s="86"/>
    </row>
    <row r="274">
      <c r="D274" s="86"/>
      <c r="E274" s="86"/>
      <c r="G274" s="86"/>
      <c r="I274" s="86"/>
      <c r="L274" s="86"/>
      <c r="M274" s="86"/>
    </row>
    <row r="275">
      <c r="D275" s="86"/>
      <c r="E275" s="86"/>
      <c r="G275" s="86"/>
      <c r="I275" s="86"/>
      <c r="L275" s="86"/>
      <c r="M275" s="86"/>
    </row>
    <row r="276">
      <c r="D276" s="86"/>
      <c r="E276" s="86"/>
      <c r="G276" s="86"/>
      <c r="I276" s="86"/>
      <c r="L276" s="86"/>
      <c r="M276" s="86"/>
    </row>
    <row r="277">
      <c r="D277" s="86"/>
      <c r="E277" s="86"/>
      <c r="G277" s="86"/>
      <c r="I277" s="86"/>
      <c r="L277" s="86"/>
      <c r="M277" s="86"/>
    </row>
    <row r="278">
      <c r="D278" s="86"/>
      <c r="E278" s="86"/>
      <c r="G278" s="86"/>
      <c r="I278" s="86"/>
      <c r="L278" s="86"/>
      <c r="M278" s="86"/>
    </row>
    <row r="279">
      <c r="D279" s="86"/>
      <c r="E279" s="86"/>
      <c r="G279" s="86"/>
      <c r="I279" s="86"/>
      <c r="L279" s="86"/>
      <c r="M279" s="86"/>
    </row>
    <row r="280">
      <c r="D280" s="86"/>
      <c r="E280" s="86"/>
      <c r="G280" s="86"/>
      <c r="I280" s="86"/>
      <c r="L280" s="86"/>
      <c r="M280" s="86"/>
    </row>
    <row r="281">
      <c r="D281" s="86"/>
      <c r="E281" s="86"/>
      <c r="G281" s="86"/>
      <c r="I281" s="86"/>
      <c r="L281" s="86"/>
      <c r="M281" s="86"/>
    </row>
    <row r="282">
      <c r="D282" s="86"/>
      <c r="E282" s="86"/>
      <c r="G282" s="86"/>
      <c r="I282" s="86"/>
      <c r="L282" s="86"/>
      <c r="M282" s="86"/>
    </row>
    <row r="283">
      <c r="D283" s="86"/>
      <c r="E283" s="86"/>
      <c r="G283" s="86"/>
      <c r="I283" s="86"/>
      <c r="L283" s="86"/>
      <c r="M283" s="86"/>
    </row>
    <row r="284">
      <c r="D284" s="86"/>
      <c r="E284" s="86"/>
      <c r="G284" s="86"/>
      <c r="I284" s="86"/>
      <c r="L284" s="86"/>
      <c r="M284" s="86"/>
    </row>
    <row r="285">
      <c r="D285" s="86"/>
      <c r="E285" s="86"/>
      <c r="G285" s="86"/>
      <c r="I285" s="86"/>
      <c r="L285" s="86"/>
      <c r="M285" s="86"/>
    </row>
    <row r="286">
      <c r="D286" s="86"/>
      <c r="E286" s="86"/>
      <c r="G286" s="86"/>
      <c r="I286" s="86"/>
      <c r="L286" s="86"/>
      <c r="M286" s="86"/>
    </row>
    <row r="287">
      <c r="D287" s="86"/>
      <c r="E287" s="86"/>
      <c r="G287" s="86"/>
      <c r="I287" s="86"/>
      <c r="L287" s="86"/>
      <c r="M287" s="86"/>
    </row>
    <row r="288">
      <c r="D288" s="86"/>
      <c r="E288" s="86"/>
      <c r="G288" s="86"/>
      <c r="I288" s="86"/>
      <c r="L288" s="86"/>
      <c r="M288" s="86"/>
    </row>
    <row r="289">
      <c r="D289" s="86"/>
      <c r="E289" s="86"/>
      <c r="G289" s="86"/>
      <c r="I289" s="86"/>
      <c r="L289" s="86"/>
      <c r="M289" s="86"/>
    </row>
    <row r="290">
      <c r="D290" s="86"/>
      <c r="E290" s="86"/>
      <c r="G290" s="86"/>
      <c r="I290" s="86"/>
      <c r="L290" s="86"/>
      <c r="M290" s="86"/>
    </row>
    <row r="291">
      <c r="D291" s="86"/>
      <c r="E291" s="86"/>
      <c r="G291" s="86"/>
      <c r="I291" s="86"/>
      <c r="L291" s="86"/>
      <c r="M291" s="86"/>
    </row>
    <row r="292">
      <c r="D292" s="86"/>
      <c r="E292" s="86"/>
      <c r="G292" s="86"/>
      <c r="I292" s="86"/>
      <c r="L292" s="86"/>
      <c r="M292" s="86"/>
    </row>
    <row r="293">
      <c r="D293" s="86"/>
      <c r="E293" s="86"/>
      <c r="G293" s="86"/>
      <c r="I293" s="86"/>
      <c r="L293" s="86"/>
      <c r="M293" s="86"/>
    </row>
    <row r="294">
      <c r="D294" s="86"/>
      <c r="E294" s="86"/>
      <c r="G294" s="86"/>
      <c r="I294" s="86"/>
      <c r="L294" s="86"/>
      <c r="M294" s="86"/>
    </row>
    <row r="295">
      <c r="D295" s="86"/>
      <c r="E295" s="86"/>
      <c r="G295" s="86"/>
      <c r="I295" s="86"/>
      <c r="L295" s="86"/>
      <c r="M295" s="86"/>
    </row>
    <row r="296">
      <c r="D296" s="86"/>
      <c r="E296" s="86"/>
      <c r="G296" s="86"/>
      <c r="I296" s="86"/>
      <c r="L296" s="86"/>
      <c r="M296" s="86"/>
    </row>
    <row r="297">
      <c r="D297" s="86"/>
      <c r="E297" s="86"/>
      <c r="G297" s="86"/>
      <c r="I297" s="86"/>
      <c r="L297" s="86"/>
      <c r="M297" s="86"/>
    </row>
    <row r="298">
      <c r="D298" s="86"/>
      <c r="E298" s="86"/>
      <c r="G298" s="86"/>
      <c r="I298" s="86"/>
      <c r="L298" s="86"/>
      <c r="M298" s="86"/>
    </row>
    <row r="299">
      <c r="D299" s="86"/>
      <c r="E299" s="86"/>
      <c r="G299" s="86"/>
      <c r="I299" s="86"/>
      <c r="L299" s="86"/>
      <c r="M299" s="86"/>
    </row>
    <row r="300">
      <c r="D300" s="86"/>
      <c r="E300" s="86"/>
      <c r="G300" s="86"/>
      <c r="I300" s="86"/>
      <c r="L300" s="86"/>
      <c r="M300" s="86"/>
    </row>
    <row r="301">
      <c r="D301" s="86"/>
      <c r="E301" s="86"/>
      <c r="G301" s="86"/>
      <c r="I301" s="86"/>
      <c r="L301" s="86"/>
      <c r="M301" s="86"/>
    </row>
    <row r="302">
      <c r="D302" s="86"/>
      <c r="E302" s="86"/>
      <c r="G302" s="86"/>
      <c r="I302" s="86"/>
      <c r="L302" s="86"/>
      <c r="M302" s="86"/>
    </row>
    <row r="303">
      <c r="D303" s="86"/>
      <c r="E303" s="86"/>
      <c r="G303" s="86"/>
      <c r="I303" s="86"/>
      <c r="L303" s="86"/>
      <c r="M303" s="86"/>
    </row>
    <row r="304">
      <c r="D304" s="86"/>
      <c r="E304" s="86"/>
      <c r="G304" s="86"/>
      <c r="I304" s="86"/>
      <c r="L304" s="86"/>
      <c r="M304" s="86"/>
    </row>
    <row r="305">
      <c r="D305" s="86"/>
      <c r="E305" s="86"/>
      <c r="G305" s="86"/>
      <c r="I305" s="86"/>
      <c r="L305" s="86"/>
      <c r="M305" s="86"/>
    </row>
    <row r="306">
      <c r="D306" s="86"/>
      <c r="E306" s="86"/>
      <c r="G306" s="86"/>
      <c r="I306" s="86"/>
      <c r="L306" s="86"/>
      <c r="M306" s="86"/>
    </row>
    <row r="307">
      <c r="D307" s="86"/>
      <c r="E307" s="86"/>
      <c r="G307" s="86"/>
      <c r="I307" s="86"/>
      <c r="L307" s="86"/>
      <c r="M307" s="86"/>
    </row>
    <row r="308">
      <c r="D308" s="86"/>
      <c r="E308" s="86"/>
      <c r="G308" s="86"/>
      <c r="I308" s="86"/>
      <c r="L308" s="86"/>
      <c r="M308" s="86"/>
    </row>
    <row r="309">
      <c r="D309" s="86"/>
      <c r="E309" s="86"/>
      <c r="G309" s="86"/>
      <c r="I309" s="86"/>
      <c r="L309" s="86"/>
      <c r="M309" s="86"/>
    </row>
    <row r="310">
      <c r="D310" s="86"/>
      <c r="E310" s="86"/>
      <c r="G310" s="86"/>
      <c r="I310" s="86"/>
      <c r="L310" s="86"/>
      <c r="M310" s="86"/>
    </row>
    <row r="311">
      <c r="D311" s="86"/>
      <c r="E311" s="86"/>
      <c r="G311" s="86"/>
      <c r="I311" s="86"/>
      <c r="L311" s="86"/>
      <c r="M311" s="86"/>
    </row>
    <row r="312">
      <c r="D312" s="86"/>
      <c r="E312" s="86"/>
      <c r="G312" s="86"/>
      <c r="I312" s="86"/>
      <c r="L312" s="86"/>
      <c r="M312" s="86"/>
    </row>
    <row r="313">
      <c r="D313" s="86"/>
      <c r="E313" s="86"/>
      <c r="G313" s="86"/>
      <c r="I313" s="86"/>
      <c r="L313" s="86"/>
      <c r="M313" s="86"/>
    </row>
    <row r="314">
      <c r="D314" s="86"/>
      <c r="E314" s="86"/>
      <c r="G314" s="86"/>
      <c r="I314" s="86"/>
      <c r="L314" s="86"/>
      <c r="M314" s="86"/>
    </row>
    <row r="315">
      <c r="D315" s="86"/>
      <c r="E315" s="86"/>
      <c r="G315" s="86"/>
      <c r="I315" s="86"/>
      <c r="L315" s="86"/>
      <c r="M315" s="86"/>
    </row>
    <row r="316">
      <c r="D316" s="86"/>
      <c r="E316" s="86"/>
      <c r="G316" s="86"/>
      <c r="I316" s="86"/>
      <c r="L316" s="86"/>
      <c r="M316" s="86"/>
    </row>
    <row r="317">
      <c r="D317" s="86"/>
      <c r="E317" s="86"/>
      <c r="G317" s="86"/>
      <c r="I317" s="86"/>
      <c r="L317" s="86"/>
      <c r="M317" s="86"/>
    </row>
    <row r="318">
      <c r="D318" s="86"/>
      <c r="E318" s="86"/>
      <c r="G318" s="86"/>
      <c r="I318" s="86"/>
      <c r="L318" s="86"/>
      <c r="M318" s="86"/>
    </row>
    <row r="319">
      <c r="D319" s="86"/>
      <c r="E319" s="86"/>
      <c r="G319" s="86"/>
      <c r="I319" s="86"/>
      <c r="L319" s="86"/>
      <c r="M319" s="86"/>
    </row>
    <row r="320">
      <c r="D320" s="86"/>
      <c r="E320" s="86"/>
      <c r="G320" s="86"/>
      <c r="I320" s="86"/>
      <c r="L320" s="86"/>
      <c r="M320" s="86"/>
    </row>
    <row r="321">
      <c r="D321" s="86"/>
      <c r="E321" s="86"/>
      <c r="G321" s="86"/>
      <c r="I321" s="86"/>
      <c r="L321" s="86"/>
      <c r="M321" s="86"/>
    </row>
    <row r="322">
      <c r="D322" s="86"/>
      <c r="E322" s="86"/>
      <c r="G322" s="86"/>
      <c r="I322" s="86"/>
      <c r="L322" s="86"/>
      <c r="M322" s="86"/>
    </row>
    <row r="323">
      <c r="D323" s="86"/>
      <c r="E323" s="86"/>
      <c r="G323" s="86"/>
      <c r="I323" s="86"/>
      <c r="L323" s="86"/>
      <c r="M323" s="86"/>
    </row>
    <row r="324">
      <c r="D324" s="86"/>
      <c r="E324" s="86"/>
      <c r="G324" s="86"/>
      <c r="I324" s="86"/>
      <c r="L324" s="86"/>
      <c r="M324" s="86"/>
    </row>
    <row r="325">
      <c r="D325" s="86"/>
      <c r="E325" s="86"/>
      <c r="G325" s="86"/>
      <c r="I325" s="86"/>
      <c r="L325" s="86"/>
      <c r="M325" s="86"/>
    </row>
    <row r="326">
      <c r="D326" s="86"/>
      <c r="E326" s="86"/>
      <c r="G326" s="86"/>
      <c r="I326" s="86"/>
      <c r="L326" s="86"/>
      <c r="M326" s="86"/>
    </row>
    <row r="327">
      <c r="D327" s="86"/>
      <c r="E327" s="86"/>
      <c r="G327" s="86"/>
      <c r="I327" s="86"/>
      <c r="L327" s="86"/>
      <c r="M327" s="86"/>
    </row>
    <row r="328">
      <c r="D328" s="86"/>
      <c r="E328" s="86"/>
      <c r="G328" s="86"/>
      <c r="I328" s="86"/>
      <c r="L328" s="86"/>
      <c r="M328" s="86"/>
    </row>
    <row r="329">
      <c r="D329" s="86"/>
      <c r="E329" s="86"/>
      <c r="G329" s="86"/>
      <c r="I329" s="86"/>
      <c r="L329" s="86"/>
      <c r="M329" s="86"/>
    </row>
    <row r="330">
      <c r="D330" s="86"/>
      <c r="E330" s="86"/>
      <c r="G330" s="86"/>
      <c r="I330" s="86"/>
      <c r="L330" s="86"/>
      <c r="M330" s="86"/>
    </row>
    <row r="331">
      <c r="D331" s="86"/>
      <c r="E331" s="86"/>
      <c r="G331" s="86"/>
      <c r="I331" s="86"/>
      <c r="L331" s="86"/>
      <c r="M331" s="86"/>
    </row>
    <row r="332">
      <c r="D332" s="86"/>
      <c r="E332" s="86"/>
      <c r="G332" s="86"/>
      <c r="I332" s="86"/>
      <c r="L332" s="86"/>
      <c r="M332" s="86"/>
    </row>
    <row r="333">
      <c r="D333" s="86"/>
      <c r="E333" s="86"/>
      <c r="G333" s="86"/>
      <c r="I333" s="86"/>
      <c r="L333" s="86"/>
      <c r="M333" s="86"/>
    </row>
    <row r="334">
      <c r="D334" s="86"/>
      <c r="E334" s="86"/>
      <c r="G334" s="86"/>
      <c r="I334" s="86"/>
      <c r="L334" s="86"/>
      <c r="M334" s="86"/>
    </row>
    <row r="335">
      <c r="D335" s="86"/>
      <c r="E335" s="86"/>
      <c r="G335" s="86"/>
      <c r="I335" s="86"/>
      <c r="L335" s="86"/>
      <c r="M335" s="86"/>
    </row>
    <row r="336">
      <c r="D336" s="86"/>
      <c r="E336" s="86"/>
      <c r="G336" s="86"/>
      <c r="I336" s="86"/>
      <c r="L336" s="86"/>
      <c r="M336" s="86"/>
    </row>
    <row r="337">
      <c r="D337" s="86"/>
      <c r="E337" s="86"/>
      <c r="G337" s="86"/>
      <c r="I337" s="86"/>
      <c r="L337" s="86"/>
      <c r="M337" s="86"/>
    </row>
    <row r="338">
      <c r="D338" s="86"/>
      <c r="E338" s="86"/>
      <c r="G338" s="86"/>
      <c r="I338" s="86"/>
      <c r="L338" s="86"/>
      <c r="M338" s="86"/>
    </row>
    <row r="339">
      <c r="D339" s="86"/>
      <c r="E339" s="86"/>
      <c r="G339" s="86"/>
      <c r="I339" s="86"/>
      <c r="L339" s="86"/>
      <c r="M339" s="86"/>
    </row>
    <row r="340">
      <c r="D340" s="86"/>
      <c r="E340" s="86"/>
      <c r="G340" s="86"/>
      <c r="I340" s="86"/>
      <c r="L340" s="86"/>
      <c r="M340" s="86"/>
    </row>
    <row r="341">
      <c r="D341" s="86"/>
      <c r="E341" s="86"/>
      <c r="G341" s="86"/>
      <c r="I341" s="86"/>
      <c r="L341" s="86"/>
      <c r="M341" s="86"/>
    </row>
    <row r="342">
      <c r="D342" s="86"/>
      <c r="E342" s="86"/>
      <c r="G342" s="86"/>
      <c r="I342" s="86"/>
      <c r="L342" s="86"/>
      <c r="M342" s="86"/>
    </row>
    <row r="343">
      <c r="D343" s="86"/>
      <c r="E343" s="86"/>
      <c r="G343" s="86"/>
      <c r="I343" s="86"/>
      <c r="L343" s="86"/>
      <c r="M343" s="86"/>
    </row>
    <row r="344">
      <c r="D344" s="86"/>
      <c r="E344" s="86"/>
      <c r="G344" s="86"/>
      <c r="I344" s="86"/>
      <c r="L344" s="86"/>
      <c r="M344" s="86"/>
    </row>
    <row r="345">
      <c r="D345" s="86"/>
      <c r="E345" s="86"/>
      <c r="G345" s="86"/>
      <c r="I345" s="86"/>
      <c r="L345" s="86"/>
      <c r="M345" s="86"/>
    </row>
    <row r="346">
      <c r="D346" s="86"/>
      <c r="E346" s="86"/>
      <c r="G346" s="86"/>
      <c r="I346" s="86"/>
      <c r="L346" s="86"/>
      <c r="M346" s="86"/>
    </row>
    <row r="347">
      <c r="D347" s="86"/>
      <c r="E347" s="86"/>
      <c r="G347" s="86"/>
      <c r="I347" s="86"/>
      <c r="L347" s="86"/>
      <c r="M347" s="86"/>
    </row>
    <row r="348">
      <c r="D348" s="86"/>
      <c r="E348" s="86"/>
      <c r="G348" s="86"/>
      <c r="I348" s="86"/>
      <c r="L348" s="86"/>
      <c r="M348" s="86"/>
    </row>
    <row r="349">
      <c r="D349" s="86"/>
      <c r="E349" s="86"/>
      <c r="G349" s="86"/>
      <c r="I349" s="86"/>
      <c r="L349" s="86"/>
      <c r="M349" s="86"/>
    </row>
    <row r="350">
      <c r="D350" s="86"/>
      <c r="E350" s="86"/>
      <c r="G350" s="86"/>
      <c r="I350" s="86"/>
      <c r="L350" s="86"/>
      <c r="M350" s="86"/>
    </row>
    <row r="351">
      <c r="D351" s="86"/>
      <c r="E351" s="86"/>
      <c r="G351" s="86"/>
      <c r="I351" s="86"/>
      <c r="L351" s="86"/>
      <c r="M351" s="86"/>
    </row>
    <row r="352">
      <c r="D352" s="86"/>
      <c r="E352" s="86"/>
      <c r="G352" s="86"/>
      <c r="I352" s="86"/>
      <c r="L352" s="86"/>
      <c r="M352" s="86"/>
    </row>
    <row r="353">
      <c r="D353" s="86"/>
      <c r="E353" s="86"/>
      <c r="G353" s="86"/>
      <c r="I353" s="86"/>
      <c r="L353" s="86"/>
      <c r="M353" s="86"/>
    </row>
    <row r="354">
      <c r="D354" s="86"/>
      <c r="E354" s="86"/>
      <c r="G354" s="86"/>
      <c r="I354" s="86"/>
      <c r="L354" s="86"/>
      <c r="M354" s="86"/>
    </row>
    <row r="355">
      <c r="D355" s="86"/>
      <c r="E355" s="86"/>
      <c r="G355" s="86"/>
      <c r="I355" s="86"/>
      <c r="L355" s="86"/>
      <c r="M355" s="86"/>
    </row>
    <row r="356">
      <c r="D356" s="86"/>
      <c r="E356" s="86"/>
      <c r="G356" s="86"/>
      <c r="I356" s="86"/>
      <c r="L356" s="86"/>
      <c r="M356" s="86"/>
    </row>
    <row r="357">
      <c r="D357" s="86"/>
      <c r="E357" s="86"/>
      <c r="G357" s="86"/>
      <c r="I357" s="86"/>
      <c r="L357" s="86"/>
      <c r="M357" s="86"/>
    </row>
    <row r="358">
      <c r="D358" s="86"/>
      <c r="E358" s="86"/>
      <c r="G358" s="86"/>
      <c r="I358" s="86"/>
      <c r="L358" s="86"/>
      <c r="M358" s="86"/>
    </row>
    <row r="359">
      <c r="D359" s="86"/>
      <c r="E359" s="86"/>
      <c r="G359" s="86"/>
      <c r="I359" s="86"/>
      <c r="L359" s="86"/>
      <c r="M359" s="86"/>
    </row>
    <row r="360">
      <c r="D360" s="86"/>
      <c r="E360" s="86"/>
      <c r="G360" s="86"/>
      <c r="I360" s="86"/>
      <c r="L360" s="86"/>
      <c r="M360" s="86"/>
    </row>
    <row r="361">
      <c r="D361" s="86"/>
      <c r="E361" s="86"/>
      <c r="G361" s="86"/>
      <c r="I361" s="86"/>
      <c r="L361" s="86"/>
      <c r="M361" s="86"/>
    </row>
    <row r="362">
      <c r="D362" s="86"/>
      <c r="E362" s="86"/>
      <c r="G362" s="86"/>
      <c r="I362" s="86"/>
      <c r="L362" s="86"/>
      <c r="M362" s="86"/>
    </row>
    <row r="363">
      <c r="D363" s="86"/>
      <c r="E363" s="86"/>
      <c r="G363" s="86"/>
      <c r="I363" s="86"/>
      <c r="L363" s="86"/>
      <c r="M363" s="86"/>
    </row>
    <row r="364">
      <c r="D364" s="86"/>
      <c r="E364" s="86"/>
      <c r="G364" s="86"/>
      <c r="I364" s="86"/>
      <c r="L364" s="86"/>
      <c r="M364" s="86"/>
    </row>
    <row r="365">
      <c r="D365" s="86"/>
      <c r="E365" s="86"/>
      <c r="G365" s="86"/>
      <c r="I365" s="86"/>
      <c r="L365" s="86"/>
      <c r="M365" s="86"/>
    </row>
    <row r="366">
      <c r="D366" s="86"/>
      <c r="E366" s="86"/>
      <c r="G366" s="86"/>
      <c r="I366" s="86"/>
      <c r="L366" s="86"/>
      <c r="M366" s="86"/>
    </row>
    <row r="367">
      <c r="D367" s="86"/>
      <c r="E367" s="86"/>
      <c r="G367" s="86"/>
      <c r="I367" s="86"/>
      <c r="L367" s="86"/>
      <c r="M367" s="86"/>
    </row>
    <row r="368">
      <c r="D368" s="86"/>
      <c r="E368" s="86"/>
      <c r="G368" s="86"/>
      <c r="I368" s="86"/>
      <c r="L368" s="86"/>
      <c r="M368" s="86"/>
    </row>
    <row r="369">
      <c r="D369" s="86"/>
      <c r="E369" s="86"/>
      <c r="G369" s="86"/>
      <c r="I369" s="86"/>
      <c r="L369" s="86"/>
      <c r="M369" s="86"/>
    </row>
    <row r="370">
      <c r="D370" s="86"/>
      <c r="E370" s="86"/>
      <c r="G370" s="86"/>
      <c r="I370" s="86"/>
      <c r="L370" s="86"/>
      <c r="M370" s="86"/>
    </row>
    <row r="371">
      <c r="D371" s="86"/>
      <c r="E371" s="86"/>
      <c r="G371" s="86"/>
      <c r="I371" s="86"/>
      <c r="L371" s="86"/>
      <c r="M371" s="86"/>
    </row>
    <row r="372">
      <c r="D372" s="86"/>
      <c r="E372" s="86"/>
      <c r="G372" s="86"/>
      <c r="I372" s="86"/>
      <c r="L372" s="86"/>
      <c r="M372" s="86"/>
    </row>
    <row r="373">
      <c r="D373" s="86"/>
      <c r="E373" s="86"/>
      <c r="G373" s="86"/>
      <c r="I373" s="86"/>
      <c r="L373" s="86"/>
      <c r="M373" s="86"/>
    </row>
    <row r="374">
      <c r="D374" s="86"/>
      <c r="E374" s="86"/>
      <c r="G374" s="86"/>
      <c r="I374" s="86"/>
      <c r="L374" s="86"/>
      <c r="M374" s="86"/>
    </row>
    <row r="375">
      <c r="D375" s="86"/>
      <c r="E375" s="86"/>
      <c r="G375" s="86"/>
      <c r="I375" s="86"/>
      <c r="L375" s="86"/>
      <c r="M375" s="86"/>
    </row>
    <row r="376">
      <c r="D376" s="86"/>
      <c r="E376" s="86"/>
      <c r="G376" s="86"/>
      <c r="I376" s="86"/>
      <c r="L376" s="86"/>
      <c r="M376" s="86"/>
    </row>
    <row r="377">
      <c r="D377" s="86"/>
      <c r="E377" s="86"/>
      <c r="G377" s="86"/>
      <c r="I377" s="86"/>
      <c r="L377" s="86"/>
      <c r="M377" s="86"/>
    </row>
    <row r="378">
      <c r="D378" s="86"/>
      <c r="E378" s="86"/>
      <c r="G378" s="86"/>
      <c r="I378" s="86"/>
      <c r="L378" s="86"/>
      <c r="M378" s="86"/>
    </row>
    <row r="379">
      <c r="D379" s="86"/>
      <c r="E379" s="86"/>
      <c r="G379" s="86"/>
      <c r="I379" s="86"/>
      <c r="L379" s="86"/>
      <c r="M379" s="86"/>
    </row>
    <row r="380">
      <c r="D380" s="86"/>
      <c r="E380" s="86"/>
      <c r="G380" s="86"/>
      <c r="I380" s="86"/>
      <c r="L380" s="86"/>
      <c r="M380" s="86"/>
    </row>
    <row r="381">
      <c r="D381" s="86"/>
      <c r="E381" s="86"/>
      <c r="G381" s="86"/>
      <c r="I381" s="86"/>
      <c r="L381" s="86"/>
      <c r="M381" s="86"/>
    </row>
    <row r="382">
      <c r="D382" s="86"/>
      <c r="E382" s="86"/>
      <c r="G382" s="86"/>
      <c r="I382" s="86"/>
      <c r="L382" s="86"/>
      <c r="M382" s="86"/>
    </row>
    <row r="383">
      <c r="D383" s="86"/>
      <c r="E383" s="86"/>
      <c r="G383" s="86"/>
      <c r="I383" s="86"/>
      <c r="L383" s="86"/>
      <c r="M383" s="86"/>
    </row>
    <row r="384">
      <c r="D384" s="86"/>
      <c r="E384" s="86"/>
      <c r="G384" s="86"/>
      <c r="I384" s="86"/>
      <c r="L384" s="86"/>
      <c r="M384" s="86"/>
    </row>
    <row r="385">
      <c r="D385" s="86"/>
      <c r="E385" s="86"/>
      <c r="G385" s="86"/>
      <c r="I385" s="86"/>
      <c r="L385" s="86"/>
      <c r="M385" s="86"/>
    </row>
    <row r="386">
      <c r="D386" s="86"/>
      <c r="E386" s="86"/>
      <c r="G386" s="86"/>
      <c r="I386" s="86"/>
      <c r="L386" s="86"/>
      <c r="M386" s="86"/>
    </row>
    <row r="387">
      <c r="D387" s="86"/>
      <c r="E387" s="86"/>
      <c r="G387" s="86"/>
      <c r="I387" s="86"/>
      <c r="L387" s="86"/>
      <c r="M387" s="86"/>
    </row>
    <row r="388">
      <c r="D388" s="86"/>
      <c r="E388" s="86"/>
      <c r="G388" s="86"/>
      <c r="I388" s="86"/>
      <c r="L388" s="86"/>
      <c r="M388" s="86"/>
    </row>
    <row r="389">
      <c r="D389" s="86"/>
      <c r="E389" s="86"/>
      <c r="G389" s="86"/>
      <c r="I389" s="86"/>
      <c r="L389" s="86"/>
      <c r="M389" s="86"/>
    </row>
    <row r="390">
      <c r="D390" s="86"/>
      <c r="E390" s="86"/>
      <c r="G390" s="86"/>
      <c r="I390" s="86"/>
      <c r="L390" s="86"/>
      <c r="M390" s="86"/>
    </row>
    <row r="391">
      <c r="D391" s="86"/>
      <c r="E391" s="86"/>
      <c r="G391" s="86"/>
      <c r="I391" s="86"/>
      <c r="L391" s="86"/>
      <c r="M391" s="86"/>
    </row>
    <row r="392">
      <c r="D392" s="86"/>
      <c r="E392" s="86"/>
      <c r="G392" s="86"/>
      <c r="I392" s="86"/>
      <c r="L392" s="86"/>
      <c r="M392" s="86"/>
    </row>
    <row r="393">
      <c r="D393" s="86"/>
      <c r="E393" s="86"/>
      <c r="G393" s="86"/>
      <c r="I393" s="86"/>
      <c r="L393" s="86"/>
      <c r="M393" s="86"/>
    </row>
    <row r="394">
      <c r="D394" s="86"/>
      <c r="E394" s="86"/>
      <c r="G394" s="86"/>
      <c r="I394" s="86"/>
      <c r="L394" s="86"/>
      <c r="M394" s="86"/>
    </row>
    <row r="395">
      <c r="D395" s="86"/>
      <c r="E395" s="86"/>
      <c r="G395" s="86"/>
      <c r="I395" s="86"/>
      <c r="L395" s="86"/>
      <c r="M395" s="86"/>
    </row>
    <row r="396">
      <c r="D396" s="86"/>
      <c r="E396" s="86"/>
      <c r="G396" s="86"/>
      <c r="I396" s="86"/>
      <c r="L396" s="86"/>
      <c r="M396" s="86"/>
    </row>
    <row r="397">
      <c r="D397" s="86"/>
      <c r="E397" s="86"/>
      <c r="G397" s="86"/>
      <c r="I397" s="86"/>
      <c r="L397" s="86"/>
      <c r="M397" s="86"/>
    </row>
    <row r="398">
      <c r="D398" s="86"/>
      <c r="E398" s="86"/>
      <c r="G398" s="86"/>
      <c r="I398" s="86"/>
      <c r="L398" s="86"/>
      <c r="M398" s="86"/>
    </row>
    <row r="399">
      <c r="D399" s="86"/>
      <c r="E399" s="86"/>
      <c r="G399" s="86"/>
      <c r="I399" s="86"/>
      <c r="L399" s="86"/>
      <c r="M399" s="86"/>
    </row>
    <row r="400">
      <c r="D400" s="86"/>
      <c r="E400" s="86"/>
      <c r="G400" s="86"/>
      <c r="I400" s="86"/>
      <c r="L400" s="86"/>
      <c r="M400" s="86"/>
    </row>
    <row r="401">
      <c r="D401" s="86"/>
      <c r="E401" s="86"/>
      <c r="G401" s="86"/>
      <c r="I401" s="86"/>
      <c r="L401" s="86"/>
      <c r="M401" s="86"/>
    </row>
    <row r="402">
      <c r="D402" s="86"/>
      <c r="E402" s="86"/>
      <c r="G402" s="86"/>
      <c r="I402" s="86"/>
      <c r="L402" s="86"/>
      <c r="M402" s="86"/>
    </row>
    <row r="403">
      <c r="D403" s="86"/>
      <c r="E403" s="86"/>
      <c r="G403" s="86"/>
      <c r="I403" s="86"/>
      <c r="L403" s="86"/>
      <c r="M403" s="86"/>
    </row>
    <row r="404">
      <c r="D404" s="86"/>
      <c r="E404" s="86"/>
      <c r="G404" s="86"/>
      <c r="I404" s="86"/>
      <c r="L404" s="86"/>
      <c r="M404" s="86"/>
    </row>
    <row r="405">
      <c r="D405" s="86"/>
      <c r="E405" s="86"/>
      <c r="G405" s="86"/>
      <c r="I405" s="86"/>
      <c r="L405" s="86"/>
      <c r="M405" s="86"/>
    </row>
    <row r="406">
      <c r="D406" s="86"/>
      <c r="E406" s="86"/>
      <c r="G406" s="86"/>
      <c r="I406" s="86"/>
      <c r="L406" s="86"/>
      <c r="M406" s="86"/>
    </row>
    <row r="407">
      <c r="D407" s="86"/>
      <c r="E407" s="86"/>
      <c r="G407" s="86"/>
      <c r="I407" s="86"/>
      <c r="L407" s="86"/>
      <c r="M407" s="86"/>
    </row>
    <row r="408">
      <c r="D408" s="86"/>
      <c r="E408" s="86"/>
      <c r="G408" s="86"/>
      <c r="I408" s="86"/>
      <c r="L408" s="86"/>
      <c r="M408" s="86"/>
    </row>
    <row r="409">
      <c r="D409" s="86"/>
      <c r="E409" s="86"/>
      <c r="G409" s="86"/>
      <c r="I409" s="86"/>
      <c r="L409" s="86"/>
      <c r="M409" s="86"/>
    </row>
    <row r="410">
      <c r="D410" s="86"/>
      <c r="E410" s="86"/>
      <c r="G410" s="86"/>
      <c r="I410" s="86"/>
      <c r="L410" s="86"/>
      <c r="M410" s="86"/>
    </row>
    <row r="411">
      <c r="D411" s="86"/>
      <c r="E411" s="86"/>
      <c r="G411" s="86"/>
      <c r="I411" s="86"/>
      <c r="L411" s="86"/>
      <c r="M411" s="86"/>
    </row>
    <row r="412">
      <c r="D412" s="86"/>
      <c r="E412" s="86"/>
      <c r="G412" s="86"/>
      <c r="I412" s="86"/>
      <c r="L412" s="86"/>
      <c r="M412" s="86"/>
    </row>
    <row r="413">
      <c r="D413" s="86"/>
      <c r="E413" s="86"/>
      <c r="G413" s="86"/>
      <c r="I413" s="86"/>
      <c r="L413" s="86"/>
      <c r="M413" s="86"/>
    </row>
    <row r="414">
      <c r="D414" s="86"/>
      <c r="E414" s="86"/>
      <c r="G414" s="86"/>
      <c r="I414" s="86"/>
      <c r="L414" s="86"/>
      <c r="M414" s="86"/>
    </row>
    <row r="415">
      <c r="D415" s="86"/>
      <c r="E415" s="86"/>
      <c r="G415" s="86"/>
      <c r="I415" s="86"/>
      <c r="L415" s="86"/>
      <c r="M415" s="86"/>
    </row>
    <row r="416">
      <c r="D416" s="86"/>
      <c r="E416" s="86"/>
      <c r="G416" s="86"/>
      <c r="I416" s="86"/>
      <c r="L416" s="86"/>
      <c r="M416" s="86"/>
    </row>
    <row r="417">
      <c r="D417" s="86"/>
      <c r="E417" s="86"/>
      <c r="G417" s="86"/>
      <c r="I417" s="86"/>
      <c r="L417" s="86"/>
      <c r="M417" s="86"/>
    </row>
    <row r="418">
      <c r="D418" s="86"/>
      <c r="E418" s="86"/>
      <c r="G418" s="86"/>
      <c r="I418" s="86"/>
      <c r="L418" s="86"/>
      <c r="M418" s="86"/>
    </row>
    <row r="419">
      <c r="D419" s="86"/>
      <c r="E419" s="86"/>
      <c r="G419" s="86"/>
      <c r="I419" s="86"/>
      <c r="L419" s="86"/>
      <c r="M419" s="86"/>
    </row>
    <row r="420">
      <c r="D420" s="86"/>
      <c r="E420" s="86"/>
      <c r="G420" s="86"/>
      <c r="I420" s="86"/>
      <c r="L420" s="86"/>
      <c r="M420" s="86"/>
    </row>
    <row r="421">
      <c r="D421" s="86"/>
      <c r="E421" s="86"/>
      <c r="G421" s="86"/>
      <c r="I421" s="86"/>
      <c r="L421" s="86"/>
      <c r="M421" s="86"/>
    </row>
    <row r="422">
      <c r="D422" s="86"/>
      <c r="E422" s="86"/>
      <c r="G422" s="86"/>
      <c r="I422" s="86"/>
      <c r="L422" s="86"/>
      <c r="M422" s="86"/>
    </row>
    <row r="423">
      <c r="D423" s="86"/>
      <c r="E423" s="86"/>
      <c r="G423" s="86"/>
      <c r="I423" s="86"/>
      <c r="L423" s="86"/>
      <c r="M423" s="86"/>
    </row>
    <row r="424">
      <c r="D424" s="86"/>
      <c r="E424" s="86"/>
      <c r="G424" s="86"/>
      <c r="I424" s="86"/>
      <c r="L424" s="86"/>
      <c r="M424" s="86"/>
    </row>
    <row r="425">
      <c r="D425" s="86"/>
      <c r="E425" s="86"/>
      <c r="G425" s="86"/>
      <c r="I425" s="86"/>
      <c r="L425" s="86"/>
      <c r="M425" s="86"/>
    </row>
    <row r="426">
      <c r="D426" s="86"/>
      <c r="E426" s="86"/>
      <c r="G426" s="86"/>
      <c r="I426" s="86"/>
      <c r="L426" s="86"/>
      <c r="M426" s="86"/>
    </row>
    <row r="427">
      <c r="D427" s="86"/>
      <c r="E427" s="86"/>
      <c r="G427" s="86"/>
      <c r="I427" s="86"/>
      <c r="L427" s="86"/>
      <c r="M427" s="86"/>
    </row>
    <row r="428">
      <c r="D428" s="86"/>
      <c r="E428" s="86"/>
      <c r="G428" s="86"/>
      <c r="I428" s="86"/>
      <c r="L428" s="86"/>
      <c r="M428" s="86"/>
    </row>
    <row r="429">
      <c r="D429" s="86"/>
      <c r="E429" s="86"/>
      <c r="G429" s="86"/>
      <c r="I429" s="86"/>
      <c r="L429" s="86"/>
      <c r="M429" s="86"/>
    </row>
    <row r="430">
      <c r="D430" s="86"/>
      <c r="E430" s="86"/>
      <c r="G430" s="86"/>
      <c r="I430" s="86"/>
      <c r="L430" s="86"/>
      <c r="M430" s="86"/>
    </row>
    <row r="431">
      <c r="D431" s="86"/>
      <c r="E431" s="86"/>
      <c r="G431" s="86"/>
      <c r="I431" s="86"/>
      <c r="L431" s="86"/>
      <c r="M431" s="86"/>
    </row>
    <row r="432">
      <c r="D432" s="86"/>
      <c r="E432" s="86"/>
      <c r="G432" s="86"/>
      <c r="I432" s="86"/>
      <c r="L432" s="86"/>
      <c r="M432" s="86"/>
    </row>
    <row r="433">
      <c r="D433" s="86"/>
      <c r="E433" s="86"/>
      <c r="G433" s="86"/>
      <c r="I433" s="86"/>
      <c r="L433" s="86"/>
      <c r="M433" s="86"/>
    </row>
    <row r="434">
      <c r="D434" s="86"/>
      <c r="E434" s="86"/>
      <c r="G434" s="86"/>
      <c r="I434" s="86"/>
      <c r="L434" s="86"/>
      <c r="M434" s="86"/>
    </row>
    <row r="435">
      <c r="D435" s="86"/>
      <c r="E435" s="86"/>
      <c r="G435" s="86"/>
      <c r="I435" s="86"/>
      <c r="L435" s="86"/>
      <c r="M435" s="86"/>
    </row>
    <row r="436">
      <c r="D436" s="86"/>
      <c r="E436" s="86"/>
      <c r="G436" s="86"/>
      <c r="I436" s="86"/>
      <c r="L436" s="86"/>
      <c r="M436" s="86"/>
    </row>
    <row r="437">
      <c r="D437" s="86"/>
      <c r="E437" s="86"/>
      <c r="G437" s="86"/>
      <c r="I437" s="86"/>
      <c r="L437" s="86"/>
      <c r="M437" s="86"/>
    </row>
    <row r="438">
      <c r="D438" s="86"/>
      <c r="E438" s="86"/>
      <c r="G438" s="86"/>
      <c r="I438" s="86"/>
      <c r="L438" s="86"/>
      <c r="M438" s="86"/>
    </row>
    <row r="439">
      <c r="D439" s="86"/>
      <c r="E439" s="86"/>
      <c r="G439" s="86"/>
      <c r="I439" s="86"/>
      <c r="L439" s="86"/>
      <c r="M439" s="86"/>
    </row>
    <row r="440">
      <c r="D440" s="86"/>
      <c r="E440" s="86"/>
      <c r="G440" s="86"/>
      <c r="I440" s="86"/>
      <c r="L440" s="86"/>
      <c r="M440" s="86"/>
    </row>
    <row r="441">
      <c r="D441" s="86"/>
      <c r="E441" s="86"/>
      <c r="G441" s="86"/>
      <c r="I441" s="86"/>
      <c r="L441" s="86"/>
      <c r="M441" s="86"/>
    </row>
    <row r="442">
      <c r="D442" s="86"/>
      <c r="E442" s="86"/>
      <c r="G442" s="86"/>
      <c r="I442" s="86"/>
      <c r="L442" s="86"/>
      <c r="M442" s="86"/>
    </row>
    <row r="443">
      <c r="D443" s="86"/>
      <c r="E443" s="86"/>
      <c r="G443" s="86"/>
      <c r="I443" s="86"/>
      <c r="L443" s="86"/>
      <c r="M443" s="86"/>
    </row>
    <row r="444">
      <c r="D444" s="86"/>
      <c r="E444" s="86"/>
      <c r="G444" s="86"/>
      <c r="I444" s="86"/>
      <c r="L444" s="86"/>
      <c r="M444" s="86"/>
    </row>
    <row r="445">
      <c r="D445" s="86"/>
      <c r="E445" s="86"/>
      <c r="G445" s="86"/>
      <c r="I445" s="86"/>
      <c r="L445" s="86"/>
      <c r="M445" s="86"/>
    </row>
    <row r="446">
      <c r="D446" s="86"/>
      <c r="E446" s="86"/>
      <c r="G446" s="86"/>
      <c r="I446" s="86"/>
      <c r="L446" s="86"/>
      <c r="M446" s="86"/>
    </row>
    <row r="447">
      <c r="D447" s="86"/>
      <c r="E447" s="86"/>
      <c r="G447" s="86"/>
      <c r="I447" s="86"/>
      <c r="L447" s="86"/>
      <c r="M447" s="86"/>
    </row>
    <row r="448">
      <c r="D448" s="86"/>
      <c r="E448" s="86"/>
      <c r="G448" s="86"/>
      <c r="I448" s="86"/>
      <c r="L448" s="86"/>
      <c r="M448" s="86"/>
    </row>
    <row r="449">
      <c r="D449" s="86"/>
      <c r="E449" s="86"/>
      <c r="G449" s="86"/>
      <c r="I449" s="86"/>
      <c r="L449" s="86"/>
      <c r="M449" s="86"/>
    </row>
    <row r="450">
      <c r="D450" s="86"/>
      <c r="E450" s="86"/>
      <c r="G450" s="86"/>
      <c r="I450" s="86"/>
      <c r="L450" s="86"/>
      <c r="M450" s="86"/>
    </row>
    <row r="451">
      <c r="D451" s="86"/>
      <c r="E451" s="86"/>
      <c r="G451" s="86"/>
      <c r="I451" s="86"/>
      <c r="L451" s="86"/>
      <c r="M451" s="86"/>
    </row>
    <row r="452">
      <c r="D452" s="86"/>
      <c r="E452" s="86"/>
      <c r="G452" s="86"/>
      <c r="I452" s="86"/>
      <c r="L452" s="86"/>
      <c r="M452" s="86"/>
    </row>
    <row r="453">
      <c r="D453" s="86"/>
      <c r="E453" s="86"/>
      <c r="G453" s="86"/>
      <c r="I453" s="86"/>
      <c r="L453" s="86"/>
      <c r="M453" s="86"/>
    </row>
    <row r="454">
      <c r="D454" s="86"/>
      <c r="E454" s="86"/>
      <c r="G454" s="86"/>
      <c r="I454" s="86"/>
      <c r="L454" s="86"/>
      <c r="M454" s="86"/>
    </row>
    <row r="455">
      <c r="D455" s="86"/>
      <c r="E455" s="86"/>
      <c r="G455" s="86"/>
      <c r="I455" s="86"/>
      <c r="L455" s="86"/>
      <c r="M455" s="86"/>
    </row>
    <row r="456">
      <c r="D456" s="86"/>
      <c r="E456" s="86"/>
      <c r="G456" s="86"/>
      <c r="I456" s="86"/>
      <c r="L456" s="86"/>
      <c r="M456" s="86"/>
    </row>
    <row r="457">
      <c r="D457" s="86"/>
      <c r="E457" s="86"/>
      <c r="G457" s="86"/>
      <c r="I457" s="86"/>
      <c r="L457" s="86"/>
      <c r="M457" s="86"/>
    </row>
    <row r="458">
      <c r="D458" s="86"/>
      <c r="E458" s="86"/>
      <c r="G458" s="86"/>
      <c r="I458" s="86"/>
      <c r="L458" s="86"/>
      <c r="M458" s="86"/>
    </row>
    <row r="459">
      <c r="D459" s="86"/>
      <c r="E459" s="86"/>
      <c r="G459" s="86"/>
      <c r="I459" s="86"/>
      <c r="L459" s="86"/>
      <c r="M459" s="86"/>
    </row>
    <row r="460">
      <c r="D460" s="86"/>
      <c r="E460" s="86"/>
      <c r="G460" s="86"/>
      <c r="I460" s="86"/>
      <c r="L460" s="86"/>
      <c r="M460" s="86"/>
    </row>
    <row r="461">
      <c r="D461" s="86"/>
      <c r="E461" s="86"/>
      <c r="G461" s="86"/>
      <c r="I461" s="86"/>
      <c r="L461" s="86"/>
      <c r="M461" s="86"/>
    </row>
    <row r="462">
      <c r="D462" s="86"/>
      <c r="E462" s="86"/>
      <c r="G462" s="86"/>
      <c r="I462" s="86"/>
      <c r="L462" s="86"/>
      <c r="M462" s="86"/>
    </row>
    <row r="463">
      <c r="D463" s="86"/>
      <c r="E463" s="86"/>
      <c r="G463" s="86"/>
      <c r="I463" s="86"/>
      <c r="L463" s="86"/>
      <c r="M463" s="86"/>
    </row>
    <row r="464">
      <c r="D464" s="86"/>
      <c r="E464" s="86"/>
      <c r="G464" s="86"/>
      <c r="I464" s="86"/>
      <c r="L464" s="86"/>
      <c r="M464" s="86"/>
    </row>
    <row r="465">
      <c r="D465" s="86"/>
      <c r="E465" s="86"/>
      <c r="G465" s="86"/>
      <c r="I465" s="86"/>
      <c r="L465" s="86"/>
      <c r="M465" s="86"/>
    </row>
    <row r="466">
      <c r="D466" s="86"/>
      <c r="E466" s="86"/>
      <c r="G466" s="86"/>
      <c r="I466" s="86"/>
      <c r="L466" s="86"/>
      <c r="M466" s="86"/>
    </row>
    <row r="467">
      <c r="D467" s="86"/>
      <c r="E467" s="86"/>
      <c r="G467" s="86"/>
      <c r="I467" s="86"/>
      <c r="L467" s="86"/>
      <c r="M467" s="86"/>
    </row>
    <row r="468">
      <c r="D468" s="86"/>
      <c r="E468" s="86"/>
      <c r="G468" s="86"/>
      <c r="I468" s="86"/>
      <c r="L468" s="86"/>
      <c r="M468" s="86"/>
    </row>
    <row r="469">
      <c r="D469" s="86"/>
      <c r="E469" s="86"/>
      <c r="G469" s="86"/>
      <c r="I469" s="86"/>
      <c r="L469" s="86"/>
      <c r="M469" s="86"/>
    </row>
    <row r="470">
      <c r="D470" s="86"/>
      <c r="E470" s="86"/>
      <c r="G470" s="86"/>
      <c r="I470" s="86"/>
      <c r="L470" s="86"/>
      <c r="M470" s="86"/>
    </row>
    <row r="471">
      <c r="D471" s="86"/>
      <c r="E471" s="86"/>
      <c r="G471" s="86"/>
      <c r="I471" s="86"/>
      <c r="L471" s="86"/>
      <c r="M471" s="86"/>
    </row>
    <row r="472">
      <c r="D472" s="86"/>
      <c r="E472" s="86"/>
      <c r="G472" s="86"/>
      <c r="I472" s="86"/>
      <c r="L472" s="86"/>
      <c r="M472" s="86"/>
    </row>
    <row r="473">
      <c r="D473" s="86"/>
      <c r="E473" s="86"/>
      <c r="G473" s="86"/>
      <c r="I473" s="86"/>
      <c r="L473" s="86"/>
      <c r="M473" s="86"/>
    </row>
    <row r="474">
      <c r="D474" s="86"/>
      <c r="E474" s="86"/>
      <c r="G474" s="86"/>
      <c r="I474" s="86"/>
      <c r="L474" s="86"/>
      <c r="M474" s="86"/>
    </row>
    <row r="475">
      <c r="D475" s="86"/>
      <c r="E475" s="86"/>
      <c r="G475" s="86"/>
      <c r="I475" s="86"/>
      <c r="L475" s="86"/>
      <c r="M475" s="86"/>
    </row>
    <row r="476">
      <c r="D476" s="86"/>
      <c r="E476" s="86"/>
      <c r="G476" s="86"/>
      <c r="I476" s="86"/>
      <c r="L476" s="86"/>
      <c r="M476" s="86"/>
    </row>
    <row r="477">
      <c r="D477" s="86"/>
      <c r="E477" s="86"/>
      <c r="G477" s="86"/>
      <c r="I477" s="86"/>
      <c r="L477" s="86"/>
      <c r="M477" s="86"/>
    </row>
    <row r="478">
      <c r="D478" s="86"/>
      <c r="E478" s="86"/>
      <c r="G478" s="86"/>
      <c r="I478" s="86"/>
      <c r="L478" s="86"/>
      <c r="M478" s="86"/>
    </row>
    <row r="479">
      <c r="D479" s="86"/>
      <c r="E479" s="86"/>
      <c r="G479" s="86"/>
      <c r="I479" s="86"/>
      <c r="L479" s="86"/>
      <c r="M479" s="86"/>
    </row>
    <row r="480">
      <c r="D480" s="86"/>
      <c r="E480" s="86"/>
      <c r="G480" s="86"/>
      <c r="I480" s="86"/>
      <c r="L480" s="86"/>
      <c r="M480" s="86"/>
    </row>
    <row r="481">
      <c r="D481" s="86"/>
      <c r="E481" s="86"/>
      <c r="G481" s="86"/>
      <c r="I481" s="86"/>
      <c r="L481" s="86"/>
      <c r="M481" s="86"/>
    </row>
    <row r="482">
      <c r="D482" s="86"/>
      <c r="E482" s="86"/>
      <c r="G482" s="86"/>
      <c r="I482" s="86"/>
      <c r="L482" s="86"/>
      <c r="M482" s="86"/>
    </row>
    <row r="483">
      <c r="D483" s="86"/>
      <c r="E483" s="86"/>
      <c r="G483" s="86"/>
      <c r="I483" s="86"/>
      <c r="L483" s="86"/>
      <c r="M483" s="86"/>
    </row>
    <row r="484">
      <c r="D484" s="86"/>
      <c r="E484" s="86"/>
      <c r="G484" s="86"/>
      <c r="I484" s="86"/>
      <c r="L484" s="86"/>
      <c r="M484" s="86"/>
    </row>
    <row r="485">
      <c r="D485" s="86"/>
      <c r="E485" s="86"/>
      <c r="G485" s="86"/>
      <c r="I485" s="86"/>
      <c r="L485" s="86"/>
      <c r="M485" s="86"/>
    </row>
    <row r="486">
      <c r="D486" s="86"/>
      <c r="E486" s="86"/>
      <c r="G486" s="86"/>
      <c r="I486" s="86"/>
      <c r="L486" s="86"/>
      <c r="M486" s="86"/>
    </row>
    <row r="487">
      <c r="D487" s="86"/>
      <c r="E487" s="86"/>
      <c r="G487" s="86"/>
      <c r="I487" s="86"/>
      <c r="L487" s="86"/>
      <c r="M487" s="86"/>
    </row>
    <row r="488">
      <c r="D488" s="86"/>
      <c r="E488" s="86"/>
      <c r="G488" s="86"/>
      <c r="I488" s="86"/>
      <c r="L488" s="86"/>
      <c r="M488" s="86"/>
    </row>
    <row r="489">
      <c r="D489" s="86"/>
      <c r="E489" s="86"/>
      <c r="G489" s="86"/>
      <c r="I489" s="86"/>
      <c r="L489" s="86"/>
      <c r="M489" s="86"/>
    </row>
    <row r="490">
      <c r="D490" s="86"/>
      <c r="E490" s="86"/>
      <c r="G490" s="86"/>
      <c r="I490" s="86"/>
      <c r="L490" s="86"/>
      <c r="M490" s="86"/>
    </row>
    <row r="491">
      <c r="D491" s="86"/>
      <c r="E491" s="86"/>
      <c r="G491" s="86"/>
      <c r="I491" s="86"/>
      <c r="L491" s="86"/>
      <c r="M491" s="86"/>
    </row>
    <row r="492">
      <c r="D492" s="86"/>
      <c r="E492" s="86"/>
      <c r="G492" s="86"/>
      <c r="I492" s="86"/>
      <c r="L492" s="86"/>
      <c r="M492" s="86"/>
    </row>
    <row r="493">
      <c r="D493" s="86"/>
      <c r="E493" s="86"/>
      <c r="G493" s="86"/>
      <c r="I493" s="86"/>
      <c r="L493" s="86"/>
      <c r="M493" s="86"/>
    </row>
    <row r="494">
      <c r="D494" s="86"/>
      <c r="E494" s="86"/>
      <c r="G494" s="86"/>
      <c r="I494" s="86"/>
      <c r="L494" s="86"/>
      <c r="M494" s="86"/>
    </row>
    <row r="495">
      <c r="D495" s="86"/>
      <c r="E495" s="86"/>
      <c r="G495" s="86"/>
      <c r="I495" s="86"/>
      <c r="L495" s="86"/>
      <c r="M495" s="86"/>
    </row>
    <row r="496">
      <c r="D496" s="86"/>
      <c r="E496" s="86"/>
      <c r="G496" s="86"/>
      <c r="I496" s="86"/>
      <c r="L496" s="86"/>
      <c r="M496" s="86"/>
    </row>
    <row r="497">
      <c r="D497" s="86"/>
      <c r="E497" s="86"/>
      <c r="G497" s="86"/>
      <c r="I497" s="86"/>
      <c r="L497" s="86"/>
      <c r="M497" s="86"/>
    </row>
    <row r="498">
      <c r="D498" s="86"/>
      <c r="E498" s="86"/>
      <c r="G498" s="86"/>
      <c r="I498" s="86"/>
      <c r="L498" s="86"/>
      <c r="M498" s="86"/>
    </row>
    <row r="499">
      <c r="D499" s="86"/>
      <c r="E499" s="86"/>
      <c r="G499" s="86"/>
      <c r="I499" s="86"/>
      <c r="L499" s="86"/>
      <c r="M499" s="86"/>
    </row>
    <row r="500">
      <c r="D500" s="86"/>
      <c r="E500" s="86"/>
      <c r="G500" s="86"/>
      <c r="I500" s="86"/>
      <c r="L500" s="86"/>
      <c r="M500" s="86"/>
    </row>
    <row r="501">
      <c r="D501" s="86"/>
      <c r="E501" s="86"/>
      <c r="G501" s="86"/>
      <c r="I501" s="86"/>
      <c r="L501" s="86"/>
      <c r="M501" s="86"/>
    </row>
    <row r="502">
      <c r="D502" s="86"/>
      <c r="E502" s="86"/>
      <c r="G502" s="86"/>
      <c r="I502" s="86"/>
      <c r="L502" s="86"/>
      <c r="M502" s="86"/>
    </row>
    <row r="503">
      <c r="D503" s="86"/>
      <c r="E503" s="86"/>
      <c r="G503" s="86"/>
      <c r="I503" s="86"/>
      <c r="L503" s="86"/>
      <c r="M503" s="86"/>
    </row>
    <row r="504">
      <c r="D504" s="86"/>
      <c r="E504" s="86"/>
      <c r="G504" s="86"/>
      <c r="I504" s="86"/>
      <c r="L504" s="86"/>
      <c r="M504" s="86"/>
    </row>
    <row r="505">
      <c r="D505" s="86"/>
      <c r="E505" s="86"/>
      <c r="G505" s="86"/>
      <c r="I505" s="86"/>
      <c r="L505" s="86"/>
      <c r="M505" s="86"/>
    </row>
    <row r="506">
      <c r="D506" s="86"/>
      <c r="E506" s="86"/>
      <c r="G506" s="86"/>
      <c r="I506" s="86"/>
      <c r="L506" s="86"/>
      <c r="M506" s="86"/>
    </row>
    <row r="507">
      <c r="D507" s="86"/>
      <c r="E507" s="86"/>
      <c r="G507" s="86"/>
      <c r="I507" s="86"/>
      <c r="L507" s="86"/>
      <c r="M507" s="86"/>
    </row>
    <row r="508">
      <c r="D508" s="86"/>
      <c r="E508" s="86"/>
      <c r="G508" s="86"/>
      <c r="I508" s="86"/>
      <c r="L508" s="86"/>
      <c r="M508" s="86"/>
    </row>
    <row r="509">
      <c r="D509" s="86"/>
      <c r="E509" s="86"/>
      <c r="G509" s="86"/>
      <c r="I509" s="86"/>
      <c r="L509" s="86"/>
      <c r="M509" s="86"/>
    </row>
    <row r="510">
      <c r="D510" s="86"/>
      <c r="E510" s="86"/>
      <c r="G510" s="86"/>
      <c r="I510" s="86"/>
      <c r="L510" s="86"/>
      <c r="M510" s="86"/>
    </row>
    <row r="511">
      <c r="D511" s="86"/>
      <c r="E511" s="86"/>
      <c r="G511" s="86"/>
      <c r="I511" s="86"/>
      <c r="L511" s="86"/>
      <c r="M511" s="86"/>
    </row>
    <row r="512">
      <c r="D512" s="86"/>
      <c r="E512" s="86"/>
      <c r="G512" s="86"/>
      <c r="I512" s="86"/>
      <c r="L512" s="86"/>
      <c r="M512" s="86"/>
    </row>
    <row r="513">
      <c r="D513" s="86"/>
      <c r="E513" s="86"/>
      <c r="G513" s="86"/>
      <c r="I513" s="86"/>
      <c r="L513" s="86"/>
      <c r="M513" s="86"/>
    </row>
    <row r="514">
      <c r="D514" s="86"/>
      <c r="E514" s="86"/>
      <c r="G514" s="86"/>
      <c r="I514" s="86"/>
      <c r="L514" s="86"/>
      <c r="M514" s="86"/>
    </row>
    <row r="515">
      <c r="D515" s="86"/>
      <c r="E515" s="86"/>
      <c r="G515" s="86"/>
      <c r="I515" s="86"/>
      <c r="L515" s="86"/>
      <c r="M515" s="86"/>
    </row>
    <row r="516">
      <c r="D516" s="86"/>
      <c r="E516" s="86"/>
      <c r="G516" s="86"/>
      <c r="I516" s="86"/>
      <c r="L516" s="86"/>
      <c r="M516" s="86"/>
    </row>
    <row r="517">
      <c r="D517" s="86"/>
      <c r="E517" s="86"/>
      <c r="G517" s="86"/>
      <c r="I517" s="86"/>
      <c r="L517" s="86"/>
      <c r="M517" s="86"/>
    </row>
    <row r="518">
      <c r="D518" s="86"/>
      <c r="E518" s="86"/>
      <c r="G518" s="86"/>
      <c r="I518" s="86"/>
      <c r="L518" s="86"/>
      <c r="M518" s="86"/>
    </row>
    <row r="519">
      <c r="D519" s="86"/>
      <c r="E519" s="86"/>
      <c r="G519" s="86"/>
      <c r="I519" s="86"/>
      <c r="L519" s="86"/>
      <c r="M519" s="86"/>
    </row>
    <row r="520">
      <c r="D520" s="86"/>
      <c r="E520" s="86"/>
      <c r="G520" s="86"/>
      <c r="I520" s="86"/>
      <c r="L520" s="86"/>
      <c r="M520" s="86"/>
    </row>
    <row r="521">
      <c r="D521" s="86"/>
      <c r="E521" s="86"/>
      <c r="G521" s="86"/>
      <c r="I521" s="86"/>
      <c r="L521" s="86"/>
      <c r="M521" s="86"/>
    </row>
    <row r="522">
      <c r="D522" s="86"/>
      <c r="E522" s="86"/>
      <c r="G522" s="86"/>
      <c r="I522" s="86"/>
      <c r="L522" s="86"/>
      <c r="M522" s="86"/>
    </row>
    <row r="523">
      <c r="D523" s="86"/>
      <c r="E523" s="86"/>
      <c r="G523" s="86"/>
      <c r="I523" s="86"/>
      <c r="L523" s="86"/>
      <c r="M523" s="86"/>
    </row>
    <row r="524">
      <c r="D524" s="86"/>
      <c r="E524" s="86"/>
      <c r="G524" s="86"/>
      <c r="I524" s="86"/>
      <c r="L524" s="86"/>
      <c r="M524" s="86"/>
    </row>
    <row r="525">
      <c r="D525" s="86"/>
      <c r="E525" s="86"/>
      <c r="G525" s="86"/>
      <c r="I525" s="86"/>
      <c r="L525" s="86"/>
      <c r="M525" s="86"/>
    </row>
    <row r="526">
      <c r="D526" s="86"/>
      <c r="E526" s="86"/>
      <c r="G526" s="86"/>
      <c r="I526" s="86"/>
      <c r="L526" s="86"/>
      <c r="M526" s="86"/>
    </row>
    <row r="527">
      <c r="D527" s="86"/>
      <c r="E527" s="86"/>
      <c r="G527" s="86"/>
      <c r="I527" s="86"/>
      <c r="L527" s="86"/>
      <c r="M527" s="86"/>
    </row>
    <row r="528">
      <c r="D528" s="86"/>
      <c r="E528" s="86"/>
      <c r="G528" s="86"/>
      <c r="I528" s="86"/>
      <c r="L528" s="86"/>
      <c r="M528" s="86"/>
    </row>
    <row r="529">
      <c r="D529" s="86"/>
      <c r="E529" s="86"/>
      <c r="G529" s="86"/>
      <c r="I529" s="86"/>
      <c r="L529" s="86"/>
      <c r="M529" s="86"/>
    </row>
    <row r="530">
      <c r="D530" s="86"/>
      <c r="E530" s="86"/>
      <c r="G530" s="86"/>
      <c r="I530" s="86"/>
      <c r="L530" s="86"/>
      <c r="M530" s="86"/>
    </row>
    <row r="531">
      <c r="D531" s="86"/>
      <c r="E531" s="86"/>
      <c r="G531" s="86"/>
      <c r="I531" s="86"/>
      <c r="L531" s="86"/>
      <c r="M531" s="86"/>
    </row>
    <row r="532">
      <c r="D532" s="86"/>
      <c r="E532" s="86"/>
      <c r="G532" s="86"/>
      <c r="I532" s="86"/>
      <c r="L532" s="86"/>
      <c r="M532" s="86"/>
    </row>
    <row r="533">
      <c r="D533" s="86"/>
      <c r="E533" s="86"/>
      <c r="G533" s="86"/>
      <c r="I533" s="86"/>
      <c r="L533" s="86"/>
      <c r="M533" s="86"/>
    </row>
    <row r="534">
      <c r="D534" s="86"/>
      <c r="E534" s="86"/>
      <c r="G534" s="86"/>
      <c r="I534" s="86"/>
      <c r="L534" s="86"/>
      <c r="M534" s="86"/>
    </row>
    <row r="535">
      <c r="D535" s="86"/>
      <c r="E535" s="86"/>
      <c r="G535" s="86"/>
      <c r="I535" s="86"/>
      <c r="L535" s="86"/>
      <c r="M535" s="86"/>
    </row>
    <row r="536">
      <c r="D536" s="86"/>
      <c r="E536" s="86"/>
      <c r="G536" s="86"/>
      <c r="I536" s="86"/>
      <c r="L536" s="86"/>
      <c r="M536" s="86"/>
    </row>
    <row r="537">
      <c r="D537" s="86"/>
      <c r="E537" s="86"/>
      <c r="G537" s="86"/>
      <c r="I537" s="86"/>
      <c r="L537" s="86"/>
      <c r="M537" s="86"/>
    </row>
    <row r="538">
      <c r="D538" s="86"/>
      <c r="E538" s="86"/>
      <c r="G538" s="86"/>
      <c r="I538" s="86"/>
      <c r="L538" s="86"/>
      <c r="M538" s="86"/>
    </row>
    <row r="539">
      <c r="D539" s="86"/>
      <c r="E539" s="86"/>
      <c r="G539" s="86"/>
      <c r="I539" s="86"/>
      <c r="L539" s="86"/>
      <c r="M539" s="86"/>
    </row>
    <row r="540">
      <c r="D540" s="86"/>
      <c r="E540" s="86"/>
      <c r="G540" s="86"/>
      <c r="I540" s="86"/>
      <c r="L540" s="86"/>
      <c r="M540" s="86"/>
    </row>
    <row r="541">
      <c r="D541" s="86"/>
      <c r="E541" s="86"/>
      <c r="G541" s="86"/>
      <c r="I541" s="86"/>
      <c r="L541" s="86"/>
      <c r="M541" s="86"/>
    </row>
    <row r="542">
      <c r="D542" s="86"/>
      <c r="E542" s="86"/>
      <c r="G542" s="86"/>
      <c r="I542" s="86"/>
      <c r="L542" s="86"/>
      <c r="M542" s="86"/>
    </row>
    <row r="543">
      <c r="D543" s="86"/>
      <c r="E543" s="86"/>
      <c r="G543" s="86"/>
      <c r="I543" s="86"/>
      <c r="L543" s="86"/>
      <c r="M543" s="86"/>
    </row>
    <row r="544">
      <c r="D544" s="86"/>
      <c r="E544" s="86"/>
      <c r="G544" s="86"/>
      <c r="I544" s="86"/>
      <c r="L544" s="86"/>
      <c r="M544" s="86"/>
    </row>
    <row r="545">
      <c r="D545" s="86"/>
      <c r="E545" s="86"/>
      <c r="G545" s="86"/>
      <c r="I545" s="86"/>
      <c r="L545" s="86"/>
      <c r="M545" s="86"/>
    </row>
    <row r="546">
      <c r="D546" s="86"/>
      <c r="E546" s="86"/>
      <c r="G546" s="86"/>
      <c r="I546" s="86"/>
      <c r="L546" s="86"/>
      <c r="M546" s="86"/>
    </row>
    <row r="547">
      <c r="D547" s="86"/>
      <c r="E547" s="86"/>
      <c r="G547" s="86"/>
      <c r="I547" s="86"/>
      <c r="L547" s="86"/>
      <c r="M547" s="86"/>
    </row>
    <row r="548">
      <c r="D548" s="86"/>
      <c r="E548" s="86"/>
      <c r="G548" s="86"/>
      <c r="I548" s="86"/>
      <c r="L548" s="86"/>
      <c r="M548" s="86"/>
    </row>
    <row r="549">
      <c r="D549" s="86"/>
      <c r="E549" s="86"/>
      <c r="G549" s="86"/>
      <c r="I549" s="86"/>
      <c r="L549" s="86"/>
      <c r="M549" s="86"/>
    </row>
    <row r="550">
      <c r="D550" s="86"/>
      <c r="E550" s="86"/>
      <c r="G550" s="86"/>
      <c r="I550" s="86"/>
      <c r="L550" s="86"/>
      <c r="M550" s="86"/>
    </row>
    <row r="551">
      <c r="D551" s="86"/>
      <c r="E551" s="86"/>
      <c r="G551" s="86"/>
      <c r="I551" s="86"/>
      <c r="L551" s="86"/>
      <c r="M551" s="86"/>
    </row>
    <row r="552">
      <c r="D552" s="86"/>
      <c r="E552" s="86"/>
      <c r="G552" s="86"/>
      <c r="I552" s="86"/>
      <c r="L552" s="86"/>
      <c r="M552" s="86"/>
    </row>
    <row r="553">
      <c r="D553" s="86"/>
      <c r="E553" s="86"/>
      <c r="G553" s="86"/>
      <c r="I553" s="86"/>
      <c r="L553" s="86"/>
      <c r="M553" s="86"/>
    </row>
    <row r="554">
      <c r="D554" s="86"/>
      <c r="E554" s="86"/>
      <c r="G554" s="86"/>
      <c r="I554" s="86"/>
      <c r="L554" s="86"/>
      <c r="M554" s="86"/>
    </row>
    <row r="555">
      <c r="D555" s="86"/>
      <c r="E555" s="86"/>
      <c r="G555" s="86"/>
      <c r="I555" s="86"/>
      <c r="L555" s="86"/>
      <c r="M555" s="86"/>
    </row>
    <row r="556">
      <c r="D556" s="86"/>
      <c r="E556" s="86"/>
      <c r="G556" s="86"/>
      <c r="I556" s="86"/>
      <c r="L556" s="86"/>
      <c r="M556" s="86"/>
    </row>
    <row r="557">
      <c r="D557" s="86"/>
      <c r="E557" s="86"/>
      <c r="G557" s="86"/>
      <c r="I557" s="86"/>
      <c r="L557" s="86"/>
      <c r="M557" s="86"/>
    </row>
    <row r="558">
      <c r="D558" s="86"/>
      <c r="E558" s="86"/>
      <c r="G558" s="86"/>
      <c r="I558" s="86"/>
      <c r="L558" s="86"/>
      <c r="M558" s="86"/>
    </row>
    <row r="559">
      <c r="D559" s="86"/>
      <c r="E559" s="86"/>
      <c r="G559" s="86"/>
      <c r="I559" s="86"/>
      <c r="L559" s="86"/>
      <c r="M559" s="86"/>
    </row>
    <row r="560">
      <c r="D560" s="86"/>
      <c r="E560" s="86"/>
      <c r="G560" s="86"/>
      <c r="I560" s="86"/>
      <c r="L560" s="86"/>
      <c r="M560" s="86"/>
    </row>
    <row r="561">
      <c r="D561" s="86"/>
      <c r="E561" s="86"/>
      <c r="G561" s="86"/>
      <c r="I561" s="86"/>
      <c r="L561" s="86"/>
      <c r="M561" s="86"/>
    </row>
    <row r="562">
      <c r="D562" s="86"/>
      <c r="E562" s="86"/>
      <c r="G562" s="86"/>
      <c r="I562" s="86"/>
      <c r="L562" s="86"/>
      <c r="M562" s="86"/>
    </row>
    <row r="563">
      <c r="D563" s="86"/>
      <c r="E563" s="86"/>
      <c r="G563" s="86"/>
      <c r="I563" s="86"/>
      <c r="L563" s="86"/>
      <c r="M563" s="86"/>
    </row>
    <row r="564">
      <c r="D564" s="86"/>
      <c r="E564" s="86"/>
      <c r="G564" s="86"/>
      <c r="I564" s="86"/>
      <c r="L564" s="86"/>
      <c r="M564" s="86"/>
    </row>
    <row r="565">
      <c r="D565" s="86"/>
      <c r="E565" s="86"/>
      <c r="G565" s="86"/>
      <c r="I565" s="86"/>
      <c r="L565" s="86"/>
      <c r="M565" s="86"/>
    </row>
    <row r="566">
      <c r="D566" s="86"/>
      <c r="E566" s="86"/>
      <c r="G566" s="86"/>
      <c r="I566" s="86"/>
      <c r="L566" s="86"/>
      <c r="M566" s="86"/>
    </row>
    <row r="567">
      <c r="D567" s="86"/>
      <c r="E567" s="86"/>
      <c r="G567" s="86"/>
      <c r="I567" s="86"/>
      <c r="L567" s="86"/>
      <c r="M567" s="86"/>
    </row>
    <row r="568">
      <c r="D568" s="86"/>
      <c r="E568" s="86"/>
      <c r="G568" s="86"/>
      <c r="I568" s="86"/>
      <c r="L568" s="86"/>
      <c r="M568" s="86"/>
    </row>
    <row r="569">
      <c r="D569" s="86"/>
      <c r="E569" s="86"/>
      <c r="G569" s="86"/>
      <c r="I569" s="86"/>
      <c r="L569" s="86"/>
      <c r="M569" s="86"/>
    </row>
    <row r="570">
      <c r="D570" s="86"/>
      <c r="E570" s="86"/>
      <c r="G570" s="86"/>
      <c r="I570" s="86"/>
      <c r="L570" s="86"/>
      <c r="M570" s="86"/>
    </row>
    <row r="571">
      <c r="D571" s="86"/>
      <c r="E571" s="86"/>
      <c r="G571" s="86"/>
      <c r="I571" s="86"/>
      <c r="L571" s="86"/>
      <c r="M571" s="86"/>
    </row>
    <row r="572">
      <c r="D572" s="86"/>
      <c r="E572" s="86"/>
      <c r="G572" s="86"/>
      <c r="I572" s="86"/>
      <c r="L572" s="86"/>
      <c r="M572" s="86"/>
    </row>
    <row r="573">
      <c r="D573" s="86"/>
      <c r="E573" s="86"/>
      <c r="G573" s="86"/>
      <c r="I573" s="86"/>
      <c r="L573" s="86"/>
      <c r="M573" s="86"/>
    </row>
    <row r="574">
      <c r="D574" s="86"/>
      <c r="E574" s="86"/>
      <c r="G574" s="86"/>
      <c r="I574" s="86"/>
      <c r="L574" s="86"/>
      <c r="M574" s="86"/>
    </row>
    <row r="575">
      <c r="D575" s="86"/>
      <c r="E575" s="86"/>
      <c r="G575" s="86"/>
      <c r="I575" s="86"/>
      <c r="L575" s="86"/>
      <c r="M575" s="86"/>
    </row>
    <row r="576">
      <c r="D576" s="86"/>
      <c r="E576" s="86"/>
      <c r="G576" s="86"/>
      <c r="I576" s="86"/>
      <c r="L576" s="86"/>
      <c r="M576" s="86"/>
    </row>
    <row r="577">
      <c r="D577" s="86"/>
      <c r="E577" s="86"/>
      <c r="G577" s="86"/>
      <c r="I577" s="86"/>
      <c r="L577" s="86"/>
      <c r="M577" s="86"/>
    </row>
    <row r="578">
      <c r="D578" s="86"/>
      <c r="E578" s="86"/>
      <c r="G578" s="86"/>
      <c r="I578" s="86"/>
      <c r="L578" s="86"/>
      <c r="M578" s="86"/>
    </row>
    <row r="579">
      <c r="D579" s="86"/>
      <c r="E579" s="86"/>
      <c r="G579" s="86"/>
      <c r="I579" s="86"/>
      <c r="L579" s="86"/>
      <c r="M579" s="86"/>
    </row>
    <row r="580">
      <c r="D580" s="86"/>
      <c r="E580" s="86"/>
      <c r="G580" s="86"/>
      <c r="I580" s="86"/>
      <c r="L580" s="86"/>
      <c r="M580" s="86"/>
    </row>
    <row r="581">
      <c r="D581" s="86"/>
      <c r="E581" s="86"/>
      <c r="G581" s="86"/>
      <c r="I581" s="86"/>
      <c r="L581" s="86"/>
      <c r="M581" s="86"/>
    </row>
    <row r="582">
      <c r="D582" s="86"/>
      <c r="E582" s="86"/>
      <c r="G582" s="86"/>
      <c r="I582" s="86"/>
      <c r="L582" s="86"/>
      <c r="M582" s="86"/>
    </row>
    <row r="583">
      <c r="D583" s="86"/>
      <c r="E583" s="86"/>
      <c r="G583" s="86"/>
      <c r="I583" s="86"/>
      <c r="L583" s="86"/>
      <c r="M583" s="86"/>
    </row>
    <row r="584">
      <c r="D584" s="86"/>
      <c r="E584" s="86"/>
      <c r="G584" s="86"/>
      <c r="I584" s="86"/>
      <c r="L584" s="86"/>
      <c r="M584" s="86"/>
    </row>
    <row r="585">
      <c r="D585" s="86"/>
      <c r="E585" s="86"/>
      <c r="G585" s="86"/>
      <c r="I585" s="86"/>
      <c r="L585" s="86"/>
      <c r="M585" s="86"/>
    </row>
    <row r="586">
      <c r="D586" s="86"/>
      <c r="E586" s="86"/>
      <c r="G586" s="86"/>
      <c r="I586" s="86"/>
      <c r="L586" s="86"/>
      <c r="M586" s="86"/>
    </row>
    <row r="587">
      <c r="D587" s="86"/>
      <c r="E587" s="86"/>
      <c r="G587" s="86"/>
      <c r="I587" s="86"/>
      <c r="L587" s="86"/>
      <c r="M587" s="86"/>
    </row>
    <row r="588">
      <c r="D588" s="86"/>
      <c r="E588" s="86"/>
      <c r="G588" s="86"/>
      <c r="I588" s="86"/>
      <c r="L588" s="86"/>
      <c r="M588" s="86"/>
    </row>
    <row r="589">
      <c r="D589" s="86"/>
      <c r="E589" s="86"/>
      <c r="G589" s="86"/>
      <c r="I589" s="86"/>
      <c r="L589" s="86"/>
      <c r="M589" s="86"/>
    </row>
    <row r="590">
      <c r="D590" s="86"/>
      <c r="E590" s="86"/>
      <c r="G590" s="86"/>
      <c r="I590" s="86"/>
      <c r="L590" s="86"/>
      <c r="M590" s="86"/>
    </row>
    <row r="591">
      <c r="D591" s="86"/>
      <c r="E591" s="86"/>
      <c r="G591" s="86"/>
      <c r="I591" s="86"/>
      <c r="L591" s="86"/>
      <c r="M591" s="86"/>
    </row>
    <row r="592">
      <c r="D592" s="86"/>
      <c r="E592" s="86"/>
      <c r="G592" s="86"/>
      <c r="I592" s="86"/>
      <c r="L592" s="86"/>
      <c r="M592" s="86"/>
    </row>
    <row r="593">
      <c r="D593" s="86"/>
      <c r="E593" s="86"/>
      <c r="G593" s="86"/>
      <c r="I593" s="86"/>
      <c r="L593" s="86"/>
      <c r="M593" s="86"/>
    </row>
    <row r="594">
      <c r="D594" s="86"/>
      <c r="E594" s="86"/>
      <c r="G594" s="86"/>
      <c r="I594" s="86"/>
      <c r="L594" s="86"/>
      <c r="M594" s="86"/>
    </row>
    <row r="595">
      <c r="D595" s="86"/>
      <c r="E595" s="86"/>
      <c r="G595" s="86"/>
      <c r="I595" s="86"/>
      <c r="L595" s="86"/>
      <c r="M595" s="86"/>
    </row>
    <row r="596">
      <c r="D596" s="86"/>
      <c r="E596" s="86"/>
      <c r="G596" s="86"/>
      <c r="I596" s="86"/>
      <c r="L596" s="86"/>
      <c r="M596" s="86"/>
    </row>
    <row r="597">
      <c r="D597" s="86"/>
      <c r="E597" s="86"/>
      <c r="G597" s="86"/>
      <c r="I597" s="86"/>
      <c r="L597" s="86"/>
      <c r="M597" s="86"/>
    </row>
    <row r="598">
      <c r="D598" s="86"/>
      <c r="E598" s="86"/>
      <c r="G598" s="86"/>
      <c r="I598" s="86"/>
      <c r="L598" s="86"/>
      <c r="M598" s="86"/>
    </row>
    <row r="599">
      <c r="D599" s="86"/>
      <c r="E599" s="86"/>
      <c r="G599" s="86"/>
      <c r="I599" s="86"/>
      <c r="L599" s="86"/>
      <c r="M599" s="86"/>
    </row>
    <row r="600">
      <c r="D600" s="86"/>
      <c r="E600" s="86"/>
      <c r="G600" s="86"/>
      <c r="I600" s="86"/>
      <c r="L600" s="86"/>
      <c r="M600" s="86"/>
    </row>
    <row r="601">
      <c r="D601" s="86"/>
      <c r="E601" s="86"/>
      <c r="G601" s="86"/>
      <c r="I601" s="86"/>
      <c r="L601" s="86"/>
      <c r="M601" s="86"/>
    </row>
    <row r="602">
      <c r="D602" s="86"/>
      <c r="E602" s="86"/>
      <c r="G602" s="86"/>
      <c r="I602" s="86"/>
      <c r="L602" s="86"/>
      <c r="M602" s="86"/>
    </row>
    <row r="603">
      <c r="D603" s="86"/>
      <c r="E603" s="86"/>
      <c r="G603" s="86"/>
      <c r="I603" s="86"/>
      <c r="L603" s="86"/>
      <c r="M603" s="86"/>
    </row>
    <row r="604">
      <c r="D604" s="86"/>
      <c r="E604" s="86"/>
      <c r="G604" s="86"/>
      <c r="I604" s="86"/>
      <c r="L604" s="86"/>
      <c r="M604" s="86"/>
    </row>
    <row r="605">
      <c r="D605" s="86"/>
      <c r="E605" s="86"/>
      <c r="G605" s="86"/>
      <c r="I605" s="86"/>
      <c r="L605" s="86"/>
      <c r="M605" s="86"/>
    </row>
    <row r="606">
      <c r="D606" s="86"/>
      <c r="E606" s="86"/>
      <c r="G606" s="86"/>
      <c r="I606" s="86"/>
      <c r="L606" s="86"/>
      <c r="M606" s="86"/>
    </row>
    <row r="607">
      <c r="D607" s="86"/>
      <c r="E607" s="86"/>
      <c r="G607" s="86"/>
      <c r="I607" s="86"/>
      <c r="L607" s="86"/>
      <c r="M607" s="86"/>
    </row>
    <row r="608">
      <c r="D608" s="86"/>
      <c r="E608" s="86"/>
      <c r="G608" s="86"/>
      <c r="I608" s="86"/>
      <c r="L608" s="86"/>
      <c r="M608" s="86"/>
    </row>
    <row r="609">
      <c r="D609" s="86"/>
      <c r="E609" s="86"/>
      <c r="G609" s="86"/>
      <c r="I609" s="86"/>
      <c r="L609" s="86"/>
      <c r="M609" s="86"/>
    </row>
    <row r="610">
      <c r="D610" s="86"/>
      <c r="E610" s="86"/>
      <c r="G610" s="86"/>
      <c r="I610" s="86"/>
      <c r="L610" s="86"/>
      <c r="M610" s="86"/>
    </row>
    <row r="611">
      <c r="D611" s="86"/>
      <c r="E611" s="86"/>
      <c r="G611" s="86"/>
      <c r="I611" s="86"/>
      <c r="L611" s="86"/>
      <c r="M611" s="86"/>
    </row>
    <row r="612">
      <c r="D612" s="86"/>
      <c r="E612" s="86"/>
      <c r="G612" s="86"/>
      <c r="I612" s="86"/>
      <c r="L612" s="86"/>
      <c r="M612" s="86"/>
    </row>
    <row r="613">
      <c r="D613" s="86"/>
      <c r="E613" s="86"/>
      <c r="G613" s="86"/>
      <c r="I613" s="86"/>
      <c r="L613" s="86"/>
      <c r="M613" s="86"/>
    </row>
    <row r="614">
      <c r="D614" s="86"/>
      <c r="E614" s="86"/>
      <c r="G614" s="86"/>
      <c r="I614" s="86"/>
      <c r="L614" s="86"/>
      <c r="M614" s="86"/>
    </row>
    <row r="615">
      <c r="D615" s="86"/>
      <c r="E615" s="86"/>
      <c r="G615" s="86"/>
      <c r="I615" s="86"/>
      <c r="L615" s="86"/>
      <c r="M615" s="86"/>
    </row>
    <row r="616">
      <c r="D616" s="86"/>
      <c r="E616" s="86"/>
      <c r="G616" s="86"/>
      <c r="I616" s="86"/>
      <c r="L616" s="86"/>
      <c r="M616" s="86"/>
    </row>
    <row r="617">
      <c r="D617" s="86"/>
      <c r="E617" s="86"/>
      <c r="G617" s="86"/>
      <c r="I617" s="86"/>
      <c r="L617" s="86"/>
      <c r="M617" s="86"/>
    </row>
    <row r="618">
      <c r="D618" s="86"/>
      <c r="E618" s="86"/>
      <c r="G618" s="86"/>
      <c r="I618" s="86"/>
      <c r="L618" s="86"/>
      <c r="M618" s="86"/>
    </row>
    <row r="619">
      <c r="D619" s="86"/>
      <c r="E619" s="86"/>
      <c r="G619" s="86"/>
      <c r="I619" s="86"/>
      <c r="L619" s="86"/>
      <c r="M619" s="86"/>
    </row>
    <row r="620">
      <c r="D620" s="86"/>
      <c r="E620" s="86"/>
      <c r="G620" s="86"/>
      <c r="I620" s="86"/>
      <c r="L620" s="86"/>
      <c r="M620" s="86"/>
    </row>
    <row r="621">
      <c r="D621" s="86"/>
      <c r="E621" s="86"/>
      <c r="G621" s="86"/>
      <c r="I621" s="86"/>
      <c r="L621" s="86"/>
      <c r="M621" s="86"/>
    </row>
    <row r="622">
      <c r="D622" s="86"/>
      <c r="E622" s="86"/>
      <c r="G622" s="86"/>
      <c r="I622" s="86"/>
      <c r="L622" s="86"/>
      <c r="M622" s="86"/>
    </row>
    <row r="623">
      <c r="D623" s="86"/>
      <c r="E623" s="86"/>
      <c r="G623" s="86"/>
      <c r="I623" s="86"/>
      <c r="L623" s="86"/>
      <c r="M623" s="86"/>
    </row>
    <row r="624">
      <c r="D624" s="86"/>
      <c r="E624" s="86"/>
      <c r="G624" s="86"/>
      <c r="I624" s="86"/>
      <c r="L624" s="86"/>
      <c r="M624" s="86"/>
    </row>
    <row r="625">
      <c r="D625" s="86"/>
      <c r="E625" s="86"/>
      <c r="G625" s="86"/>
      <c r="I625" s="86"/>
      <c r="L625" s="86"/>
      <c r="M625" s="86"/>
    </row>
    <row r="626">
      <c r="D626" s="86"/>
      <c r="E626" s="86"/>
      <c r="G626" s="86"/>
      <c r="I626" s="86"/>
      <c r="L626" s="86"/>
      <c r="M626" s="86"/>
    </row>
    <row r="627">
      <c r="D627" s="86"/>
      <c r="E627" s="86"/>
      <c r="G627" s="86"/>
      <c r="I627" s="86"/>
      <c r="L627" s="86"/>
      <c r="M627" s="86"/>
    </row>
    <row r="628">
      <c r="D628" s="86"/>
      <c r="E628" s="86"/>
      <c r="G628" s="86"/>
      <c r="I628" s="86"/>
      <c r="L628" s="86"/>
      <c r="M628" s="86"/>
    </row>
    <row r="629">
      <c r="D629" s="86"/>
      <c r="E629" s="86"/>
      <c r="G629" s="86"/>
      <c r="I629" s="86"/>
      <c r="L629" s="86"/>
      <c r="M629" s="86"/>
    </row>
    <row r="630">
      <c r="D630" s="86"/>
      <c r="E630" s="86"/>
      <c r="G630" s="86"/>
      <c r="I630" s="86"/>
      <c r="L630" s="86"/>
      <c r="M630" s="86"/>
    </row>
    <row r="631">
      <c r="D631" s="86"/>
      <c r="E631" s="86"/>
      <c r="G631" s="86"/>
      <c r="I631" s="86"/>
      <c r="L631" s="86"/>
      <c r="M631" s="86"/>
    </row>
    <row r="632">
      <c r="D632" s="86"/>
      <c r="E632" s="86"/>
      <c r="G632" s="86"/>
      <c r="I632" s="86"/>
      <c r="L632" s="86"/>
      <c r="M632" s="86"/>
    </row>
    <row r="633">
      <c r="D633" s="86"/>
      <c r="E633" s="86"/>
      <c r="G633" s="86"/>
      <c r="I633" s="86"/>
      <c r="L633" s="86"/>
      <c r="M633" s="86"/>
    </row>
    <row r="634">
      <c r="D634" s="86"/>
      <c r="E634" s="86"/>
      <c r="G634" s="86"/>
      <c r="I634" s="86"/>
      <c r="L634" s="86"/>
      <c r="M634" s="86"/>
    </row>
    <row r="635">
      <c r="D635" s="86"/>
      <c r="E635" s="86"/>
      <c r="G635" s="86"/>
      <c r="I635" s="86"/>
      <c r="L635" s="86"/>
      <c r="M635" s="86"/>
    </row>
    <row r="636">
      <c r="D636" s="86"/>
      <c r="E636" s="86"/>
      <c r="G636" s="86"/>
      <c r="I636" s="86"/>
      <c r="L636" s="86"/>
      <c r="M636" s="86"/>
    </row>
    <row r="637">
      <c r="D637" s="86"/>
      <c r="E637" s="86"/>
      <c r="G637" s="86"/>
      <c r="I637" s="86"/>
      <c r="L637" s="86"/>
      <c r="M637" s="86"/>
    </row>
    <row r="638">
      <c r="D638" s="86"/>
      <c r="E638" s="86"/>
      <c r="G638" s="86"/>
      <c r="I638" s="86"/>
      <c r="L638" s="86"/>
      <c r="M638" s="86"/>
    </row>
    <row r="639">
      <c r="D639" s="86"/>
      <c r="E639" s="86"/>
      <c r="G639" s="86"/>
      <c r="I639" s="86"/>
      <c r="L639" s="86"/>
      <c r="M639" s="86"/>
    </row>
    <row r="640">
      <c r="D640" s="86"/>
      <c r="E640" s="86"/>
      <c r="G640" s="86"/>
      <c r="I640" s="86"/>
      <c r="L640" s="86"/>
      <c r="M640" s="86"/>
    </row>
    <row r="641">
      <c r="D641" s="86"/>
      <c r="E641" s="86"/>
      <c r="G641" s="86"/>
      <c r="I641" s="86"/>
      <c r="L641" s="86"/>
      <c r="M641" s="86"/>
    </row>
    <row r="642">
      <c r="D642" s="86"/>
      <c r="E642" s="86"/>
      <c r="G642" s="86"/>
      <c r="I642" s="86"/>
      <c r="L642" s="86"/>
      <c r="M642" s="86"/>
    </row>
    <row r="643">
      <c r="D643" s="86"/>
      <c r="E643" s="86"/>
      <c r="G643" s="86"/>
      <c r="I643" s="86"/>
      <c r="L643" s="86"/>
      <c r="M643" s="86"/>
    </row>
    <row r="644">
      <c r="D644" s="86"/>
      <c r="E644" s="86"/>
      <c r="G644" s="86"/>
      <c r="I644" s="86"/>
      <c r="L644" s="86"/>
      <c r="M644" s="86"/>
    </row>
    <row r="645">
      <c r="D645" s="86"/>
      <c r="E645" s="86"/>
      <c r="G645" s="86"/>
      <c r="I645" s="86"/>
      <c r="L645" s="86"/>
      <c r="M645" s="86"/>
    </row>
    <row r="646">
      <c r="D646" s="86"/>
      <c r="E646" s="86"/>
      <c r="G646" s="86"/>
      <c r="I646" s="86"/>
      <c r="L646" s="86"/>
      <c r="M646" s="86"/>
    </row>
    <row r="647">
      <c r="D647" s="86"/>
      <c r="E647" s="86"/>
      <c r="G647" s="86"/>
      <c r="I647" s="86"/>
      <c r="L647" s="86"/>
      <c r="M647" s="86"/>
    </row>
    <row r="648">
      <c r="D648" s="86"/>
      <c r="E648" s="86"/>
      <c r="G648" s="86"/>
      <c r="I648" s="86"/>
      <c r="L648" s="86"/>
      <c r="M648" s="86"/>
    </row>
    <row r="649">
      <c r="D649" s="86"/>
      <c r="E649" s="86"/>
      <c r="G649" s="86"/>
      <c r="I649" s="86"/>
      <c r="L649" s="86"/>
      <c r="M649" s="86"/>
    </row>
    <row r="650">
      <c r="D650" s="86"/>
      <c r="E650" s="86"/>
      <c r="G650" s="86"/>
      <c r="I650" s="86"/>
      <c r="L650" s="86"/>
      <c r="M650" s="86"/>
    </row>
    <row r="651">
      <c r="D651" s="86"/>
      <c r="E651" s="86"/>
      <c r="G651" s="86"/>
      <c r="I651" s="86"/>
      <c r="L651" s="86"/>
      <c r="M651" s="86"/>
    </row>
    <row r="652">
      <c r="D652" s="86"/>
      <c r="E652" s="86"/>
      <c r="G652" s="86"/>
      <c r="I652" s="86"/>
      <c r="L652" s="86"/>
      <c r="M652" s="86"/>
    </row>
    <row r="653">
      <c r="D653" s="86"/>
      <c r="E653" s="86"/>
      <c r="G653" s="86"/>
      <c r="I653" s="86"/>
      <c r="L653" s="86"/>
      <c r="M653" s="86"/>
    </row>
    <row r="654">
      <c r="D654" s="86"/>
      <c r="E654" s="86"/>
      <c r="G654" s="86"/>
      <c r="I654" s="86"/>
      <c r="L654" s="86"/>
      <c r="M654" s="86"/>
    </row>
    <row r="655">
      <c r="D655" s="86"/>
      <c r="E655" s="86"/>
      <c r="G655" s="86"/>
      <c r="I655" s="86"/>
      <c r="L655" s="86"/>
      <c r="M655" s="86"/>
    </row>
    <row r="656">
      <c r="D656" s="86"/>
      <c r="E656" s="86"/>
      <c r="G656" s="86"/>
      <c r="I656" s="86"/>
      <c r="L656" s="86"/>
      <c r="M656" s="86"/>
    </row>
    <row r="657">
      <c r="D657" s="86"/>
      <c r="E657" s="86"/>
      <c r="G657" s="86"/>
      <c r="I657" s="86"/>
      <c r="L657" s="86"/>
      <c r="M657" s="86"/>
    </row>
    <row r="658">
      <c r="D658" s="86"/>
      <c r="E658" s="86"/>
      <c r="G658" s="86"/>
      <c r="I658" s="86"/>
      <c r="L658" s="86"/>
      <c r="M658" s="86"/>
    </row>
    <row r="659">
      <c r="D659" s="86"/>
      <c r="E659" s="86"/>
      <c r="G659" s="86"/>
      <c r="I659" s="86"/>
      <c r="L659" s="86"/>
      <c r="M659" s="86"/>
    </row>
    <row r="660">
      <c r="D660" s="86"/>
      <c r="E660" s="86"/>
      <c r="G660" s="86"/>
      <c r="I660" s="86"/>
      <c r="L660" s="86"/>
      <c r="M660" s="86"/>
    </row>
    <row r="661">
      <c r="D661" s="86"/>
      <c r="E661" s="86"/>
      <c r="G661" s="86"/>
      <c r="I661" s="86"/>
      <c r="L661" s="86"/>
      <c r="M661" s="86"/>
    </row>
    <row r="662">
      <c r="D662" s="86"/>
      <c r="E662" s="86"/>
      <c r="G662" s="86"/>
      <c r="I662" s="86"/>
      <c r="L662" s="86"/>
      <c r="M662" s="86"/>
    </row>
    <row r="663">
      <c r="D663" s="86"/>
      <c r="E663" s="86"/>
      <c r="G663" s="86"/>
      <c r="I663" s="86"/>
      <c r="L663" s="86"/>
      <c r="M663" s="86"/>
    </row>
    <row r="664">
      <c r="D664" s="86"/>
      <c r="E664" s="86"/>
      <c r="G664" s="86"/>
      <c r="I664" s="86"/>
      <c r="L664" s="86"/>
      <c r="M664" s="86"/>
    </row>
    <row r="665">
      <c r="D665" s="86"/>
      <c r="E665" s="86"/>
      <c r="G665" s="86"/>
      <c r="I665" s="86"/>
      <c r="L665" s="86"/>
      <c r="M665" s="86"/>
    </row>
    <row r="666">
      <c r="D666" s="86"/>
      <c r="E666" s="86"/>
      <c r="G666" s="86"/>
      <c r="I666" s="86"/>
      <c r="L666" s="86"/>
      <c r="M666" s="86"/>
    </row>
    <row r="667">
      <c r="D667" s="86"/>
      <c r="E667" s="86"/>
      <c r="G667" s="86"/>
      <c r="I667" s="86"/>
      <c r="L667" s="86"/>
      <c r="M667" s="86"/>
    </row>
    <row r="668">
      <c r="D668" s="86"/>
      <c r="E668" s="86"/>
      <c r="G668" s="86"/>
      <c r="I668" s="86"/>
      <c r="L668" s="86"/>
      <c r="M668" s="86"/>
    </row>
    <row r="669">
      <c r="D669" s="86"/>
      <c r="E669" s="86"/>
      <c r="G669" s="86"/>
      <c r="I669" s="86"/>
      <c r="L669" s="86"/>
      <c r="M669" s="86"/>
    </row>
    <row r="670">
      <c r="D670" s="86"/>
      <c r="E670" s="86"/>
      <c r="G670" s="86"/>
      <c r="I670" s="86"/>
      <c r="L670" s="86"/>
      <c r="M670" s="86"/>
    </row>
    <row r="671">
      <c r="D671" s="86"/>
      <c r="E671" s="86"/>
      <c r="G671" s="86"/>
      <c r="I671" s="86"/>
      <c r="L671" s="86"/>
      <c r="M671" s="86"/>
    </row>
    <row r="672">
      <c r="D672" s="86"/>
      <c r="E672" s="86"/>
      <c r="G672" s="86"/>
      <c r="I672" s="86"/>
      <c r="L672" s="86"/>
      <c r="M672" s="86"/>
    </row>
    <row r="673">
      <c r="D673" s="86"/>
      <c r="E673" s="86"/>
      <c r="G673" s="86"/>
      <c r="I673" s="86"/>
      <c r="L673" s="86"/>
      <c r="M673" s="86"/>
    </row>
    <row r="674">
      <c r="D674" s="86"/>
      <c r="E674" s="86"/>
      <c r="G674" s="86"/>
      <c r="I674" s="86"/>
      <c r="L674" s="86"/>
      <c r="M674" s="86"/>
    </row>
    <row r="675">
      <c r="D675" s="86"/>
      <c r="E675" s="86"/>
      <c r="G675" s="86"/>
      <c r="I675" s="86"/>
      <c r="L675" s="86"/>
      <c r="M675" s="86"/>
    </row>
    <row r="676">
      <c r="D676" s="86"/>
      <c r="E676" s="86"/>
      <c r="G676" s="86"/>
      <c r="I676" s="86"/>
      <c r="L676" s="86"/>
      <c r="M676" s="86"/>
    </row>
    <row r="677">
      <c r="D677" s="86"/>
      <c r="E677" s="86"/>
      <c r="G677" s="86"/>
      <c r="I677" s="86"/>
      <c r="L677" s="86"/>
      <c r="M677" s="86"/>
    </row>
    <row r="678">
      <c r="D678" s="86"/>
      <c r="E678" s="86"/>
      <c r="G678" s="86"/>
      <c r="I678" s="86"/>
      <c r="L678" s="86"/>
      <c r="M678" s="86"/>
    </row>
    <row r="679">
      <c r="D679" s="86"/>
      <c r="E679" s="86"/>
      <c r="G679" s="86"/>
      <c r="I679" s="86"/>
      <c r="L679" s="86"/>
      <c r="M679" s="86"/>
    </row>
    <row r="680">
      <c r="D680" s="86"/>
      <c r="E680" s="86"/>
      <c r="G680" s="86"/>
      <c r="I680" s="86"/>
      <c r="L680" s="86"/>
      <c r="M680" s="86"/>
    </row>
    <row r="681">
      <c r="D681" s="86"/>
      <c r="E681" s="86"/>
      <c r="G681" s="86"/>
      <c r="I681" s="86"/>
      <c r="L681" s="86"/>
      <c r="M681" s="86"/>
    </row>
    <row r="682">
      <c r="D682" s="86"/>
      <c r="E682" s="86"/>
      <c r="G682" s="86"/>
      <c r="I682" s="86"/>
      <c r="L682" s="86"/>
      <c r="M682" s="86"/>
    </row>
    <row r="683">
      <c r="D683" s="86"/>
      <c r="E683" s="86"/>
      <c r="G683" s="86"/>
      <c r="I683" s="86"/>
      <c r="L683" s="86"/>
      <c r="M683" s="86"/>
    </row>
    <row r="684">
      <c r="D684" s="86"/>
      <c r="E684" s="86"/>
      <c r="G684" s="86"/>
      <c r="I684" s="86"/>
      <c r="L684" s="86"/>
      <c r="M684" s="86"/>
    </row>
    <row r="685">
      <c r="D685" s="86"/>
      <c r="E685" s="86"/>
      <c r="G685" s="86"/>
      <c r="I685" s="86"/>
      <c r="L685" s="86"/>
      <c r="M685" s="86"/>
    </row>
    <row r="686">
      <c r="D686" s="86"/>
      <c r="E686" s="86"/>
      <c r="G686" s="86"/>
      <c r="I686" s="86"/>
      <c r="L686" s="86"/>
      <c r="M686" s="86"/>
    </row>
    <row r="687">
      <c r="D687" s="86"/>
      <c r="E687" s="86"/>
      <c r="G687" s="86"/>
      <c r="I687" s="86"/>
      <c r="L687" s="86"/>
      <c r="M687" s="86"/>
    </row>
    <row r="688">
      <c r="D688" s="86"/>
      <c r="E688" s="86"/>
      <c r="G688" s="86"/>
      <c r="I688" s="86"/>
      <c r="L688" s="86"/>
      <c r="M688" s="86"/>
    </row>
    <row r="689">
      <c r="D689" s="86"/>
      <c r="E689" s="86"/>
      <c r="G689" s="86"/>
      <c r="I689" s="86"/>
      <c r="L689" s="86"/>
      <c r="M689" s="86"/>
    </row>
    <row r="690">
      <c r="D690" s="86"/>
      <c r="E690" s="86"/>
      <c r="G690" s="86"/>
      <c r="I690" s="86"/>
      <c r="L690" s="86"/>
      <c r="M690" s="86"/>
    </row>
    <row r="691">
      <c r="D691" s="86"/>
      <c r="E691" s="86"/>
      <c r="G691" s="86"/>
      <c r="I691" s="86"/>
      <c r="L691" s="86"/>
      <c r="M691" s="86"/>
    </row>
    <row r="692">
      <c r="D692" s="86"/>
      <c r="E692" s="86"/>
      <c r="G692" s="86"/>
      <c r="I692" s="86"/>
      <c r="L692" s="86"/>
      <c r="M692" s="86"/>
    </row>
    <row r="693">
      <c r="D693" s="86"/>
      <c r="E693" s="86"/>
      <c r="G693" s="86"/>
      <c r="I693" s="86"/>
      <c r="L693" s="86"/>
      <c r="M693" s="86"/>
    </row>
    <row r="694">
      <c r="D694" s="86"/>
      <c r="E694" s="86"/>
      <c r="G694" s="86"/>
      <c r="I694" s="86"/>
      <c r="L694" s="86"/>
      <c r="M694" s="86"/>
    </row>
    <row r="695">
      <c r="D695" s="86"/>
      <c r="E695" s="86"/>
      <c r="G695" s="86"/>
      <c r="I695" s="86"/>
      <c r="L695" s="86"/>
      <c r="M695" s="86"/>
    </row>
    <row r="696">
      <c r="D696" s="86"/>
      <c r="E696" s="86"/>
      <c r="G696" s="86"/>
      <c r="I696" s="86"/>
      <c r="L696" s="86"/>
      <c r="M696" s="86"/>
    </row>
    <row r="697">
      <c r="D697" s="86"/>
      <c r="E697" s="86"/>
      <c r="G697" s="86"/>
      <c r="I697" s="86"/>
      <c r="L697" s="86"/>
      <c r="M697" s="86"/>
    </row>
    <row r="698">
      <c r="D698" s="86"/>
      <c r="E698" s="86"/>
      <c r="G698" s="86"/>
      <c r="I698" s="86"/>
      <c r="L698" s="86"/>
      <c r="M698" s="86"/>
    </row>
    <row r="699">
      <c r="D699" s="86"/>
      <c r="E699" s="86"/>
      <c r="G699" s="86"/>
      <c r="I699" s="86"/>
      <c r="L699" s="86"/>
      <c r="M699" s="86"/>
    </row>
    <row r="700">
      <c r="D700" s="86"/>
      <c r="E700" s="86"/>
      <c r="G700" s="86"/>
      <c r="I700" s="86"/>
      <c r="L700" s="86"/>
      <c r="M700" s="86"/>
    </row>
    <row r="701">
      <c r="D701" s="86"/>
      <c r="E701" s="86"/>
      <c r="G701" s="86"/>
      <c r="I701" s="86"/>
      <c r="L701" s="86"/>
      <c r="M701" s="86"/>
    </row>
    <row r="702">
      <c r="D702" s="86"/>
      <c r="E702" s="86"/>
      <c r="G702" s="86"/>
      <c r="I702" s="86"/>
      <c r="L702" s="86"/>
      <c r="M702" s="86"/>
    </row>
    <row r="703">
      <c r="D703" s="86"/>
      <c r="E703" s="86"/>
      <c r="G703" s="86"/>
      <c r="I703" s="86"/>
      <c r="L703" s="86"/>
      <c r="M703" s="86"/>
    </row>
    <row r="704">
      <c r="D704" s="86"/>
      <c r="E704" s="86"/>
      <c r="G704" s="86"/>
      <c r="I704" s="86"/>
      <c r="L704" s="86"/>
      <c r="M704" s="86"/>
    </row>
    <row r="705">
      <c r="D705" s="86"/>
      <c r="E705" s="86"/>
      <c r="G705" s="86"/>
      <c r="I705" s="86"/>
      <c r="L705" s="86"/>
      <c r="M705" s="86"/>
    </row>
    <row r="706">
      <c r="D706" s="86"/>
      <c r="E706" s="86"/>
      <c r="G706" s="86"/>
      <c r="I706" s="86"/>
      <c r="L706" s="86"/>
      <c r="M706" s="86"/>
    </row>
    <row r="707">
      <c r="D707" s="86"/>
      <c r="E707" s="86"/>
      <c r="G707" s="86"/>
      <c r="I707" s="86"/>
      <c r="L707" s="86"/>
      <c r="M707" s="86"/>
    </row>
    <row r="708">
      <c r="D708" s="86"/>
      <c r="E708" s="86"/>
      <c r="G708" s="86"/>
      <c r="I708" s="86"/>
      <c r="L708" s="86"/>
      <c r="M708" s="86"/>
    </row>
    <row r="709">
      <c r="D709" s="86"/>
      <c r="E709" s="86"/>
      <c r="G709" s="86"/>
      <c r="I709" s="86"/>
      <c r="L709" s="86"/>
      <c r="M709" s="86"/>
    </row>
    <row r="710">
      <c r="D710" s="86"/>
      <c r="E710" s="86"/>
      <c r="G710" s="86"/>
      <c r="I710" s="86"/>
      <c r="L710" s="86"/>
      <c r="M710" s="86"/>
    </row>
    <row r="711">
      <c r="D711" s="86"/>
      <c r="E711" s="86"/>
      <c r="G711" s="86"/>
      <c r="I711" s="86"/>
      <c r="L711" s="86"/>
      <c r="M711" s="86"/>
    </row>
    <row r="712">
      <c r="D712" s="86"/>
      <c r="E712" s="86"/>
      <c r="G712" s="86"/>
      <c r="I712" s="86"/>
      <c r="L712" s="86"/>
      <c r="M712" s="86"/>
    </row>
    <row r="713">
      <c r="D713" s="86"/>
      <c r="E713" s="86"/>
      <c r="G713" s="86"/>
      <c r="I713" s="86"/>
      <c r="L713" s="86"/>
      <c r="M713" s="86"/>
    </row>
    <row r="714">
      <c r="D714" s="86"/>
      <c r="E714" s="86"/>
      <c r="G714" s="86"/>
      <c r="I714" s="86"/>
      <c r="L714" s="86"/>
      <c r="M714" s="86"/>
    </row>
    <row r="715">
      <c r="D715" s="86"/>
      <c r="E715" s="86"/>
      <c r="G715" s="86"/>
      <c r="I715" s="86"/>
      <c r="L715" s="86"/>
      <c r="M715" s="86"/>
    </row>
    <row r="716">
      <c r="D716" s="86"/>
      <c r="E716" s="86"/>
      <c r="G716" s="86"/>
      <c r="I716" s="86"/>
      <c r="L716" s="86"/>
      <c r="M716" s="86"/>
    </row>
    <row r="717">
      <c r="D717" s="86"/>
      <c r="E717" s="86"/>
      <c r="G717" s="86"/>
      <c r="I717" s="86"/>
      <c r="L717" s="86"/>
      <c r="M717" s="86"/>
    </row>
    <row r="718">
      <c r="D718" s="86"/>
      <c r="E718" s="86"/>
      <c r="G718" s="86"/>
      <c r="I718" s="86"/>
      <c r="L718" s="86"/>
      <c r="M718" s="86"/>
    </row>
    <row r="719">
      <c r="D719" s="86"/>
      <c r="E719" s="86"/>
      <c r="G719" s="86"/>
      <c r="I719" s="86"/>
      <c r="L719" s="86"/>
      <c r="M719" s="86"/>
    </row>
    <row r="720">
      <c r="D720" s="86"/>
      <c r="E720" s="86"/>
      <c r="G720" s="86"/>
      <c r="I720" s="86"/>
      <c r="L720" s="86"/>
      <c r="M720" s="86"/>
    </row>
    <row r="721">
      <c r="D721" s="86"/>
      <c r="E721" s="86"/>
      <c r="G721" s="86"/>
      <c r="I721" s="86"/>
      <c r="L721" s="86"/>
      <c r="M721" s="86"/>
    </row>
    <row r="722">
      <c r="D722" s="86"/>
      <c r="E722" s="86"/>
      <c r="G722" s="86"/>
      <c r="I722" s="86"/>
      <c r="L722" s="86"/>
      <c r="M722" s="86"/>
    </row>
    <row r="723">
      <c r="D723" s="86"/>
      <c r="E723" s="86"/>
      <c r="G723" s="86"/>
      <c r="I723" s="86"/>
      <c r="L723" s="86"/>
      <c r="M723" s="86"/>
    </row>
    <row r="724">
      <c r="D724" s="86"/>
      <c r="E724" s="86"/>
      <c r="G724" s="86"/>
      <c r="I724" s="86"/>
      <c r="L724" s="86"/>
      <c r="M724" s="86"/>
    </row>
    <row r="725">
      <c r="D725" s="86"/>
      <c r="E725" s="86"/>
      <c r="G725" s="86"/>
      <c r="I725" s="86"/>
      <c r="L725" s="86"/>
      <c r="M725" s="86"/>
    </row>
    <row r="726">
      <c r="D726" s="86"/>
      <c r="E726" s="86"/>
      <c r="G726" s="86"/>
      <c r="I726" s="86"/>
      <c r="L726" s="86"/>
      <c r="M726" s="86"/>
    </row>
    <row r="727">
      <c r="D727" s="86"/>
      <c r="E727" s="86"/>
      <c r="G727" s="86"/>
      <c r="I727" s="86"/>
      <c r="L727" s="86"/>
      <c r="M727" s="86"/>
    </row>
    <row r="728">
      <c r="D728" s="86"/>
      <c r="E728" s="86"/>
      <c r="G728" s="86"/>
      <c r="I728" s="86"/>
      <c r="L728" s="86"/>
      <c r="M728" s="86"/>
    </row>
    <row r="729">
      <c r="D729" s="86"/>
      <c r="E729" s="86"/>
      <c r="G729" s="86"/>
      <c r="I729" s="86"/>
      <c r="L729" s="86"/>
      <c r="M729" s="86"/>
    </row>
    <row r="730">
      <c r="D730" s="86"/>
      <c r="E730" s="86"/>
      <c r="G730" s="86"/>
      <c r="I730" s="86"/>
      <c r="L730" s="86"/>
      <c r="M730" s="86"/>
    </row>
    <row r="731">
      <c r="D731" s="86"/>
      <c r="E731" s="86"/>
      <c r="G731" s="86"/>
      <c r="I731" s="86"/>
      <c r="L731" s="86"/>
      <c r="M731" s="86"/>
    </row>
    <row r="732">
      <c r="D732" s="86"/>
      <c r="E732" s="86"/>
      <c r="G732" s="86"/>
      <c r="I732" s="86"/>
      <c r="L732" s="86"/>
      <c r="M732" s="86"/>
    </row>
    <row r="733">
      <c r="D733" s="86"/>
      <c r="E733" s="86"/>
      <c r="G733" s="86"/>
      <c r="I733" s="86"/>
      <c r="L733" s="86"/>
      <c r="M733" s="86"/>
    </row>
    <row r="734">
      <c r="D734" s="86"/>
      <c r="E734" s="86"/>
      <c r="G734" s="86"/>
      <c r="I734" s="86"/>
      <c r="L734" s="86"/>
      <c r="M734" s="86"/>
    </row>
    <row r="735">
      <c r="D735" s="86"/>
      <c r="E735" s="86"/>
      <c r="G735" s="86"/>
      <c r="I735" s="86"/>
      <c r="L735" s="86"/>
      <c r="M735" s="86"/>
    </row>
    <row r="736">
      <c r="D736" s="86"/>
      <c r="E736" s="86"/>
      <c r="G736" s="86"/>
      <c r="I736" s="86"/>
      <c r="L736" s="86"/>
      <c r="M736" s="86"/>
    </row>
    <row r="737">
      <c r="D737" s="86"/>
      <c r="E737" s="86"/>
      <c r="G737" s="86"/>
      <c r="I737" s="86"/>
      <c r="L737" s="86"/>
      <c r="M737" s="86"/>
    </row>
    <row r="738">
      <c r="D738" s="86"/>
      <c r="E738" s="86"/>
      <c r="G738" s="86"/>
      <c r="I738" s="86"/>
      <c r="L738" s="86"/>
      <c r="M738" s="86"/>
    </row>
    <row r="739">
      <c r="D739" s="86"/>
      <c r="E739" s="86"/>
      <c r="G739" s="86"/>
      <c r="I739" s="86"/>
      <c r="L739" s="86"/>
      <c r="M739" s="86"/>
    </row>
    <row r="740">
      <c r="D740" s="86"/>
      <c r="E740" s="86"/>
      <c r="G740" s="86"/>
      <c r="I740" s="86"/>
      <c r="L740" s="86"/>
      <c r="M740" s="86"/>
    </row>
    <row r="741">
      <c r="D741" s="86"/>
      <c r="E741" s="86"/>
      <c r="G741" s="86"/>
      <c r="I741" s="86"/>
      <c r="L741" s="86"/>
      <c r="M741" s="86"/>
    </row>
    <row r="742">
      <c r="D742" s="86"/>
      <c r="E742" s="86"/>
      <c r="G742" s="86"/>
      <c r="I742" s="86"/>
      <c r="L742" s="86"/>
      <c r="M742" s="86"/>
    </row>
    <row r="743">
      <c r="D743" s="86"/>
      <c r="E743" s="86"/>
      <c r="G743" s="86"/>
      <c r="I743" s="86"/>
      <c r="L743" s="86"/>
      <c r="M743" s="86"/>
    </row>
    <row r="744">
      <c r="D744" s="86"/>
      <c r="E744" s="86"/>
      <c r="G744" s="86"/>
      <c r="I744" s="86"/>
      <c r="L744" s="86"/>
      <c r="M744" s="86"/>
    </row>
    <row r="745">
      <c r="D745" s="86"/>
      <c r="E745" s="86"/>
      <c r="G745" s="86"/>
      <c r="I745" s="86"/>
      <c r="L745" s="86"/>
      <c r="M745" s="86"/>
    </row>
    <row r="746">
      <c r="D746" s="86"/>
      <c r="E746" s="86"/>
      <c r="G746" s="86"/>
      <c r="I746" s="86"/>
      <c r="L746" s="86"/>
      <c r="M746" s="86"/>
    </row>
    <row r="747">
      <c r="D747" s="86"/>
      <c r="E747" s="86"/>
      <c r="G747" s="86"/>
      <c r="I747" s="86"/>
      <c r="L747" s="86"/>
      <c r="M747" s="86"/>
    </row>
    <row r="748">
      <c r="D748" s="86"/>
      <c r="E748" s="86"/>
      <c r="G748" s="86"/>
      <c r="I748" s="86"/>
      <c r="L748" s="86"/>
      <c r="M748" s="86"/>
    </row>
    <row r="749">
      <c r="D749" s="86"/>
      <c r="E749" s="86"/>
      <c r="G749" s="86"/>
      <c r="I749" s="86"/>
      <c r="L749" s="86"/>
      <c r="M749" s="86"/>
    </row>
    <row r="750">
      <c r="D750" s="86"/>
      <c r="E750" s="86"/>
      <c r="G750" s="86"/>
      <c r="I750" s="86"/>
      <c r="L750" s="86"/>
      <c r="M750" s="86"/>
    </row>
    <row r="751">
      <c r="D751" s="86"/>
      <c r="E751" s="86"/>
      <c r="G751" s="86"/>
      <c r="I751" s="86"/>
      <c r="L751" s="86"/>
      <c r="M751" s="86"/>
    </row>
    <row r="752">
      <c r="D752" s="86"/>
      <c r="E752" s="86"/>
      <c r="G752" s="86"/>
      <c r="I752" s="86"/>
      <c r="L752" s="86"/>
      <c r="M752" s="86"/>
    </row>
    <row r="753">
      <c r="D753" s="86"/>
      <c r="E753" s="86"/>
      <c r="G753" s="86"/>
      <c r="I753" s="86"/>
      <c r="L753" s="86"/>
      <c r="M753" s="86"/>
    </row>
    <row r="754">
      <c r="D754" s="86"/>
      <c r="E754" s="86"/>
      <c r="G754" s="86"/>
      <c r="I754" s="86"/>
      <c r="L754" s="86"/>
      <c r="M754" s="86"/>
    </row>
    <row r="755">
      <c r="D755" s="86"/>
      <c r="E755" s="86"/>
      <c r="G755" s="86"/>
      <c r="I755" s="86"/>
      <c r="L755" s="86"/>
      <c r="M755" s="86"/>
    </row>
    <row r="756">
      <c r="D756" s="86"/>
      <c r="E756" s="86"/>
      <c r="G756" s="86"/>
      <c r="I756" s="86"/>
      <c r="L756" s="86"/>
      <c r="M756" s="86"/>
    </row>
    <row r="757">
      <c r="D757" s="86"/>
      <c r="E757" s="86"/>
      <c r="G757" s="86"/>
      <c r="I757" s="86"/>
      <c r="L757" s="86"/>
      <c r="M757" s="86"/>
    </row>
    <row r="758">
      <c r="D758" s="86"/>
      <c r="E758" s="86"/>
      <c r="G758" s="86"/>
      <c r="I758" s="86"/>
      <c r="L758" s="86"/>
      <c r="M758" s="86"/>
    </row>
    <row r="759">
      <c r="D759" s="86"/>
      <c r="E759" s="86"/>
      <c r="G759" s="86"/>
      <c r="I759" s="86"/>
      <c r="L759" s="86"/>
      <c r="M759" s="86"/>
    </row>
    <row r="760">
      <c r="D760" s="86"/>
      <c r="E760" s="86"/>
      <c r="G760" s="86"/>
      <c r="I760" s="86"/>
      <c r="L760" s="86"/>
      <c r="M760" s="86"/>
    </row>
    <row r="761">
      <c r="D761" s="86"/>
      <c r="E761" s="86"/>
      <c r="G761" s="86"/>
      <c r="I761" s="86"/>
      <c r="L761" s="86"/>
      <c r="M761" s="86"/>
    </row>
    <row r="762">
      <c r="D762" s="86"/>
      <c r="E762" s="86"/>
      <c r="G762" s="86"/>
      <c r="I762" s="86"/>
      <c r="L762" s="86"/>
      <c r="M762" s="86"/>
    </row>
    <row r="763">
      <c r="D763" s="86"/>
      <c r="E763" s="86"/>
      <c r="G763" s="86"/>
      <c r="I763" s="86"/>
      <c r="L763" s="86"/>
      <c r="M763" s="86"/>
    </row>
    <row r="764">
      <c r="D764" s="86"/>
      <c r="E764" s="86"/>
      <c r="G764" s="86"/>
      <c r="I764" s="86"/>
      <c r="L764" s="86"/>
      <c r="M764" s="86"/>
    </row>
    <row r="765">
      <c r="D765" s="86"/>
      <c r="E765" s="86"/>
      <c r="G765" s="86"/>
      <c r="I765" s="86"/>
      <c r="L765" s="86"/>
      <c r="M765" s="86"/>
    </row>
    <row r="766">
      <c r="D766" s="86"/>
      <c r="E766" s="86"/>
      <c r="G766" s="86"/>
      <c r="I766" s="86"/>
      <c r="L766" s="86"/>
      <c r="M766" s="86"/>
    </row>
    <row r="767">
      <c r="D767" s="86"/>
      <c r="E767" s="86"/>
      <c r="G767" s="86"/>
      <c r="I767" s="86"/>
      <c r="L767" s="86"/>
      <c r="M767" s="86"/>
    </row>
    <row r="768">
      <c r="D768" s="86"/>
      <c r="E768" s="86"/>
      <c r="G768" s="86"/>
      <c r="I768" s="86"/>
      <c r="L768" s="86"/>
      <c r="M768" s="86"/>
    </row>
    <row r="769">
      <c r="D769" s="86"/>
      <c r="E769" s="86"/>
      <c r="G769" s="86"/>
      <c r="I769" s="86"/>
      <c r="L769" s="86"/>
      <c r="M769" s="86"/>
    </row>
    <row r="770">
      <c r="D770" s="86"/>
      <c r="E770" s="86"/>
      <c r="G770" s="86"/>
      <c r="I770" s="86"/>
      <c r="L770" s="86"/>
      <c r="M770" s="86"/>
    </row>
    <row r="771">
      <c r="D771" s="86"/>
      <c r="E771" s="86"/>
      <c r="G771" s="86"/>
      <c r="I771" s="86"/>
      <c r="L771" s="86"/>
      <c r="M771" s="86"/>
    </row>
    <row r="772">
      <c r="D772" s="86"/>
      <c r="E772" s="86"/>
      <c r="G772" s="86"/>
      <c r="I772" s="86"/>
      <c r="L772" s="86"/>
      <c r="M772" s="86"/>
    </row>
    <row r="773">
      <c r="D773" s="86"/>
      <c r="E773" s="86"/>
      <c r="G773" s="86"/>
      <c r="I773" s="86"/>
      <c r="L773" s="86"/>
      <c r="M773" s="86"/>
    </row>
    <row r="774">
      <c r="D774" s="86"/>
      <c r="E774" s="86"/>
      <c r="G774" s="86"/>
      <c r="I774" s="86"/>
      <c r="L774" s="86"/>
      <c r="M774" s="86"/>
    </row>
    <row r="775">
      <c r="D775" s="86"/>
      <c r="E775" s="86"/>
      <c r="G775" s="86"/>
      <c r="I775" s="86"/>
      <c r="L775" s="86"/>
      <c r="M775" s="86"/>
    </row>
    <row r="776">
      <c r="D776" s="86"/>
      <c r="E776" s="86"/>
      <c r="G776" s="86"/>
      <c r="I776" s="86"/>
      <c r="L776" s="86"/>
      <c r="M776" s="86"/>
    </row>
    <row r="777">
      <c r="D777" s="86"/>
      <c r="E777" s="86"/>
      <c r="G777" s="86"/>
      <c r="I777" s="86"/>
      <c r="L777" s="86"/>
      <c r="M777" s="86"/>
    </row>
    <row r="778">
      <c r="D778" s="86"/>
      <c r="E778" s="86"/>
      <c r="G778" s="86"/>
      <c r="I778" s="86"/>
      <c r="L778" s="86"/>
      <c r="M778" s="86"/>
    </row>
    <row r="779">
      <c r="D779" s="86"/>
      <c r="E779" s="86"/>
      <c r="G779" s="86"/>
      <c r="I779" s="86"/>
      <c r="L779" s="86"/>
      <c r="M779" s="86"/>
    </row>
    <row r="780">
      <c r="D780" s="86"/>
      <c r="E780" s="86"/>
      <c r="G780" s="86"/>
      <c r="I780" s="86"/>
      <c r="L780" s="86"/>
      <c r="M780" s="86"/>
    </row>
    <row r="781">
      <c r="D781" s="86"/>
      <c r="E781" s="86"/>
      <c r="G781" s="86"/>
      <c r="I781" s="86"/>
      <c r="L781" s="86"/>
      <c r="M781" s="86"/>
    </row>
    <row r="782">
      <c r="D782" s="86"/>
      <c r="E782" s="86"/>
      <c r="G782" s="86"/>
      <c r="I782" s="86"/>
      <c r="L782" s="86"/>
      <c r="M782" s="86"/>
    </row>
    <row r="783">
      <c r="D783" s="86"/>
      <c r="E783" s="86"/>
      <c r="G783" s="86"/>
      <c r="I783" s="86"/>
      <c r="L783" s="86"/>
      <c r="M783" s="86"/>
    </row>
    <row r="784">
      <c r="D784" s="86"/>
      <c r="E784" s="86"/>
      <c r="G784" s="86"/>
      <c r="I784" s="86"/>
      <c r="L784" s="86"/>
      <c r="M784" s="86"/>
    </row>
    <row r="785">
      <c r="D785" s="86"/>
      <c r="E785" s="86"/>
      <c r="G785" s="86"/>
      <c r="I785" s="86"/>
      <c r="L785" s="86"/>
      <c r="M785" s="86"/>
    </row>
    <row r="786">
      <c r="D786" s="86"/>
      <c r="E786" s="86"/>
      <c r="G786" s="86"/>
      <c r="I786" s="86"/>
      <c r="L786" s="86"/>
      <c r="M786" s="86"/>
    </row>
    <row r="787">
      <c r="D787" s="86"/>
      <c r="E787" s="86"/>
      <c r="G787" s="86"/>
      <c r="I787" s="86"/>
      <c r="L787" s="86"/>
      <c r="M787" s="86"/>
    </row>
    <row r="788">
      <c r="D788" s="86"/>
      <c r="E788" s="86"/>
      <c r="G788" s="86"/>
      <c r="I788" s="86"/>
      <c r="L788" s="86"/>
      <c r="M788" s="86"/>
    </row>
    <row r="789">
      <c r="D789" s="86"/>
      <c r="E789" s="86"/>
      <c r="G789" s="86"/>
      <c r="I789" s="86"/>
      <c r="L789" s="86"/>
      <c r="M789" s="86"/>
    </row>
    <row r="790">
      <c r="D790" s="86"/>
      <c r="E790" s="86"/>
      <c r="G790" s="86"/>
      <c r="I790" s="86"/>
      <c r="L790" s="86"/>
      <c r="M790" s="86"/>
    </row>
    <row r="791">
      <c r="D791" s="86"/>
      <c r="E791" s="86"/>
      <c r="G791" s="86"/>
      <c r="I791" s="86"/>
      <c r="L791" s="86"/>
      <c r="M791" s="86"/>
    </row>
    <row r="792">
      <c r="D792" s="86"/>
      <c r="E792" s="86"/>
      <c r="G792" s="86"/>
      <c r="I792" s="86"/>
      <c r="L792" s="86"/>
      <c r="M792" s="86"/>
    </row>
    <row r="793">
      <c r="D793" s="86"/>
      <c r="E793" s="86"/>
      <c r="G793" s="86"/>
      <c r="I793" s="86"/>
      <c r="L793" s="86"/>
      <c r="M793" s="86"/>
    </row>
    <row r="794">
      <c r="D794" s="86"/>
      <c r="E794" s="86"/>
      <c r="G794" s="86"/>
      <c r="I794" s="86"/>
      <c r="L794" s="86"/>
      <c r="M794" s="86"/>
    </row>
    <row r="795">
      <c r="D795" s="86"/>
      <c r="E795" s="86"/>
      <c r="G795" s="86"/>
      <c r="I795" s="86"/>
      <c r="L795" s="86"/>
      <c r="M795" s="86"/>
    </row>
    <row r="796">
      <c r="D796" s="86"/>
      <c r="E796" s="86"/>
      <c r="G796" s="86"/>
      <c r="I796" s="86"/>
      <c r="L796" s="86"/>
      <c r="M796" s="86"/>
    </row>
    <row r="797">
      <c r="D797" s="86"/>
      <c r="E797" s="86"/>
      <c r="G797" s="86"/>
      <c r="I797" s="86"/>
      <c r="L797" s="86"/>
      <c r="M797" s="86"/>
    </row>
    <row r="798">
      <c r="D798" s="86"/>
      <c r="E798" s="86"/>
      <c r="G798" s="86"/>
      <c r="I798" s="86"/>
      <c r="L798" s="86"/>
      <c r="M798" s="86"/>
    </row>
    <row r="799">
      <c r="D799" s="86"/>
      <c r="E799" s="86"/>
      <c r="G799" s="86"/>
      <c r="I799" s="86"/>
      <c r="L799" s="86"/>
      <c r="M799" s="86"/>
    </row>
    <row r="800">
      <c r="D800" s="86"/>
      <c r="E800" s="86"/>
      <c r="G800" s="86"/>
      <c r="I800" s="86"/>
      <c r="L800" s="86"/>
      <c r="M800" s="86"/>
    </row>
    <row r="801">
      <c r="D801" s="86"/>
      <c r="E801" s="86"/>
      <c r="G801" s="86"/>
      <c r="I801" s="86"/>
      <c r="L801" s="86"/>
      <c r="M801" s="86"/>
    </row>
    <row r="802">
      <c r="D802" s="86"/>
      <c r="E802" s="86"/>
      <c r="G802" s="86"/>
      <c r="I802" s="86"/>
      <c r="L802" s="86"/>
      <c r="M802" s="86"/>
    </row>
    <row r="803">
      <c r="D803" s="86"/>
      <c r="E803" s="86"/>
      <c r="G803" s="86"/>
      <c r="I803" s="86"/>
      <c r="L803" s="86"/>
      <c r="M803" s="86"/>
    </row>
    <row r="804">
      <c r="D804" s="86"/>
      <c r="E804" s="86"/>
      <c r="G804" s="86"/>
      <c r="I804" s="86"/>
      <c r="L804" s="86"/>
      <c r="M804" s="86"/>
    </row>
    <row r="805">
      <c r="D805" s="86"/>
      <c r="E805" s="86"/>
      <c r="G805" s="86"/>
      <c r="I805" s="86"/>
      <c r="L805" s="86"/>
      <c r="M805" s="86"/>
    </row>
    <row r="806">
      <c r="D806" s="86"/>
      <c r="E806" s="86"/>
      <c r="G806" s="86"/>
      <c r="I806" s="86"/>
      <c r="L806" s="86"/>
      <c r="M806" s="86"/>
    </row>
    <row r="807">
      <c r="D807" s="86"/>
      <c r="E807" s="86"/>
      <c r="G807" s="86"/>
      <c r="I807" s="86"/>
      <c r="L807" s="86"/>
      <c r="M807" s="86"/>
    </row>
    <row r="808">
      <c r="D808" s="86"/>
      <c r="E808" s="86"/>
      <c r="G808" s="86"/>
      <c r="I808" s="86"/>
      <c r="L808" s="86"/>
      <c r="M808" s="86"/>
    </row>
    <row r="809">
      <c r="D809" s="86"/>
      <c r="E809" s="86"/>
      <c r="G809" s="86"/>
      <c r="I809" s="86"/>
      <c r="L809" s="86"/>
      <c r="M809" s="86"/>
    </row>
    <row r="810">
      <c r="D810" s="86"/>
      <c r="E810" s="86"/>
      <c r="G810" s="86"/>
      <c r="I810" s="86"/>
      <c r="L810" s="86"/>
      <c r="M810" s="86"/>
    </row>
    <row r="811">
      <c r="D811" s="86"/>
      <c r="E811" s="86"/>
      <c r="G811" s="86"/>
      <c r="I811" s="86"/>
      <c r="L811" s="86"/>
      <c r="M811" s="86"/>
    </row>
    <row r="812">
      <c r="D812" s="86"/>
      <c r="E812" s="86"/>
      <c r="G812" s="86"/>
      <c r="I812" s="86"/>
      <c r="L812" s="86"/>
      <c r="M812" s="86"/>
    </row>
    <row r="813">
      <c r="D813" s="86"/>
      <c r="E813" s="86"/>
      <c r="G813" s="86"/>
      <c r="I813" s="86"/>
      <c r="L813" s="86"/>
      <c r="M813" s="86"/>
    </row>
    <row r="814">
      <c r="D814" s="86"/>
      <c r="E814" s="86"/>
      <c r="G814" s="86"/>
      <c r="I814" s="86"/>
      <c r="L814" s="86"/>
      <c r="M814" s="86"/>
    </row>
    <row r="815">
      <c r="D815" s="86"/>
      <c r="E815" s="86"/>
      <c r="G815" s="86"/>
      <c r="I815" s="86"/>
      <c r="L815" s="86"/>
      <c r="M815" s="86"/>
    </row>
    <row r="816">
      <c r="D816" s="86"/>
      <c r="E816" s="86"/>
      <c r="G816" s="86"/>
      <c r="I816" s="86"/>
      <c r="L816" s="86"/>
      <c r="M816" s="86"/>
    </row>
    <row r="817">
      <c r="D817" s="86"/>
      <c r="E817" s="86"/>
      <c r="G817" s="86"/>
      <c r="I817" s="86"/>
      <c r="L817" s="86"/>
      <c r="M817" s="86"/>
    </row>
    <row r="818">
      <c r="D818" s="86"/>
      <c r="E818" s="86"/>
      <c r="G818" s="86"/>
      <c r="I818" s="86"/>
      <c r="L818" s="86"/>
      <c r="M818" s="86"/>
    </row>
    <row r="819">
      <c r="D819" s="86"/>
      <c r="E819" s="86"/>
      <c r="G819" s="86"/>
      <c r="I819" s="86"/>
      <c r="L819" s="86"/>
      <c r="M819" s="86"/>
    </row>
    <row r="820">
      <c r="D820" s="86"/>
      <c r="E820" s="86"/>
      <c r="G820" s="86"/>
      <c r="I820" s="86"/>
      <c r="L820" s="86"/>
      <c r="M820" s="86"/>
    </row>
    <row r="821">
      <c r="D821" s="86"/>
      <c r="E821" s="86"/>
      <c r="G821" s="86"/>
      <c r="I821" s="86"/>
      <c r="L821" s="86"/>
      <c r="M821" s="86"/>
    </row>
    <row r="822">
      <c r="D822" s="86"/>
      <c r="E822" s="86"/>
      <c r="G822" s="86"/>
      <c r="I822" s="86"/>
      <c r="L822" s="86"/>
      <c r="M822" s="86"/>
    </row>
    <row r="823">
      <c r="D823" s="86"/>
      <c r="E823" s="86"/>
      <c r="G823" s="86"/>
      <c r="I823" s="86"/>
      <c r="L823" s="86"/>
      <c r="M823" s="86"/>
    </row>
    <row r="824">
      <c r="D824" s="86"/>
      <c r="E824" s="86"/>
      <c r="G824" s="86"/>
      <c r="I824" s="86"/>
      <c r="L824" s="86"/>
      <c r="M824" s="86"/>
    </row>
    <row r="825">
      <c r="D825" s="86"/>
      <c r="E825" s="86"/>
      <c r="G825" s="86"/>
      <c r="I825" s="86"/>
      <c r="L825" s="86"/>
      <c r="M825" s="86"/>
    </row>
    <row r="826">
      <c r="D826" s="86"/>
      <c r="E826" s="86"/>
      <c r="G826" s="86"/>
      <c r="I826" s="86"/>
      <c r="L826" s="86"/>
      <c r="M826" s="86"/>
    </row>
    <row r="827">
      <c r="D827" s="86"/>
      <c r="E827" s="86"/>
      <c r="G827" s="86"/>
      <c r="I827" s="86"/>
      <c r="L827" s="86"/>
      <c r="M827" s="86"/>
    </row>
    <row r="828">
      <c r="D828" s="86"/>
      <c r="E828" s="86"/>
      <c r="G828" s="86"/>
      <c r="I828" s="86"/>
      <c r="L828" s="86"/>
      <c r="M828" s="86"/>
    </row>
    <row r="829">
      <c r="D829" s="86"/>
      <c r="E829" s="86"/>
      <c r="G829" s="86"/>
      <c r="I829" s="86"/>
      <c r="L829" s="86"/>
      <c r="M829" s="86"/>
    </row>
    <row r="830">
      <c r="D830" s="86"/>
      <c r="E830" s="86"/>
      <c r="G830" s="86"/>
      <c r="I830" s="86"/>
      <c r="L830" s="86"/>
      <c r="M830" s="86"/>
    </row>
    <row r="831">
      <c r="D831" s="86"/>
      <c r="E831" s="86"/>
      <c r="G831" s="86"/>
      <c r="I831" s="86"/>
      <c r="L831" s="86"/>
      <c r="M831" s="86"/>
    </row>
    <row r="832">
      <c r="D832" s="86"/>
      <c r="E832" s="86"/>
      <c r="G832" s="86"/>
      <c r="I832" s="86"/>
      <c r="L832" s="86"/>
      <c r="M832" s="86"/>
    </row>
    <row r="833">
      <c r="D833" s="86"/>
      <c r="E833" s="86"/>
      <c r="G833" s="86"/>
      <c r="I833" s="86"/>
      <c r="L833" s="86"/>
      <c r="M833" s="86"/>
    </row>
    <row r="834">
      <c r="D834" s="86"/>
      <c r="E834" s="86"/>
      <c r="G834" s="86"/>
      <c r="I834" s="86"/>
      <c r="L834" s="86"/>
      <c r="M834" s="86"/>
    </row>
    <row r="835">
      <c r="D835" s="86"/>
      <c r="E835" s="86"/>
      <c r="G835" s="86"/>
      <c r="I835" s="86"/>
      <c r="L835" s="86"/>
      <c r="M835" s="86"/>
    </row>
    <row r="836">
      <c r="D836" s="86"/>
      <c r="E836" s="86"/>
      <c r="G836" s="86"/>
      <c r="I836" s="86"/>
      <c r="L836" s="86"/>
      <c r="M836" s="86"/>
    </row>
    <row r="837">
      <c r="D837" s="86"/>
      <c r="E837" s="86"/>
      <c r="G837" s="86"/>
      <c r="I837" s="86"/>
      <c r="L837" s="86"/>
      <c r="M837" s="86"/>
    </row>
    <row r="838">
      <c r="D838" s="86"/>
      <c r="E838" s="86"/>
      <c r="G838" s="86"/>
      <c r="I838" s="86"/>
      <c r="L838" s="86"/>
      <c r="M838" s="86"/>
    </row>
    <row r="839">
      <c r="D839" s="86"/>
      <c r="E839" s="86"/>
      <c r="G839" s="86"/>
      <c r="I839" s="86"/>
      <c r="L839" s="86"/>
      <c r="M839" s="86"/>
    </row>
    <row r="840">
      <c r="D840" s="86"/>
      <c r="E840" s="86"/>
      <c r="G840" s="86"/>
      <c r="I840" s="86"/>
      <c r="L840" s="86"/>
      <c r="M840" s="86"/>
    </row>
    <row r="841">
      <c r="D841" s="86"/>
      <c r="E841" s="86"/>
      <c r="G841" s="86"/>
      <c r="I841" s="86"/>
      <c r="L841" s="86"/>
      <c r="M841" s="86"/>
    </row>
    <row r="842">
      <c r="D842" s="86"/>
      <c r="E842" s="86"/>
      <c r="G842" s="86"/>
      <c r="I842" s="86"/>
      <c r="L842" s="86"/>
      <c r="M842" s="86"/>
    </row>
    <row r="843">
      <c r="D843" s="86"/>
      <c r="E843" s="86"/>
      <c r="G843" s="86"/>
      <c r="I843" s="86"/>
      <c r="L843" s="86"/>
      <c r="M843" s="86"/>
    </row>
    <row r="844">
      <c r="D844" s="86"/>
      <c r="E844" s="86"/>
      <c r="G844" s="86"/>
      <c r="I844" s="86"/>
      <c r="L844" s="86"/>
      <c r="M844" s="86"/>
    </row>
    <row r="845">
      <c r="D845" s="86"/>
      <c r="E845" s="86"/>
      <c r="G845" s="86"/>
      <c r="I845" s="86"/>
      <c r="L845" s="86"/>
      <c r="M845" s="86"/>
    </row>
    <row r="846">
      <c r="D846" s="86"/>
      <c r="E846" s="86"/>
      <c r="G846" s="86"/>
      <c r="I846" s="86"/>
      <c r="L846" s="86"/>
      <c r="M846" s="86"/>
    </row>
    <row r="847">
      <c r="D847" s="86"/>
      <c r="E847" s="86"/>
      <c r="G847" s="86"/>
      <c r="I847" s="86"/>
      <c r="L847" s="86"/>
      <c r="M847" s="86"/>
    </row>
    <row r="848">
      <c r="D848" s="86"/>
      <c r="E848" s="86"/>
      <c r="G848" s="86"/>
      <c r="I848" s="86"/>
      <c r="L848" s="86"/>
      <c r="M848" s="86"/>
    </row>
    <row r="849">
      <c r="D849" s="86"/>
      <c r="E849" s="86"/>
      <c r="G849" s="86"/>
      <c r="I849" s="86"/>
      <c r="L849" s="86"/>
      <c r="M849" s="86"/>
    </row>
    <row r="850">
      <c r="D850" s="86"/>
      <c r="E850" s="86"/>
      <c r="G850" s="86"/>
      <c r="I850" s="86"/>
      <c r="L850" s="86"/>
      <c r="M850" s="86"/>
    </row>
    <row r="851">
      <c r="D851" s="86"/>
      <c r="E851" s="86"/>
      <c r="G851" s="86"/>
      <c r="I851" s="86"/>
      <c r="L851" s="86"/>
      <c r="M851" s="86"/>
    </row>
    <row r="852">
      <c r="D852" s="86"/>
      <c r="E852" s="86"/>
      <c r="G852" s="86"/>
      <c r="I852" s="86"/>
      <c r="L852" s="86"/>
      <c r="M852" s="86"/>
    </row>
    <row r="853">
      <c r="D853" s="86"/>
      <c r="E853" s="86"/>
      <c r="G853" s="86"/>
      <c r="I853" s="86"/>
      <c r="L853" s="86"/>
      <c r="M853" s="86"/>
    </row>
    <row r="854">
      <c r="D854" s="86"/>
      <c r="E854" s="86"/>
      <c r="G854" s="86"/>
      <c r="I854" s="86"/>
      <c r="L854" s="86"/>
      <c r="M854" s="86"/>
    </row>
    <row r="855">
      <c r="D855" s="86"/>
      <c r="E855" s="86"/>
      <c r="G855" s="86"/>
      <c r="I855" s="86"/>
      <c r="L855" s="86"/>
      <c r="M855" s="86"/>
    </row>
    <row r="856">
      <c r="D856" s="86"/>
      <c r="E856" s="86"/>
      <c r="G856" s="86"/>
      <c r="I856" s="86"/>
      <c r="L856" s="86"/>
      <c r="M856" s="86"/>
    </row>
    <row r="857">
      <c r="D857" s="86"/>
      <c r="E857" s="86"/>
      <c r="G857" s="86"/>
      <c r="I857" s="86"/>
      <c r="L857" s="86"/>
      <c r="M857" s="86"/>
    </row>
    <row r="858">
      <c r="D858" s="86"/>
      <c r="E858" s="86"/>
      <c r="G858" s="86"/>
      <c r="I858" s="86"/>
      <c r="L858" s="86"/>
      <c r="M858" s="86"/>
    </row>
    <row r="859">
      <c r="D859" s="86"/>
      <c r="E859" s="86"/>
      <c r="G859" s="86"/>
      <c r="I859" s="86"/>
      <c r="L859" s="86"/>
      <c r="M859" s="86"/>
    </row>
    <row r="860">
      <c r="D860" s="86"/>
      <c r="E860" s="86"/>
      <c r="G860" s="86"/>
      <c r="I860" s="86"/>
      <c r="L860" s="86"/>
      <c r="M860" s="86"/>
    </row>
    <row r="861">
      <c r="D861" s="86"/>
      <c r="E861" s="86"/>
      <c r="G861" s="86"/>
      <c r="I861" s="86"/>
      <c r="L861" s="86"/>
      <c r="M861" s="86"/>
    </row>
    <row r="862">
      <c r="D862" s="86"/>
      <c r="E862" s="86"/>
      <c r="G862" s="86"/>
      <c r="I862" s="86"/>
      <c r="L862" s="86"/>
      <c r="M862" s="86"/>
    </row>
    <row r="863">
      <c r="D863" s="86"/>
      <c r="E863" s="86"/>
      <c r="G863" s="86"/>
      <c r="I863" s="86"/>
      <c r="L863" s="86"/>
      <c r="M863" s="86"/>
    </row>
    <row r="864">
      <c r="D864" s="86"/>
      <c r="E864" s="86"/>
      <c r="G864" s="86"/>
      <c r="I864" s="86"/>
      <c r="L864" s="86"/>
      <c r="M864" s="86"/>
    </row>
    <row r="865">
      <c r="D865" s="86"/>
      <c r="E865" s="86"/>
      <c r="G865" s="86"/>
      <c r="I865" s="86"/>
      <c r="L865" s="86"/>
      <c r="M865" s="86"/>
    </row>
    <row r="866">
      <c r="D866" s="86"/>
      <c r="E866" s="86"/>
      <c r="G866" s="86"/>
      <c r="I866" s="86"/>
      <c r="L866" s="86"/>
      <c r="M866" s="86"/>
    </row>
    <row r="867">
      <c r="D867" s="86"/>
      <c r="E867" s="86"/>
      <c r="G867" s="86"/>
      <c r="I867" s="86"/>
      <c r="L867" s="86"/>
      <c r="M867" s="86"/>
    </row>
    <row r="868">
      <c r="D868" s="86"/>
      <c r="E868" s="86"/>
      <c r="G868" s="86"/>
      <c r="I868" s="86"/>
      <c r="L868" s="86"/>
      <c r="M868" s="86"/>
    </row>
    <row r="869">
      <c r="D869" s="86"/>
      <c r="E869" s="86"/>
      <c r="G869" s="86"/>
      <c r="I869" s="86"/>
      <c r="L869" s="86"/>
      <c r="M869" s="86"/>
    </row>
    <row r="870">
      <c r="D870" s="86"/>
      <c r="E870" s="86"/>
      <c r="G870" s="86"/>
      <c r="I870" s="86"/>
      <c r="L870" s="86"/>
      <c r="M870" s="86"/>
    </row>
    <row r="871">
      <c r="D871" s="86"/>
      <c r="E871" s="86"/>
      <c r="G871" s="86"/>
      <c r="I871" s="86"/>
      <c r="L871" s="86"/>
      <c r="M871" s="86"/>
    </row>
    <row r="872">
      <c r="D872" s="86"/>
      <c r="E872" s="86"/>
      <c r="G872" s="86"/>
      <c r="I872" s="86"/>
      <c r="L872" s="86"/>
      <c r="M872" s="86"/>
    </row>
    <row r="873">
      <c r="D873" s="86"/>
      <c r="E873" s="86"/>
      <c r="G873" s="86"/>
      <c r="I873" s="86"/>
      <c r="L873" s="86"/>
      <c r="M873" s="86"/>
    </row>
    <row r="874">
      <c r="D874" s="86"/>
      <c r="E874" s="86"/>
      <c r="G874" s="86"/>
      <c r="I874" s="86"/>
      <c r="L874" s="86"/>
      <c r="M874" s="86"/>
    </row>
    <row r="875">
      <c r="D875" s="86"/>
      <c r="E875" s="86"/>
      <c r="G875" s="86"/>
      <c r="I875" s="86"/>
      <c r="L875" s="86"/>
      <c r="M875" s="86"/>
    </row>
    <row r="876">
      <c r="D876" s="86"/>
      <c r="E876" s="86"/>
      <c r="G876" s="86"/>
      <c r="I876" s="86"/>
      <c r="L876" s="86"/>
      <c r="M876" s="86"/>
    </row>
    <row r="877">
      <c r="D877" s="86"/>
      <c r="E877" s="86"/>
      <c r="G877" s="86"/>
      <c r="I877" s="86"/>
      <c r="L877" s="86"/>
      <c r="M877" s="86"/>
    </row>
    <row r="878">
      <c r="D878" s="86"/>
      <c r="E878" s="86"/>
      <c r="G878" s="86"/>
      <c r="I878" s="86"/>
      <c r="L878" s="86"/>
      <c r="M878" s="86"/>
    </row>
    <row r="879">
      <c r="D879" s="86"/>
      <c r="E879" s="86"/>
      <c r="G879" s="86"/>
      <c r="I879" s="86"/>
      <c r="L879" s="86"/>
      <c r="M879" s="86"/>
    </row>
    <row r="880">
      <c r="D880" s="86"/>
      <c r="E880" s="86"/>
      <c r="G880" s="86"/>
      <c r="I880" s="86"/>
      <c r="L880" s="86"/>
      <c r="M880" s="86"/>
    </row>
    <row r="881">
      <c r="D881" s="86"/>
      <c r="E881" s="86"/>
      <c r="G881" s="86"/>
      <c r="I881" s="86"/>
      <c r="L881" s="86"/>
      <c r="M881" s="86"/>
    </row>
    <row r="882">
      <c r="D882" s="86"/>
      <c r="E882" s="86"/>
      <c r="G882" s="86"/>
      <c r="I882" s="86"/>
      <c r="L882" s="86"/>
      <c r="M882" s="86"/>
    </row>
    <row r="883">
      <c r="D883" s="86"/>
      <c r="E883" s="86"/>
      <c r="G883" s="86"/>
      <c r="I883" s="86"/>
      <c r="L883" s="86"/>
      <c r="M883" s="86"/>
    </row>
    <row r="884">
      <c r="D884" s="86"/>
      <c r="E884" s="86"/>
      <c r="G884" s="86"/>
      <c r="I884" s="86"/>
      <c r="L884" s="86"/>
      <c r="M884" s="86"/>
    </row>
    <row r="885">
      <c r="D885" s="86"/>
      <c r="E885" s="86"/>
      <c r="G885" s="86"/>
      <c r="I885" s="86"/>
      <c r="L885" s="86"/>
      <c r="M885" s="86"/>
    </row>
    <row r="886">
      <c r="D886" s="86"/>
      <c r="E886" s="86"/>
      <c r="G886" s="86"/>
      <c r="I886" s="86"/>
      <c r="L886" s="86"/>
      <c r="M886" s="86"/>
    </row>
    <row r="887">
      <c r="D887" s="86"/>
      <c r="E887" s="86"/>
      <c r="G887" s="86"/>
      <c r="I887" s="86"/>
      <c r="L887" s="86"/>
      <c r="M887" s="86"/>
    </row>
    <row r="888">
      <c r="D888" s="86"/>
      <c r="E888" s="86"/>
      <c r="G888" s="86"/>
      <c r="I888" s="86"/>
      <c r="L888" s="86"/>
      <c r="M888" s="86"/>
    </row>
    <row r="889">
      <c r="D889" s="86"/>
      <c r="E889" s="86"/>
      <c r="G889" s="86"/>
      <c r="I889" s="86"/>
      <c r="L889" s="86"/>
      <c r="M889" s="86"/>
    </row>
    <row r="890">
      <c r="D890" s="86"/>
      <c r="E890" s="86"/>
      <c r="G890" s="86"/>
      <c r="I890" s="86"/>
      <c r="L890" s="86"/>
      <c r="M890" s="86"/>
    </row>
    <row r="891">
      <c r="D891" s="86"/>
      <c r="E891" s="86"/>
      <c r="G891" s="86"/>
      <c r="I891" s="86"/>
      <c r="L891" s="86"/>
      <c r="M891" s="86"/>
    </row>
    <row r="892">
      <c r="D892" s="86"/>
      <c r="E892" s="86"/>
      <c r="G892" s="86"/>
      <c r="I892" s="86"/>
      <c r="L892" s="86"/>
      <c r="M892" s="86"/>
    </row>
    <row r="893">
      <c r="D893" s="86"/>
      <c r="E893" s="86"/>
      <c r="G893" s="86"/>
      <c r="I893" s="86"/>
      <c r="L893" s="86"/>
      <c r="M893" s="86"/>
    </row>
    <row r="894">
      <c r="D894" s="86"/>
      <c r="E894" s="86"/>
      <c r="G894" s="86"/>
      <c r="I894" s="86"/>
      <c r="L894" s="86"/>
      <c r="M894" s="86"/>
    </row>
    <row r="895">
      <c r="D895" s="86"/>
      <c r="E895" s="86"/>
      <c r="G895" s="86"/>
      <c r="I895" s="86"/>
      <c r="L895" s="86"/>
      <c r="M895" s="86"/>
    </row>
    <row r="896">
      <c r="D896" s="86"/>
      <c r="E896" s="86"/>
      <c r="G896" s="86"/>
      <c r="I896" s="86"/>
      <c r="L896" s="86"/>
      <c r="M896" s="86"/>
    </row>
    <row r="897">
      <c r="D897" s="86"/>
      <c r="E897" s="86"/>
      <c r="G897" s="86"/>
      <c r="I897" s="86"/>
      <c r="L897" s="86"/>
      <c r="M897" s="86"/>
    </row>
    <row r="898">
      <c r="D898" s="86"/>
      <c r="E898" s="86"/>
      <c r="G898" s="86"/>
      <c r="I898" s="86"/>
      <c r="L898" s="86"/>
      <c r="M898" s="86"/>
    </row>
    <row r="899">
      <c r="D899" s="86"/>
      <c r="E899" s="86"/>
      <c r="G899" s="86"/>
      <c r="I899" s="86"/>
      <c r="L899" s="86"/>
      <c r="M899" s="86"/>
    </row>
    <row r="900">
      <c r="D900" s="86"/>
      <c r="E900" s="86"/>
      <c r="G900" s="86"/>
      <c r="I900" s="86"/>
      <c r="L900" s="86"/>
      <c r="M900" s="86"/>
    </row>
    <row r="901">
      <c r="D901" s="86"/>
      <c r="E901" s="86"/>
      <c r="G901" s="86"/>
      <c r="I901" s="86"/>
      <c r="L901" s="86"/>
      <c r="M901" s="86"/>
    </row>
    <row r="902">
      <c r="D902" s="86"/>
      <c r="E902" s="86"/>
      <c r="G902" s="86"/>
      <c r="I902" s="86"/>
      <c r="L902" s="86"/>
      <c r="M902" s="86"/>
    </row>
    <row r="903">
      <c r="D903" s="86"/>
      <c r="E903" s="86"/>
      <c r="G903" s="86"/>
      <c r="I903" s="86"/>
      <c r="L903" s="86"/>
      <c r="M903" s="86"/>
    </row>
    <row r="904">
      <c r="D904" s="86"/>
      <c r="E904" s="86"/>
      <c r="G904" s="86"/>
      <c r="I904" s="86"/>
      <c r="L904" s="86"/>
      <c r="M904" s="86"/>
    </row>
    <row r="905">
      <c r="D905" s="86"/>
      <c r="E905" s="86"/>
      <c r="G905" s="86"/>
      <c r="I905" s="86"/>
      <c r="L905" s="86"/>
      <c r="M905" s="86"/>
    </row>
    <row r="906">
      <c r="D906" s="86"/>
      <c r="E906" s="86"/>
      <c r="G906" s="86"/>
      <c r="I906" s="86"/>
      <c r="L906" s="86"/>
      <c r="M906" s="86"/>
    </row>
    <row r="907">
      <c r="D907" s="86"/>
      <c r="E907" s="86"/>
      <c r="G907" s="86"/>
      <c r="I907" s="86"/>
      <c r="L907" s="86"/>
      <c r="M907" s="86"/>
    </row>
    <row r="908">
      <c r="D908" s="86"/>
      <c r="E908" s="86"/>
      <c r="G908" s="86"/>
      <c r="I908" s="86"/>
      <c r="L908" s="86"/>
      <c r="M908" s="86"/>
    </row>
    <row r="909">
      <c r="D909" s="86"/>
      <c r="E909" s="86"/>
      <c r="G909" s="86"/>
      <c r="I909" s="86"/>
      <c r="L909" s="86"/>
      <c r="M909" s="86"/>
    </row>
    <row r="910">
      <c r="D910" s="86"/>
      <c r="E910" s="86"/>
      <c r="G910" s="86"/>
      <c r="I910" s="86"/>
      <c r="L910" s="86"/>
      <c r="M910" s="86"/>
    </row>
    <row r="911">
      <c r="D911" s="86"/>
      <c r="E911" s="86"/>
      <c r="G911" s="86"/>
      <c r="I911" s="86"/>
      <c r="L911" s="86"/>
      <c r="M911" s="86"/>
    </row>
    <row r="912">
      <c r="D912" s="86"/>
      <c r="E912" s="86"/>
      <c r="G912" s="86"/>
      <c r="I912" s="86"/>
      <c r="L912" s="86"/>
      <c r="M912" s="86"/>
    </row>
    <row r="913">
      <c r="D913" s="86"/>
      <c r="E913" s="86"/>
      <c r="G913" s="86"/>
      <c r="I913" s="86"/>
      <c r="L913" s="86"/>
      <c r="M913" s="86"/>
    </row>
    <row r="914">
      <c r="D914" s="86"/>
      <c r="E914" s="86"/>
      <c r="G914" s="86"/>
      <c r="I914" s="86"/>
      <c r="L914" s="86"/>
      <c r="M914" s="86"/>
    </row>
    <row r="915">
      <c r="D915" s="86"/>
      <c r="E915" s="86"/>
      <c r="G915" s="86"/>
      <c r="I915" s="86"/>
      <c r="L915" s="86"/>
      <c r="M915" s="86"/>
    </row>
    <row r="916">
      <c r="D916" s="86"/>
      <c r="E916" s="86"/>
      <c r="G916" s="86"/>
      <c r="I916" s="86"/>
      <c r="L916" s="86"/>
      <c r="M916" s="86"/>
    </row>
    <row r="917">
      <c r="D917" s="86"/>
      <c r="E917" s="86"/>
      <c r="G917" s="86"/>
      <c r="I917" s="86"/>
      <c r="L917" s="86"/>
      <c r="M917" s="86"/>
    </row>
    <row r="918">
      <c r="D918" s="86"/>
      <c r="E918" s="86"/>
      <c r="G918" s="86"/>
      <c r="I918" s="86"/>
      <c r="L918" s="86"/>
      <c r="M918" s="86"/>
    </row>
    <row r="919">
      <c r="D919" s="86"/>
      <c r="E919" s="86"/>
      <c r="G919" s="86"/>
      <c r="I919" s="86"/>
      <c r="L919" s="86"/>
      <c r="M919" s="86"/>
    </row>
    <row r="920">
      <c r="D920" s="86"/>
      <c r="E920" s="86"/>
      <c r="G920" s="86"/>
      <c r="I920" s="86"/>
      <c r="L920" s="86"/>
      <c r="M920" s="86"/>
    </row>
    <row r="921">
      <c r="D921" s="86"/>
      <c r="E921" s="86"/>
      <c r="G921" s="86"/>
      <c r="I921" s="86"/>
      <c r="L921" s="86"/>
      <c r="M921" s="86"/>
    </row>
    <row r="922">
      <c r="D922" s="86"/>
      <c r="E922" s="86"/>
      <c r="G922" s="86"/>
      <c r="I922" s="86"/>
      <c r="L922" s="86"/>
      <c r="M922" s="86"/>
    </row>
    <row r="923">
      <c r="D923" s="86"/>
      <c r="E923" s="86"/>
      <c r="G923" s="86"/>
      <c r="I923" s="86"/>
      <c r="L923" s="86"/>
      <c r="M923" s="86"/>
    </row>
    <row r="924">
      <c r="D924" s="86"/>
      <c r="E924" s="86"/>
      <c r="G924" s="86"/>
      <c r="I924" s="86"/>
      <c r="L924" s="86"/>
      <c r="M924" s="86"/>
    </row>
    <row r="925">
      <c r="D925" s="86"/>
      <c r="E925" s="86"/>
      <c r="G925" s="86"/>
      <c r="I925" s="86"/>
      <c r="L925" s="86"/>
      <c r="M925" s="86"/>
    </row>
    <row r="926">
      <c r="D926" s="86"/>
      <c r="E926" s="86"/>
      <c r="G926" s="86"/>
      <c r="I926" s="86"/>
      <c r="L926" s="86"/>
      <c r="M926" s="86"/>
    </row>
    <row r="927">
      <c r="D927" s="86"/>
      <c r="E927" s="86"/>
      <c r="G927" s="86"/>
      <c r="I927" s="86"/>
      <c r="L927" s="86"/>
      <c r="M927" s="86"/>
    </row>
    <row r="928">
      <c r="D928" s="86"/>
      <c r="E928" s="86"/>
      <c r="G928" s="86"/>
      <c r="I928" s="86"/>
      <c r="L928" s="86"/>
      <c r="M928" s="86"/>
    </row>
    <row r="929">
      <c r="D929" s="86"/>
      <c r="E929" s="86"/>
      <c r="G929" s="86"/>
      <c r="I929" s="86"/>
      <c r="L929" s="86"/>
      <c r="M929" s="86"/>
    </row>
    <row r="930">
      <c r="D930" s="86"/>
      <c r="E930" s="86"/>
      <c r="G930" s="86"/>
      <c r="I930" s="86"/>
      <c r="L930" s="86"/>
      <c r="M930" s="86"/>
    </row>
    <row r="931">
      <c r="D931" s="86"/>
      <c r="E931" s="86"/>
      <c r="G931" s="86"/>
      <c r="I931" s="86"/>
      <c r="L931" s="86"/>
      <c r="M931" s="86"/>
    </row>
    <row r="932">
      <c r="D932" s="86"/>
      <c r="E932" s="86"/>
      <c r="G932" s="86"/>
      <c r="I932" s="86"/>
      <c r="L932" s="86"/>
      <c r="M932" s="86"/>
    </row>
    <row r="933">
      <c r="D933" s="86"/>
      <c r="E933" s="86"/>
      <c r="G933" s="86"/>
      <c r="I933" s="86"/>
      <c r="L933" s="86"/>
      <c r="M933" s="86"/>
    </row>
    <row r="934">
      <c r="D934" s="86"/>
      <c r="E934" s="86"/>
      <c r="G934" s="86"/>
      <c r="I934" s="86"/>
      <c r="L934" s="86"/>
      <c r="M934" s="86"/>
    </row>
    <row r="935">
      <c r="D935" s="86"/>
      <c r="E935" s="86"/>
      <c r="G935" s="86"/>
      <c r="I935" s="86"/>
      <c r="L935" s="86"/>
      <c r="M935" s="86"/>
    </row>
    <row r="936">
      <c r="D936" s="86"/>
      <c r="E936" s="86"/>
      <c r="G936" s="86"/>
      <c r="I936" s="86"/>
      <c r="L936" s="86"/>
      <c r="M936" s="86"/>
    </row>
    <row r="937">
      <c r="D937" s="86"/>
      <c r="E937" s="86"/>
      <c r="G937" s="86"/>
      <c r="I937" s="86"/>
      <c r="L937" s="86"/>
      <c r="M937" s="86"/>
    </row>
    <row r="938">
      <c r="D938" s="86"/>
      <c r="E938" s="86"/>
      <c r="G938" s="86"/>
      <c r="I938" s="86"/>
      <c r="L938" s="86"/>
      <c r="M938" s="86"/>
    </row>
    <row r="939">
      <c r="D939" s="86"/>
      <c r="E939" s="86"/>
      <c r="G939" s="86"/>
      <c r="I939" s="86"/>
      <c r="L939" s="86"/>
      <c r="M939" s="86"/>
    </row>
    <row r="940">
      <c r="D940" s="86"/>
      <c r="E940" s="86"/>
      <c r="G940" s="86"/>
      <c r="I940" s="86"/>
      <c r="L940" s="86"/>
      <c r="M940" s="86"/>
    </row>
    <row r="941">
      <c r="D941" s="86"/>
      <c r="E941" s="86"/>
      <c r="G941" s="86"/>
      <c r="I941" s="86"/>
      <c r="L941" s="86"/>
      <c r="M941" s="86"/>
    </row>
    <row r="942">
      <c r="D942" s="86"/>
      <c r="E942" s="86"/>
      <c r="G942" s="86"/>
      <c r="I942" s="86"/>
      <c r="L942" s="86"/>
      <c r="M942" s="86"/>
    </row>
    <row r="943">
      <c r="D943" s="86"/>
      <c r="E943" s="86"/>
      <c r="G943" s="86"/>
      <c r="I943" s="86"/>
      <c r="L943" s="86"/>
      <c r="M943" s="86"/>
    </row>
    <row r="944">
      <c r="D944" s="86"/>
      <c r="E944" s="86"/>
      <c r="G944" s="86"/>
      <c r="I944" s="86"/>
      <c r="L944" s="86"/>
      <c r="M944" s="86"/>
    </row>
    <row r="945">
      <c r="D945" s="86"/>
      <c r="E945" s="86"/>
      <c r="G945" s="86"/>
      <c r="I945" s="86"/>
      <c r="L945" s="86"/>
      <c r="M945" s="86"/>
    </row>
    <row r="946">
      <c r="D946" s="86"/>
      <c r="E946" s="86"/>
      <c r="G946" s="86"/>
      <c r="I946" s="86"/>
      <c r="L946" s="86"/>
      <c r="M946" s="86"/>
    </row>
    <row r="947">
      <c r="D947" s="86"/>
      <c r="E947" s="86"/>
      <c r="G947" s="86"/>
      <c r="I947" s="86"/>
      <c r="L947" s="86"/>
      <c r="M947" s="86"/>
    </row>
    <row r="948">
      <c r="D948" s="86"/>
      <c r="E948" s="86"/>
      <c r="G948" s="86"/>
      <c r="I948" s="86"/>
      <c r="L948" s="86"/>
      <c r="M948" s="86"/>
    </row>
    <row r="949">
      <c r="D949" s="86"/>
      <c r="E949" s="86"/>
      <c r="G949" s="86"/>
      <c r="I949" s="86"/>
      <c r="L949" s="86"/>
      <c r="M949" s="86"/>
    </row>
    <row r="950">
      <c r="D950" s="86"/>
      <c r="E950" s="86"/>
      <c r="G950" s="86"/>
      <c r="I950" s="86"/>
      <c r="L950" s="86"/>
      <c r="M950" s="86"/>
    </row>
    <row r="951">
      <c r="D951" s="86"/>
      <c r="E951" s="86"/>
      <c r="G951" s="86"/>
      <c r="I951" s="86"/>
      <c r="L951" s="86"/>
      <c r="M951" s="86"/>
    </row>
    <row r="952">
      <c r="D952" s="86"/>
      <c r="E952" s="86"/>
      <c r="G952" s="86"/>
      <c r="I952" s="86"/>
      <c r="L952" s="86"/>
      <c r="M952" s="86"/>
    </row>
    <row r="953">
      <c r="D953" s="86"/>
      <c r="E953" s="86"/>
      <c r="G953" s="86"/>
      <c r="I953" s="86"/>
      <c r="L953" s="86"/>
      <c r="M953" s="86"/>
    </row>
    <row r="954">
      <c r="D954" s="86"/>
      <c r="E954" s="86"/>
      <c r="G954" s="86"/>
      <c r="I954" s="86"/>
      <c r="L954" s="86"/>
      <c r="M954" s="86"/>
    </row>
    <row r="955">
      <c r="D955" s="86"/>
      <c r="E955" s="86"/>
      <c r="G955" s="86"/>
      <c r="I955" s="86"/>
      <c r="L955" s="86"/>
      <c r="M955" s="86"/>
    </row>
    <row r="956">
      <c r="D956" s="86"/>
      <c r="E956" s="86"/>
      <c r="G956" s="86"/>
      <c r="I956" s="86"/>
      <c r="L956" s="86"/>
      <c r="M956" s="86"/>
    </row>
    <row r="957">
      <c r="D957" s="86"/>
      <c r="E957" s="86"/>
      <c r="G957" s="86"/>
      <c r="I957" s="86"/>
      <c r="L957" s="86"/>
      <c r="M957" s="86"/>
    </row>
    <row r="958">
      <c r="D958" s="86"/>
      <c r="E958" s="86"/>
      <c r="G958" s="86"/>
      <c r="I958" s="86"/>
      <c r="L958" s="86"/>
      <c r="M958" s="86"/>
    </row>
    <row r="959">
      <c r="D959" s="86"/>
      <c r="E959" s="86"/>
      <c r="G959" s="86"/>
      <c r="I959" s="86"/>
      <c r="L959" s="86"/>
      <c r="M959" s="86"/>
    </row>
    <row r="960">
      <c r="D960" s="86"/>
      <c r="E960" s="86"/>
      <c r="G960" s="86"/>
      <c r="I960" s="86"/>
      <c r="L960" s="86"/>
      <c r="M960" s="86"/>
    </row>
    <row r="961">
      <c r="D961" s="86"/>
      <c r="E961" s="86"/>
      <c r="G961" s="86"/>
      <c r="I961" s="86"/>
      <c r="L961" s="86"/>
      <c r="M961" s="86"/>
    </row>
    <row r="962">
      <c r="D962" s="86"/>
      <c r="E962" s="86"/>
      <c r="G962" s="86"/>
      <c r="I962" s="86"/>
      <c r="L962" s="86"/>
      <c r="M962" s="86"/>
    </row>
    <row r="963">
      <c r="D963" s="86"/>
      <c r="E963" s="86"/>
      <c r="G963" s="86"/>
      <c r="I963" s="86"/>
      <c r="L963" s="86"/>
      <c r="M963" s="86"/>
    </row>
    <row r="964">
      <c r="D964" s="86"/>
      <c r="E964" s="86"/>
      <c r="G964" s="86"/>
      <c r="I964" s="86"/>
      <c r="L964" s="86"/>
      <c r="M964" s="86"/>
    </row>
    <row r="965">
      <c r="D965" s="86"/>
      <c r="E965" s="86"/>
      <c r="G965" s="86"/>
      <c r="I965" s="86"/>
      <c r="L965" s="86"/>
      <c r="M965" s="86"/>
    </row>
    <row r="966">
      <c r="D966" s="86"/>
      <c r="E966" s="86"/>
      <c r="G966" s="86"/>
      <c r="I966" s="86"/>
      <c r="L966" s="86"/>
      <c r="M966" s="86"/>
    </row>
    <row r="967">
      <c r="D967" s="86"/>
      <c r="E967" s="86"/>
      <c r="G967" s="86"/>
      <c r="I967" s="86"/>
      <c r="L967" s="86"/>
      <c r="M967" s="86"/>
    </row>
    <row r="968">
      <c r="D968" s="86"/>
      <c r="E968" s="86"/>
      <c r="G968" s="86"/>
      <c r="I968" s="86"/>
      <c r="L968" s="86"/>
      <c r="M968" s="86"/>
    </row>
    <row r="969">
      <c r="D969" s="86"/>
      <c r="E969" s="86"/>
      <c r="G969" s="86"/>
      <c r="I969" s="86"/>
      <c r="L969" s="86"/>
      <c r="M969" s="86"/>
    </row>
    <row r="970">
      <c r="D970" s="86"/>
      <c r="E970" s="86"/>
      <c r="G970" s="86"/>
      <c r="I970" s="86"/>
      <c r="L970" s="86"/>
      <c r="M970" s="86"/>
    </row>
    <row r="971">
      <c r="D971" s="86"/>
      <c r="E971" s="86"/>
      <c r="G971" s="86"/>
      <c r="I971" s="86"/>
      <c r="L971" s="86"/>
      <c r="M971" s="86"/>
    </row>
    <row r="972">
      <c r="D972" s="86"/>
      <c r="E972" s="86"/>
      <c r="G972" s="86"/>
      <c r="I972" s="86"/>
      <c r="L972" s="86"/>
      <c r="M972" s="86"/>
    </row>
    <row r="973">
      <c r="D973" s="86"/>
      <c r="E973" s="86"/>
      <c r="G973" s="86"/>
      <c r="I973" s="86"/>
      <c r="L973" s="86"/>
      <c r="M973" s="86"/>
    </row>
    <row r="974">
      <c r="D974" s="86"/>
      <c r="E974" s="86"/>
      <c r="G974" s="86"/>
      <c r="I974" s="86"/>
      <c r="L974" s="86"/>
      <c r="M974" s="86"/>
    </row>
    <row r="975">
      <c r="D975" s="86"/>
      <c r="E975" s="86"/>
      <c r="G975" s="86"/>
      <c r="I975" s="86"/>
      <c r="L975" s="86"/>
      <c r="M975" s="86"/>
    </row>
    <row r="976">
      <c r="D976" s="86"/>
      <c r="E976" s="86"/>
      <c r="G976" s="86"/>
      <c r="I976" s="86"/>
      <c r="L976" s="86"/>
      <c r="M976" s="86"/>
    </row>
    <row r="977">
      <c r="D977" s="86"/>
      <c r="E977" s="86"/>
      <c r="G977" s="86"/>
      <c r="I977" s="86"/>
      <c r="L977" s="86"/>
      <c r="M977" s="86"/>
    </row>
    <row r="978">
      <c r="D978" s="86"/>
      <c r="E978" s="86"/>
      <c r="G978" s="86"/>
      <c r="I978" s="86"/>
      <c r="L978" s="86"/>
      <c r="M978" s="86"/>
    </row>
    <row r="979">
      <c r="D979" s="86"/>
      <c r="E979" s="86"/>
      <c r="G979" s="86"/>
      <c r="I979" s="86"/>
      <c r="L979" s="86"/>
      <c r="M979" s="86"/>
    </row>
    <row r="980">
      <c r="D980" s="86"/>
      <c r="E980" s="86"/>
      <c r="G980" s="86"/>
      <c r="I980" s="86"/>
      <c r="L980" s="86"/>
      <c r="M980" s="86"/>
    </row>
    <row r="981">
      <c r="D981" s="86"/>
      <c r="E981" s="86"/>
      <c r="G981" s="86"/>
      <c r="I981" s="86"/>
      <c r="L981" s="86"/>
      <c r="M981" s="86"/>
    </row>
    <row r="982">
      <c r="D982" s="86"/>
      <c r="E982" s="86"/>
      <c r="G982" s="86"/>
      <c r="I982" s="86"/>
      <c r="L982" s="86"/>
      <c r="M982" s="86"/>
    </row>
    <row r="983">
      <c r="D983" s="86"/>
      <c r="E983" s="86"/>
      <c r="G983" s="86"/>
      <c r="I983" s="86"/>
      <c r="L983" s="86"/>
      <c r="M983" s="86"/>
    </row>
    <row r="984">
      <c r="D984" s="86"/>
      <c r="E984" s="86"/>
      <c r="G984" s="86"/>
      <c r="I984" s="86"/>
      <c r="L984" s="86"/>
      <c r="M984" s="86"/>
    </row>
    <row r="985">
      <c r="D985" s="86"/>
      <c r="E985" s="86"/>
      <c r="G985" s="86"/>
      <c r="I985" s="86"/>
      <c r="L985" s="86"/>
      <c r="M985" s="86"/>
    </row>
    <row r="986">
      <c r="D986" s="86"/>
      <c r="E986" s="86"/>
      <c r="G986" s="86"/>
      <c r="I986" s="86"/>
      <c r="L986" s="86"/>
      <c r="M986" s="86"/>
    </row>
    <row r="987">
      <c r="D987" s="86"/>
      <c r="E987" s="86"/>
      <c r="G987" s="86"/>
      <c r="I987" s="86"/>
      <c r="L987" s="86"/>
      <c r="M987" s="86"/>
    </row>
    <row r="988">
      <c r="D988" s="86"/>
      <c r="E988" s="86"/>
      <c r="G988" s="86"/>
      <c r="I988" s="86"/>
      <c r="L988" s="86"/>
      <c r="M988" s="86"/>
    </row>
    <row r="989">
      <c r="D989" s="86"/>
      <c r="E989" s="86"/>
      <c r="G989" s="86"/>
      <c r="I989" s="86"/>
      <c r="L989" s="86"/>
      <c r="M989" s="86"/>
    </row>
    <row r="990">
      <c r="D990" s="86"/>
      <c r="E990" s="86"/>
      <c r="G990" s="86"/>
      <c r="I990" s="86"/>
      <c r="L990" s="86"/>
      <c r="M990" s="86"/>
    </row>
    <row r="991">
      <c r="D991" s="86"/>
      <c r="E991" s="86"/>
      <c r="G991" s="86"/>
      <c r="I991" s="86"/>
      <c r="L991" s="86"/>
      <c r="M991" s="86"/>
    </row>
    <row r="992">
      <c r="D992" s="86"/>
      <c r="E992" s="86"/>
      <c r="G992" s="86"/>
      <c r="I992" s="86"/>
      <c r="L992" s="86"/>
      <c r="M992" s="86"/>
    </row>
    <row r="993">
      <c r="D993" s="86"/>
      <c r="E993" s="86"/>
      <c r="G993" s="86"/>
      <c r="I993" s="86"/>
      <c r="L993" s="86"/>
      <c r="M993" s="86"/>
    </row>
    <row r="994">
      <c r="D994" s="86"/>
      <c r="E994" s="86"/>
      <c r="G994" s="86"/>
      <c r="I994" s="86"/>
      <c r="L994" s="86"/>
      <c r="M994" s="86"/>
    </row>
    <row r="995">
      <c r="D995" s="86"/>
      <c r="E995" s="86"/>
      <c r="G995" s="86"/>
      <c r="I995" s="86"/>
      <c r="L995" s="86"/>
      <c r="M995" s="86"/>
    </row>
    <row r="996">
      <c r="D996" s="86"/>
      <c r="E996" s="86"/>
      <c r="G996" s="86"/>
      <c r="I996" s="86"/>
      <c r="L996" s="86"/>
      <c r="M996" s="86"/>
    </row>
    <row r="997">
      <c r="D997" s="86"/>
      <c r="E997" s="86"/>
      <c r="G997" s="86"/>
      <c r="I997" s="86"/>
      <c r="L997" s="86"/>
      <c r="M997" s="86"/>
    </row>
    <row r="998">
      <c r="D998" s="86"/>
      <c r="E998" s="86"/>
      <c r="G998" s="86"/>
      <c r="I998" s="86"/>
      <c r="L998" s="86"/>
      <c r="M998" s="86"/>
    </row>
    <row r="999">
      <c r="D999" s="86"/>
      <c r="E999" s="86"/>
      <c r="G999" s="86"/>
      <c r="I999" s="86"/>
      <c r="L999" s="86"/>
      <c r="M999" s="86"/>
    </row>
    <row r="1000">
      <c r="D1000" s="86"/>
      <c r="E1000" s="86"/>
      <c r="G1000" s="86"/>
      <c r="I1000" s="86"/>
      <c r="L1000" s="86"/>
      <c r="M1000" s="86"/>
    </row>
    <row r="1001">
      <c r="D1001" s="86"/>
      <c r="E1001" s="86"/>
      <c r="G1001" s="86"/>
      <c r="I1001" s="86"/>
      <c r="L1001" s="86"/>
      <c r="M1001" s="86"/>
    </row>
  </sheetData>
  <autoFilter ref="$M$1:$M$1001"/>
  <hyperlinks>
    <hyperlink r:id="rId1" ref="D2"/>
    <hyperlink r:id="rId2" ref="D3"/>
    <hyperlink r:id="rId3" ref="D4"/>
    <hyperlink r:id="rId4" ref="D6"/>
    <hyperlink r:id="rId5" ref="D7"/>
    <hyperlink r:id="rId6" ref="D8"/>
    <hyperlink r:id="rId7" ref="D9"/>
    <hyperlink r:id="rId8" ref="D13"/>
    <hyperlink r:id="rId9" ref="D14"/>
    <hyperlink r:id="rId10" ref="D15"/>
    <hyperlink r:id="rId11" ref="D16"/>
    <hyperlink r:id="rId12" ref="D17"/>
    <hyperlink r:id="rId13" ref="D18"/>
    <hyperlink r:id="rId14" ref="D19"/>
    <hyperlink r:id="rId15" ref="B20"/>
    <hyperlink r:id="rId16" ref="C20"/>
    <hyperlink r:id="rId17" ref="D20"/>
    <hyperlink r:id="rId18" ref="B21"/>
    <hyperlink r:id="rId19" ref="C21"/>
    <hyperlink r:id="rId20" ref="D21"/>
    <hyperlink r:id="rId21" ref="B22"/>
    <hyperlink r:id="rId22" ref="C22"/>
    <hyperlink r:id="rId23" ref="D22"/>
    <hyperlink r:id="rId24" ref="B23"/>
    <hyperlink r:id="rId25" ref="C23"/>
    <hyperlink r:id="rId26" ref="D23"/>
    <hyperlink r:id="rId27" ref="B24"/>
    <hyperlink r:id="rId28" ref="C24"/>
    <hyperlink r:id="rId29" ref="D24"/>
    <hyperlink r:id="rId30" ref="B25"/>
    <hyperlink r:id="rId31" ref="C25"/>
    <hyperlink r:id="rId32" ref="D25"/>
    <hyperlink r:id="rId33" ref="B26"/>
    <hyperlink r:id="rId34" ref="C26"/>
    <hyperlink r:id="rId35" ref="D26"/>
    <hyperlink r:id="rId36" ref="B27"/>
    <hyperlink r:id="rId37" ref="C27"/>
    <hyperlink r:id="rId38" ref="D27"/>
  </hyperlinks>
  <printOptions horizontalCentered="1"/>
  <pageMargins bottom="0.75" footer="0.0" header="0.0" left="0.7" right="0.7" top="0.75"/>
  <pageSetup fitToWidth="0" paperSize="9" orientation="landscape" pageOrder="overThenDown"/>
  <drawing r:id="rId39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4" max="4" width="68.29"/>
  </cols>
  <sheetData>
    <row r="1">
      <c r="A1" s="87" t="s">
        <v>366</v>
      </c>
      <c r="B1" s="87" t="s">
        <v>367</v>
      </c>
      <c r="C1" s="87" t="s">
        <v>368</v>
      </c>
      <c r="D1" s="87" t="s">
        <v>369</v>
      </c>
    </row>
    <row r="2">
      <c r="A2" s="88" t="s">
        <v>370</v>
      </c>
      <c r="D2" s="89" t="s">
        <v>371</v>
      </c>
      <c r="E2" s="88" t="s">
        <v>372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cols>
    <col customWidth="1" min="2" max="2" width="18.86"/>
    <col customWidth="1" min="3" max="3" width="29.86"/>
    <col customWidth="1" min="4" max="4" width="28.86"/>
    <col customWidth="1" min="5" max="5" width="17.71"/>
    <col customWidth="1" min="6" max="7" width="23.43"/>
  </cols>
  <sheetData>
    <row r="1">
      <c r="A1" s="90" t="s">
        <v>225</v>
      </c>
      <c r="B1" s="91" t="s">
        <v>373</v>
      </c>
      <c r="C1" s="91" t="s">
        <v>366</v>
      </c>
      <c r="D1" s="91" t="s">
        <v>368</v>
      </c>
      <c r="E1" s="91" t="s">
        <v>367</v>
      </c>
      <c r="F1" s="92" t="s">
        <v>369</v>
      </c>
      <c r="G1" s="92" t="s">
        <v>374</v>
      </c>
    </row>
    <row r="2">
      <c r="A2" s="93">
        <v>43739.0</v>
      </c>
      <c r="B2" s="94" t="s">
        <v>375</v>
      </c>
      <c r="C2" s="95" t="s">
        <v>376</v>
      </c>
      <c r="D2" s="95" t="s">
        <v>377</v>
      </c>
      <c r="E2" s="94">
        <f>+94715199076</f>
        <v>94715199076</v>
      </c>
      <c r="F2" s="96" t="s">
        <v>378</v>
      </c>
      <c r="G2" s="96" t="s">
        <v>228</v>
      </c>
    </row>
    <row r="3">
      <c r="A3" s="93">
        <v>43739.0</v>
      </c>
      <c r="B3" s="94" t="s">
        <v>375</v>
      </c>
      <c r="C3" s="95" t="s">
        <v>379</v>
      </c>
      <c r="D3" s="94" t="s">
        <v>380</v>
      </c>
      <c r="E3" s="94">
        <f>+94777374349</f>
        <v>94777374349</v>
      </c>
      <c r="F3" s="96" t="s">
        <v>381</v>
      </c>
      <c r="G3" s="96" t="s">
        <v>228</v>
      </c>
    </row>
    <row r="4">
      <c r="A4" s="93">
        <v>43739.0</v>
      </c>
      <c r="B4" s="94" t="s">
        <v>375</v>
      </c>
      <c r="C4" s="94" t="s">
        <v>382</v>
      </c>
      <c r="D4" s="94" t="s">
        <v>383</v>
      </c>
      <c r="E4" s="94">
        <f>+94773597513</f>
        <v>94773597513</v>
      </c>
      <c r="F4" s="96" t="s">
        <v>384</v>
      </c>
      <c r="G4" s="96" t="s">
        <v>228</v>
      </c>
    </row>
    <row r="5">
      <c r="A5" s="93">
        <v>43739.0</v>
      </c>
      <c r="B5" s="94" t="s">
        <v>375</v>
      </c>
      <c r="C5" s="94" t="s">
        <v>385</v>
      </c>
      <c r="D5" s="94" t="s">
        <v>386</v>
      </c>
      <c r="E5" s="94">
        <f>+94778998144</f>
        <v>94778998144</v>
      </c>
      <c r="F5" s="96" t="s">
        <v>387</v>
      </c>
      <c r="G5" s="96" t="s">
        <v>228</v>
      </c>
    </row>
    <row r="6">
      <c r="A6" s="93">
        <v>43739.0</v>
      </c>
      <c r="B6" s="94" t="s">
        <v>375</v>
      </c>
      <c r="C6" s="94" t="s">
        <v>388</v>
      </c>
      <c r="D6" s="94" t="s">
        <v>389</v>
      </c>
      <c r="E6" s="94">
        <f>+94767374764</f>
        <v>94767374764</v>
      </c>
      <c r="F6" s="96" t="s">
        <v>387</v>
      </c>
      <c r="G6" s="96" t="s">
        <v>228</v>
      </c>
    </row>
    <row r="7">
      <c r="A7" s="93">
        <v>43739.0</v>
      </c>
      <c r="B7" s="94" t="s">
        <v>375</v>
      </c>
      <c r="C7" s="94" t="s">
        <v>390</v>
      </c>
      <c r="D7" s="94" t="s">
        <v>391</v>
      </c>
      <c r="E7" s="94">
        <f>+94777326450</f>
        <v>94777326450</v>
      </c>
      <c r="F7" s="96" t="s">
        <v>387</v>
      </c>
      <c r="G7" s="96" t="s">
        <v>228</v>
      </c>
    </row>
    <row r="8">
      <c r="A8" s="93">
        <v>43739.0</v>
      </c>
      <c r="B8" s="94" t="s">
        <v>375</v>
      </c>
      <c r="C8" s="94" t="s">
        <v>392</v>
      </c>
      <c r="D8" s="94" t="s">
        <v>393</v>
      </c>
      <c r="E8" s="94">
        <f>+94777513145</f>
        <v>94777513145</v>
      </c>
      <c r="F8" s="96" t="s">
        <v>381</v>
      </c>
      <c r="G8" s="96"/>
    </row>
    <row r="9">
      <c r="A9" s="93">
        <v>43739.0</v>
      </c>
      <c r="B9" s="94" t="s">
        <v>375</v>
      </c>
      <c r="C9" s="94" t="s">
        <v>394</v>
      </c>
      <c r="D9" s="94" t="s">
        <v>395</v>
      </c>
      <c r="E9" s="94">
        <f>+94777999530</f>
        <v>94777999530</v>
      </c>
      <c r="F9" s="96" t="s">
        <v>396</v>
      </c>
      <c r="G9" s="96"/>
    </row>
    <row r="10">
      <c r="A10" s="93">
        <v>43739.0</v>
      </c>
      <c r="B10" s="94" t="s">
        <v>375</v>
      </c>
      <c r="C10" s="94" t="s">
        <v>397</v>
      </c>
      <c r="D10" s="94" t="s">
        <v>398</v>
      </c>
      <c r="E10" s="94">
        <f>+94774027120</f>
        <v>94774027120</v>
      </c>
      <c r="F10" s="96" t="s">
        <v>399</v>
      </c>
      <c r="G10" s="96"/>
    </row>
    <row r="11">
      <c r="A11" s="93">
        <v>43739.0</v>
      </c>
      <c r="B11" s="94" t="s">
        <v>375</v>
      </c>
      <c r="C11" s="94" t="s">
        <v>400</v>
      </c>
      <c r="D11" s="94" t="s">
        <v>401</v>
      </c>
      <c r="E11" s="94">
        <f>+94770699168</f>
        <v>94770699168</v>
      </c>
      <c r="F11" s="96" t="s">
        <v>381</v>
      </c>
      <c r="G11" s="96"/>
    </row>
    <row r="12">
      <c r="A12" s="93">
        <v>43739.0</v>
      </c>
      <c r="B12" s="94" t="s">
        <v>375</v>
      </c>
      <c r="C12" s="94" t="s">
        <v>402</v>
      </c>
      <c r="D12" s="94" t="s">
        <v>403</v>
      </c>
      <c r="E12" s="94">
        <f>+94715199076</f>
        <v>94715199076</v>
      </c>
      <c r="F12" s="96" t="s">
        <v>399</v>
      </c>
      <c r="G12" s="96"/>
    </row>
    <row r="13">
      <c r="A13" s="93">
        <v>43739.0</v>
      </c>
      <c r="B13" s="94" t="s">
        <v>375</v>
      </c>
      <c r="C13" s="97" t="s">
        <v>404</v>
      </c>
      <c r="D13" s="97" t="s">
        <v>405</v>
      </c>
      <c r="E13" s="98">
        <f>+94714553958</f>
        <v>94714553958</v>
      </c>
      <c r="F13" s="39"/>
      <c r="G13" s="96"/>
    </row>
    <row r="14">
      <c r="A14" s="93">
        <v>43739.0</v>
      </c>
      <c r="B14" s="94" t="s">
        <v>375</v>
      </c>
      <c r="C14" s="97" t="s">
        <v>406</v>
      </c>
      <c r="D14" s="97" t="s">
        <v>407</v>
      </c>
      <c r="E14" s="98">
        <f>+94777829232</f>
        <v>94777829232</v>
      </c>
      <c r="F14" s="39"/>
      <c r="G14" s="96"/>
    </row>
    <row r="15">
      <c r="A15" s="93">
        <v>43739.0</v>
      </c>
      <c r="B15" s="94" t="s">
        <v>375</v>
      </c>
      <c r="C15" s="97" t="s">
        <v>408</v>
      </c>
      <c r="D15" s="97" t="s">
        <v>409</v>
      </c>
      <c r="E15" s="98">
        <f>+94712723723</f>
        <v>94712723723</v>
      </c>
      <c r="F15" s="39"/>
      <c r="G15" s="96"/>
    </row>
    <row r="16">
      <c r="A16" s="93">
        <v>43739.0</v>
      </c>
      <c r="B16" s="94" t="s">
        <v>375</v>
      </c>
      <c r="C16" s="97" t="s">
        <v>410</v>
      </c>
      <c r="D16" s="97" t="s">
        <v>411</v>
      </c>
      <c r="E16" s="98">
        <f>+94769713070</f>
        <v>94769713070</v>
      </c>
      <c r="F16" s="39"/>
      <c r="G16" s="96"/>
    </row>
    <row r="17">
      <c r="A17" s="93">
        <v>43739.0</v>
      </c>
      <c r="B17" s="94" t="s">
        <v>375</v>
      </c>
      <c r="C17" s="99" t="s">
        <v>412</v>
      </c>
      <c r="D17" s="97" t="s">
        <v>413</v>
      </c>
      <c r="E17" s="98">
        <f>+94752274713</f>
        <v>94752274713</v>
      </c>
      <c r="F17" s="39"/>
      <c r="G17" s="96"/>
    </row>
    <row r="18">
      <c r="A18" s="100">
        <v>43740.0</v>
      </c>
      <c r="B18" s="94" t="s">
        <v>375</v>
      </c>
      <c r="D18" s="101" t="s">
        <v>414</v>
      </c>
      <c r="E18" s="101">
        <f>+940773930670</f>
        <v>940773930670</v>
      </c>
      <c r="F18" s="39"/>
      <c r="G18" s="39"/>
    </row>
    <row r="19">
      <c r="A19" s="100">
        <v>43740.0</v>
      </c>
      <c r="B19" s="102" t="s">
        <v>375</v>
      </c>
      <c r="C19" s="101" t="s">
        <v>415</v>
      </c>
      <c r="D19" s="101" t="s">
        <v>416</v>
      </c>
      <c r="E19" s="101">
        <f>+94773729486</f>
        <v>94773729486</v>
      </c>
      <c r="F19" s="39"/>
      <c r="G19" s="39"/>
    </row>
    <row r="20">
      <c r="A20" s="100">
        <v>43740.0</v>
      </c>
      <c r="B20" s="102" t="s">
        <v>375</v>
      </c>
      <c r="C20" s="101" t="s">
        <v>417</v>
      </c>
      <c r="D20" s="101" t="s">
        <v>418</v>
      </c>
      <c r="E20" s="101">
        <f>+94777767342</f>
        <v>94777767342</v>
      </c>
      <c r="F20" s="39"/>
      <c r="G20" s="39"/>
    </row>
    <row r="21">
      <c r="A21" s="100">
        <v>43740.0</v>
      </c>
      <c r="B21" s="102" t="s">
        <v>375</v>
      </c>
      <c r="C21" s="101" t="s">
        <v>419</v>
      </c>
      <c r="D21" s="101" t="s">
        <v>420</v>
      </c>
      <c r="E21" s="101">
        <f>+94777719090</f>
        <v>94777719090</v>
      </c>
      <c r="F21" s="39"/>
      <c r="G21" s="39"/>
    </row>
    <row r="22">
      <c r="A22" s="100">
        <v>43740.0</v>
      </c>
      <c r="B22" s="102" t="s">
        <v>375</v>
      </c>
      <c r="C22" s="101" t="s">
        <v>421</v>
      </c>
      <c r="D22" s="101" t="s">
        <v>422</v>
      </c>
      <c r="E22" s="101">
        <f>+94719033639</f>
        <v>94719033639</v>
      </c>
      <c r="F22" s="39"/>
      <c r="G22" s="39"/>
    </row>
    <row r="23">
      <c r="A23" s="100">
        <v>43740.0</v>
      </c>
      <c r="B23" s="102" t="s">
        <v>375</v>
      </c>
      <c r="C23" s="101" t="s">
        <v>423</v>
      </c>
      <c r="D23" s="101" t="s">
        <v>424</v>
      </c>
      <c r="E23" s="101">
        <f>+94714417109</f>
        <v>94714417109</v>
      </c>
      <c r="F23" s="39"/>
      <c r="G23" s="39"/>
    </row>
    <row r="24">
      <c r="A24" s="100">
        <v>43741.0</v>
      </c>
      <c r="B24" s="102" t="s">
        <v>375</v>
      </c>
      <c r="C24" s="103" t="s">
        <v>425</v>
      </c>
      <c r="D24" s="103" t="s">
        <v>426</v>
      </c>
      <c r="E24" s="104">
        <f>+94729346713</f>
        <v>94729346713</v>
      </c>
      <c r="F24" s="39"/>
      <c r="G24" s="39"/>
    </row>
    <row r="25">
      <c r="A25" s="100">
        <v>43741.0</v>
      </c>
      <c r="B25" s="102" t="s">
        <v>375</v>
      </c>
      <c r="C25" s="103" t="s">
        <v>427</v>
      </c>
      <c r="D25" s="103" t="s">
        <v>428</v>
      </c>
      <c r="E25" s="104">
        <f>+97474474484</f>
        <v>97474474484</v>
      </c>
      <c r="F25" s="39"/>
      <c r="G25" s="39"/>
    </row>
    <row r="26">
      <c r="A26" s="100">
        <v>43741.0</v>
      </c>
      <c r="B26" s="102" t="s">
        <v>375</v>
      </c>
      <c r="C26" s="103" t="s">
        <v>429</v>
      </c>
      <c r="D26" s="103" t="s">
        <v>430</v>
      </c>
      <c r="E26" s="104">
        <f>+94772016021</f>
        <v>94772016021</v>
      </c>
      <c r="F26" s="39"/>
      <c r="G26" s="39"/>
    </row>
    <row r="27">
      <c r="A27" s="100">
        <v>43741.0</v>
      </c>
      <c r="B27" s="102" t="s">
        <v>375</v>
      </c>
      <c r="C27" s="103" t="s">
        <v>431</v>
      </c>
      <c r="D27" s="103" t="s">
        <v>432</v>
      </c>
      <c r="E27" s="104">
        <f>+94777698882</f>
        <v>94777698882</v>
      </c>
      <c r="F27" s="39"/>
      <c r="G27" s="39"/>
    </row>
    <row r="28">
      <c r="A28" s="100">
        <v>43741.0</v>
      </c>
      <c r="B28" s="102" t="s">
        <v>375</v>
      </c>
      <c r="C28" s="103" t="s">
        <v>433</v>
      </c>
      <c r="D28" s="103" t="s">
        <v>434</v>
      </c>
      <c r="E28" s="104">
        <f>+94769626980</f>
        <v>94769626980</v>
      </c>
      <c r="F28" s="39"/>
      <c r="G28" s="39"/>
    </row>
    <row r="29">
      <c r="A29" s="100">
        <v>43741.0</v>
      </c>
      <c r="B29" s="102" t="s">
        <v>375</v>
      </c>
      <c r="C29" s="103" t="s">
        <v>435</v>
      </c>
      <c r="D29" s="103" t="s">
        <v>436</v>
      </c>
      <c r="E29" s="104">
        <f>+94777344767</f>
        <v>94777344767</v>
      </c>
      <c r="F29" s="39"/>
      <c r="G29" s="39"/>
    </row>
    <row r="30">
      <c r="A30" s="100">
        <v>43741.0</v>
      </c>
      <c r="B30" s="102" t="s">
        <v>375</v>
      </c>
      <c r="C30" s="103" t="s">
        <v>437</v>
      </c>
      <c r="D30" s="103" t="s">
        <v>438</v>
      </c>
      <c r="E30" s="104">
        <f>+940772449044</f>
        <v>940772449044</v>
      </c>
      <c r="F30" s="39"/>
      <c r="G30" s="39"/>
    </row>
    <row r="31">
      <c r="A31" s="100">
        <v>43741.0</v>
      </c>
      <c r="B31" s="102" t="s">
        <v>375</v>
      </c>
      <c r="C31" s="103" t="s">
        <v>439</v>
      </c>
      <c r="D31" s="103" t="s">
        <v>440</v>
      </c>
      <c r="E31" s="104">
        <f>+94773450696</f>
        <v>94773450696</v>
      </c>
      <c r="F31" s="39"/>
      <c r="G31" s="39"/>
    </row>
    <row r="32">
      <c r="A32" s="100">
        <v>43741.0</v>
      </c>
      <c r="B32" s="102" t="s">
        <v>375</v>
      </c>
      <c r="C32" s="103" t="s">
        <v>441</v>
      </c>
      <c r="D32" s="103" t="s">
        <v>442</v>
      </c>
      <c r="E32" s="104">
        <f>+94777462200</f>
        <v>94777462200</v>
      </c>
      <c r="F32" s="39"/>
      <c r="G32" s="39"/>
    </row>
    <row r="33">
      <c r="A33" s="100">
        <v>43743.0</v>
      </c>
      <c r="B33" s="94" t="s">
        <v>375</v>
      </c>
      <c r="C33" s="105" t="s">
        <v>443</v>
      </c>
      <c r="D33" s="105" t="s">
        <v>444</v>
      </c>
      <c r="E33" s="105">
        <f>+94777909808</f>
        <v>94777909808</v>
      </c>
      <c r="F33" s="39"/>
      <c r="G33" s="39"/>
    </row>
    <row r="34">
      <c r="A34" s="100">
        <v>43743.0</v>
      </c>
      <c r="B34" s="106" t="s">
        <v>375</v>
      </c>
      <c r="C34" s="107" t="s">
        <v>445</v>
      </c>
      <c r="D34" s="107" t="s">
        <v>446</v>
      </c>
      <c r="E34" s="107">
        <f>+94777725485</f>
        <v>94777725485</v>
      </c>
      <c r="F34" s="39"/>
      <c r="G34" s="39"/>
    </row>
    <row r="35">
      <c r="A35" s="100">
        <v>43743.0</v>
      </c>
      <c r="B35" s="106" t="s">
        <v>375</v>
      </c>
      <c r="C35" s="107" t="s">
        <v>447</v>
      </c>
      <c r="D35" s="107" t="s">
        <v>448</v>
      </c>
      <c r="E35" s="107">
        <f>+94112360608</f>
        <v>94112360608</v>
      </c>
      <c r="F35" s="39"/>
      <c r="G35" s="39"/>
    </row>
    <row r="36">
      <c r="A36" s="100">
        <v>43743.0</v>
      </c>
      <c r="B36" s="106" t="s">
        <v>375</v>
      </c>
      <c r="C36" s="107" t="s">
        <v>449</v>
      </c>
      <c r="D36" s="107" t="s">
        <v>450</v>
      </c>
      <c r="E36" s="107">
        <f>+94776232421</f>
        <v>94776232421</v>
      </c>
      <c r="F36" s="39"/>
      <c r="G36" s="39"/>
    </row>
    <row r="37">
      <c r="A37" s="100">
        <v>43743.0</v>
      </c>
      <c r="B37" s="106" t="s">
        <v>375</v>
      </c>
      <c r="C37" s="107" t="s">
        <v>451</v>
      </c>
      <c r="D37" s="107" t="s">
        <v>452</v>
      </c>
      <c r="E37" s="107">
        <f>+94778398371</f>
        <v>94778398371</v>
      </c>
      <c r="F37" s="39"/>
      <c r="G37" s="39"/>
    </row>
    <row r="38">
      <c r="A38" s="100">
        <v>43743.0</v>
      </c>
      <c r="B38" s="106" t="s">
        <v>375</v>
      </c>
      <c r="C38" s="107" t="s">
        <v>453</v>
      </c>
      <c r="D38" s="107" t="s">
        <v>454</v>
      </c>
      <c r="E38" s="107">
        <f>+94723802662</f>
        <v>94723802662</v>
      </c>
      <c r="F38" s="39"/>
      <c r="G38" s="39"/>
    </row>
    <row r="39">
      <c r="A39" s="100">
        <v>43743.0</v>
      </c>
      <c r="B39" s="106" t="s">
        <v>375</v>
      </c>
      <c r="C39" s="107" t="s">
        <v>455</v>
      </c>
      <c r="D39" s="107" t="s">
        <v>456</v>
      </c>
      <c r="E39" s="107">
        <f>+94775847652</f>
        <v>94775847652</v>
      </c>
      <c r="F39" s="39"/>
      <c r="G39" s="39"/>
    </row>
    <row r="40">
      <c r="A40" s="100">
        <v>43743.0</v>
      </c>
      <c r="B40" s="106" t="s">
        <v>375</v>
      </c>
      <c r="C40" s="107" t="s">
        <v>457</v>
      </c>
      <c r="D40" s="107" t="s">
        <v>458</v>
      </c>
      <c r="E40" s="107">
        <f>+94779514422</f>
        <v>94779514422</v>
      </c>
      <c r="F40" s="39"/>
      <c r="G40" s="39"/>
    </row>
    <row r="41">
      <c r="A41" s="100">
        <v>43744.0</v>
      </c>
      <c r="B41" s="106" t="s">
        <v>375</v>
      </c>
      <c r="C41" s="107" t="s">
        <v>459</v>
      </c>
      <c r="D41" s="107" t="s">
        <v>460</v>
      </c>
      <c r="E41" s="107">
        <f>+94777378456</f>
        <v>94777378456</v>
      </c>
      <c r="F41" s="39"/>
      <c r="G41" s="39"/>
    </row>
    <row r="42">
      <c r="A42" s="100">
        <v>43744.0</v>
      </c>
      <c r="B42" s="106" t="s">
        <v>375</v>
      </c>
      <c r="C42" s="107" t="s">
        <v>461</v>
      </c>
      <c r="D42" s="107" t="s">
        <v>462</v>
      </c>
      <c r="E42" s="107">
        <f>+94777484301</f>
        <v>94777484301</v>
      </c>
      <c r="F42" s="39"/>
      <c r="G42" s="39"/>
    </row>
    <row r="43">
      <c r="A43" s="100">
        <v>43744.0</v>
      </c>
      <c r="B43" s="106" t="s">
        <v>375</v>
      </c>
      <c r="C43" s="107" t="s">
        <v>463</v>
      </c>
      <c r="D43" s="107" t="s">
        <v>464</v>
      </c>
      <c r="E43" s="107">
        <f>+94777530063</f>
        <v>94777530063</v>
      </c>
      <c r="F43" s="39"/>
      <c r="G43" s="39"/>
    </row>
    <row r="44">
      <c r="A44" s="100">
        <v>43744.0</v>
      </c>
      <c r="B44" s="106" t="s">
        <v>375</v>
      </c>
      <c r="C44" s="107" t="s">
        <v>465</v>
      </c>
      <c r="D44" s="107" t="s">
        <v>466</v>
      </c>
      <c r="E44" s="107">
        <f>+94779353959</f>
        <v>94779353959</v>
      </c>
      <c r="F44" s="39"/>
      <c r="G44" s="39"/>
    </row>
    <row r="45">
      <c r="A45" s="108">
        <v>43745.0</v>
      </c>
      <c r="B45" s="62" t="s">
        <v>375</v>
      </c>
      <c r="C45" s="62" t="s">
        <v>467</v>
      </c>
      <c r="D45" s="62" t="s">
        <v>468</v>
      </c>
      <c r="E45" s="94">
        <f>+940777074742</f>
        <v>940777074742</v>
      </c>
      <c r="F45" s="39"/>
      <c r="G45" s="39"/>
    </row>
    <row r="46">
      <c r="A46" s="108">
        <v>43745.0</v>
      </c>
      <c r="B46" s="62" t="s">
        <v>375</v>
      </c>
      <c r="C46" s="62" t="s">
        <v>469</v>
      </c>
      <c r="D46" s="62" t="s">
        <v>470</v>
      </c>
      <c r="E46" s="94">
        <f>+94777354884</f>
        <v>94777354884</v>
      </c>
      <c r="F46" s="39"/>
      <c r="G46" s="39"/>
    </row>
    <row r="47">
      <c r="A47" s="108">
        <v>43745.0</v>
      </c>
      <c r="B47" s="62" t="s">
        <v>375</v>
      </c>
      <c r="C47" s="62" t="s">
        <v>471</v>
      </c>
      <c r="D47" s="62" t="s">
        <v>472</v>
      </c>
      <c r="E47" s="94">
        <f>+94720903163</f>
        <v>94720903163</v>
      </c>
      <c r="F47" s="39"/>
      <c r="G47" s="39"/>
    </row>
    <row r="48">
      <c r="A48" s="108">
        <v>43745.0</v>
      </c>
      <c r="B48" s="62" t="s">
        <v>375</v>
      </c>
      <c r="C48" s="62" t="s">
        <v>473</v>
      </c>
      <c r="D48" s="62" t="s">
        <v>474</v>
      </c>
      <c r="E48" s="94">
        <f>+94778883444</f>
        <v>94778883444</v>
      </c>
      <c r="F48" s="39"/>
      <c r="G48" s="39"/>
    </row>
    <row r="49">
      <c r="A49" s="108">
        <v>43746.0</v>
      </c>
      <c r="B49" s="62" t="s">
        <v>375</v>
      </c>
      <c r="C49" s="62" t="s">
        <v>475</v>
      </c>
      <c r="D49" s="62" t="s">
        <v>476</v>
      </c>
      <c r="E49" s="94">
        <f>+94776054906</f>
        <v>94776054906</v>
      </c>
      <c r="F49" s="39"/>
      <c r="G49" s="39"/>
    </row>
    <row r="50">
      <c r="A50" s="108">
        <v>43746.0</v>
      </c>
      <c r="B50" s="62" t="s">
        <v>375</v>
      </c>
      <c r="C50" s="62" t="s">
        <v>477</v>
      </c>
      <c r="D50" s="62" t="s">
        <v>478</v>
      </c>
      <c r="E50" s="94">
        <f>+94774692821</f>
        <v>94774692821</v>
      </c>
      <c r="F50" s="39"/>
      <c r="G50" s="39"/>
    </row>
    <row r="51">
      <c r="A51" s="108">
        <v>43746.0</v>
      </c>
      <c r="B51" s="62" t="s">
        <v>375</v>
      </c>
      <c r="C51" s="62" t="s">
        <v>479</v>
      </c>
      <c r="D51" s="62" t="s">
        <v>480</v>
      </c>
      <c r="E51" s="94">
        <f>+940777558828</f>
        <v>940777558828</v>
      </c>
      <c r="F51" s="39"/>
      <c r="G51" s="39"/>
    </row>
    <row r="52">
      <c r="A52" s="108">
        <v>43746.0</v>
      </c>
      <c r="B52" s="62" t="s">
        <v>375</v>
      </c>
      <c r="C52" s="62" t="s">
        <v>481</v>
      </c>
      <c r="D52" s="62" t="s">
        <v>482</v>
      </c>
      <c r="E52" s="94">
        <f>+94714419796</f>
        <v>94714419796</v>
      </c>
      <c r="F52" s="39"/>
      <c r="G52" s="39"/>
    </row>
    <row r="53">
      <c r="A53" s="109">
        <v>43747.0</v>
      </c>
      <c r="B53" s="62" t="s">
        <v>375</v>
      </c>
      <c r="C53" s="62" t="s">
        <v>483</v>
      </c>
      <c r="D53" s="62" t="s">
        <v>484</v>
      </c>
      <c r="E53" s="94">
        <f>+94774206371</f>
        <v>94774206371</v>
      </c>
      <c r="F53" s="39"/>
      <c r="G53" s="39"/>
    </row>
    <row r="54">
      <c r="A54" s="109">
        <v>43747.0</v>
      </c>
      <c r="B54" s="62" t="s">
        <v>375</v>
      </c>
      <c r="C54" s="62" t="s">
        <v>485</v>
      </c>
      <c r="D54" s="62" t="s">
        <v>486</v>
      </c>
      <c r="E54" s="94">
        <f>+919951793603</f>
        <v>919951793603</v>
      </c>
      <c r="F54" s="39"/>
      <c r="G54" s="39"/>
    </row>
    <row r="55">
      <c r="A55" s="109">
        <v>43747.0</v>
      </c>
      <c r="B55" s="62" t="s">
        <v>375</v>
      </c>
      <c r="C55" s="62" t="s">
        <v>487</v>
      </c>
      <c r="D55" s="62" t="s">
        <v>488</v>
      </c>
      <c r="E55" s="94">
        <f>+940778973140</f>
        <v>940778973140</v>
      </c>
      <c r="F55" s="39"/>
      <c r="G55" s="39"/>
    </row>
    <row r="56">
      <c r="A56" s="109">
        <v>43747.0</v>
      </c>
      <c r="B56" s="62" t="s">
        <v>375</v>
      </c>
      <c r="C56" s="62" t="s">
        <v>489</v>
      </c>
      <c r="D56" s="62" t="s">
        <v>490</v>
      </c>
      <c r="E56" s="94">
        <f>+94778974947</f>
        <v>94778974947</v>
      </c>
      <c r="F56" s="39"/>
      <c r="G56" s="39"/>
    </row>
    <row r="57">
      <c r="A57" s="109">
        <v>43747.0</v>
      </c>
      <c r="B57" s="62" t="s">
        <v>375</v>
      </c>
      <c r="C57" s="62" t="s">
        <v>491</v>
      </c>
      <c r="D57" s="62" t="s">
        <v>492</v>
      </c>
      <c r="E57" s="94">
        <f>+94774228007</f>
        <v>94774228007</v>
      </c>
      <c r="F57" s="39"/>
      <c r="G57" s="39"/>
    </row>
    <row r="58">
      <c r="A58" s="109">
        <v>43747.0</v>
      </c>
      <c r="B58" s="62" t="s">
        <v>375</v>
      </c>
      <c r="C58" s="62" t="s">
        <v>493</v>
      </c>
      <c r="D58" s="62" t="s">
        <v>494</v>
      </c>
      <c r="E58" s="94">
        <f>+94777636922</f>
        <v>94777636922</v>
      </c>
      <c r="F58" s="39"/>
      <c r="G58" s="39"/>
    </row>
    <row r="59">
      <c r="A59" s="109">
        <v>43749.0</v>
      </c>
      <c r="B59" s="45" t="s">
        <v>375</v>
      </c>
      <c r="C59" s="110" t="s">
        <v>495</v>
      </c>
      <c r="D59" s="110" t="s">
        <v>496</v>
      </c>
      <c r="E59" s="105">
        <f>+94715335686</f>
        <v>94715335686</v>
      </c>
      <c r="F59" s="39"/>
      <c r="G59" s="39"/>
    </row>
    <row r="60">
      <c r="A60" s="111">
        <v>43749.0</v>
      </c>
      <c r="B60" s="49" t="s">
        <v>375</v>
      </c>
      <c r="C60" s="112" t="s">
        <v>497</v>
      </c>
      <c r="D60" s="112" t="s">
        <v>498</v>
      </c>
      <c r="E60" s="107">
        <f>+94777797614</f>
        <v>94777797614</v>
      </c>
      <c r="F60" s="39"/>
      <c r="G60" s="39"/>
    </row>
    <row r="61">
      <c r="A61" s="111">
        <v>43749.0</v>
      </c>
      <c r="B61" s="49" t="s">
        <v>375</v>
      </c>
      <c r="C61" s="112" t="s">
        <v>499</v>
      </c>
      <c r="D61" s="112" t="s">
        <v>500</v>
      </c>
      <c r="E61" s="107">
        <f>+94772227837</f>
        <v>94772227837</v>
      </c>
      <c r="F61" s="39"/>
      <c r="G61" s="39"/>
    </row>
    <row r="62">
      <c r="A62" s="111">
        <v>43749.0</v>
      </c>
      <c r="B62" s="49" t="s">
        <v>375</v>
      </c>
      <c r="C62" s="112" t="s">
        <v>501</v>
      </c>
      <c r="D62" s="112" t="s">
        <v>502</v>
      </c>
      <c r="E62" s="107">
        <f>+94715363601</f>
        <v>94715363601</v>
      </c>
      <c r="F62" s="39"/>
      <c r="G62" s="39"/>
    </row>
    <row r="63">
      <c r="A63" s="86"/>
      <c r="E63" s="113"/>
    </row>
    <row r="64">
      <c r="A64" s="86"/>
      <c r="E64" s="113"/>
    </row>
    <row r="65">
      <c r="A65" s="86"/>
      <c r="E65" s="113"/>
    </row>
    <row r="66">
      <c r="A66" s="86"/>
      <c r="E66" s="113"/>
    </row>
    <row r="67">
      <c r="A67" s="86"/>
      <c r="E67" s="113"/>
    </row>
    <row r="68">
      <c r="A68" s="86"/>
      <c r="E68" s="113"/>
    </row>
    <row r="69">
      <c r="A69" s="86"/>
      <c r="E69" s="113"/>
    </row>
    <row r="70">
      <c r="A70" s="86"/>
      <c r="E70" s="113"/>
    </row>
    <row r="71">
      <c r="A71" s="86"/>
      <c r="E71" s="113"/>
    </row>
    <row r="72">
      <c r="A72" s="86"/>
      <c r="E72" s="113"/>
    </row>
    <row r="73">
      <c r="A73" s="86"/>
      <c r="E73" s="113"/>
    </row>
    <row r="74">
      <c r="A74" s="86"/>
      <c r="E74" s="113"/>
    </row>
    <row r="75">
      <c r="A75" s="86"/>
      <c r="E75" s="113"/>
    </row>
    <row r="76">
      <c r="A76" s="86"/>
      <c r="E76" s="113"/>
    </row>
    <row r="77">
      <c r="A77" s="86"/>
      <c r="E77" s="113"/>
    </row>
    <row r="78">
      <c r="A78" s="86"/>
      <c r="E78" s="113"/>
    </row>
    <row r="79">
      <c r="A79" s="86"/>
      <c r="E79" s="113"/>
    </row>
    <row r="80">
      <c r="A80" s="86"/>
      <c r="E80" s="113"/>
    </row>
    <row r="81">
      <c r="A81" s="86"/>
      <c r="E81" s="113"/>
    </row>
    <row r="82">
      <c r="A82" s="86"/>
      <c r="E82" s="113"/>
    </row>
    <row r="83">
      <c r="A83" s="86"/>
      <c r="E83" s="113"/>
    </row>
    <row r="84">
      <c r="A84" s="86"/>
      <c r="E84" s="113"/>
    </row>
    <row r="85">
      <c r="A85" s="86"/>
      <c r="E85" s="113"/>
    </row>
    <row r="86">
      <c r="A86" s="86"/>
      <c r="E86" s="113"/>
    </row>
    <row r="87">
      <c r="A87" s="86"/>
      <c r="E87" s="113"/>
    </row>
    <row r="88">
      <c r="A88" s="86"/>
      <c r="E88" s="113"/>
    </row>
    <row r="89">
      <c r="A89" s="86"/>
      <c r="E89" s="113"/>
    </row>
    <row r="90">
      <c r="A90" s="86"/>
      <c r="E90" s="113"/>
    </row>
    <row r="91">
      <c r="A91" s="86"/>
      <c r="E91" s="113"/>
    </row>
    <row r="92">
      <c r="A92" s="86"/>
      <c r="E92" s="113"/>
    </row>
    <row r="93">
      <c r="A93" s="86"/>
      <c r="E93" s="113"/>
    </row>
    <row r="94">
      <c r="A94" s="86"/>
      <c r="E94" s="113"/>
    </row>
    <row r="95">
      <c r="A95" s="86"/>
      <c r="E95" s="113"/>
    </row>
    <row r="96">
      <c r="A96" s="86"/>
      <c r="E96" s="113"/>
    </row>
    <row r="97">
      <c r="A97" s="86"/>
      <c r="E97" s="113"/>
    </row>
    <row r="98">
      <c r="A98" s="86"/>
      <c r="E98" s="113"/>
    </row>
    <row r="99">
      <c r="A99" s="86"/>
      <c r="E99" s="113"/>
    </row>
    <row r="100">
      <c r="A100" s="86"/>
      <c r="E100" s="113"/>
    </row>
    <row r="101">
      <c r="A101" s="86"/>
      <c r="E101" s="113"/>
    </row>
    <row r="102">
      <c r="A102" s="86"/>
      <c r="E102" s="113"/>
    </row>
    <row r="103">
      <c r="A103" s="86"/>
      <c r="E103" s="113"/>
    </row>
    <row r="104">
      <c r="A104" s="86"/>
      <c r="E104" s="113"/>
    </row>
    <row r="105">
      <c r="A105" s="86"/>
      <c r="E105" s="113"/>
    </row>
    <row r="106">
      <c r="A106" s="86"/>
      <c r="E106" s="113"/>
    </row>
    <row r="107">
      <c r="A107" s="86"/>
      <c r="E107" s="113"/>
    </row>
    <row r="108">
      <c r="A108" s="86"/>
      <c r="E108" s="113"/>
    </row>
    <row r="109">
      <c r="A109" s="86"/>
      <c r="E109" s="113"/>
    </row>
    <row r="110">
      <c r="A110" s="86"/>
      <c r="E110" s="113"/>
    </row>
    <row r="111">
      <c r="A111" s="86"/>
      <c r="E111" s="113"/>
    </row>
    <row r="112">
      <c r="A112" s="86"/>
      <c r="E112" s="113"/>
    </row>
    <row r="113">
      <c r="A113" s="86"/>
      <c r="E113" s="113"/>
    </row>
    <row r="114">
      <c r="A114" s="86"/>
      <c r="E114" s="113"/>
    </row>
    <row r="115">
      <c r="A115" s="86"/>
      <c r="E115" s="113"/>
    </row>
    <row r="116">
      <c r="A116" s="86"/>
      <c r="E116" s="113"/>
    </row>
    <row r="117">
      <c r="A117" s="86"/>
      <c r="E117" s="113"/>
    </row>
    <row r="118">
      <c r="A118" s="86"/>
      <c r="E118" s="113"/>
    </row>
    <row r="119">
      <c r="A119" s="86"/>
      <c r="E119" s="113"/>
    </row>
    <row r="120">
      <c r="A120" s="86"/>
      <c r="E120" s="113"/>
    </row>
    <row r="121">
      <c r="A121" s="86"/>
      <c r="E121" s="113"/>
    </row>
    <row r="122">
      <c r="A122" s="86"/>
      <c r="E122" s="113"/>
    </row>
    <row r="123">
      <c r="A123" s="86"/>
      <c r="E123" s="113"/>
    </row>
    <row r="124">
      <c r="A124" s="86"/>
      <c r="E124" s="113"/>
    </row>
    <row r="125">
      <c r="A125" s="86"/>
      <c r="E125" s="113"/>
    </row>
    <row r="126">
      <c r="A126" s="86"/>
      <c r="E126" s="113"/>
    </row>
    <row r="127">
      <c r="A127" s="86"/>
      <c r="E127" s="113"/>
    </row>
    <row r="128">
      <c r="A128" s="86"/>
      <c r="E128" s="113"/>
    </row>
    <row r="129">
      <c r="A129" s="86"/>
      <c r="E129" s="113"/>
    </row>
    <row r="130">
      <c r="A130" s="86"/>
      <c r="E130" s="113"/>
    </row>
    <row r="131">
      <c r="A131" s="86"/>
      <c r="E131" s="113"/>
    </row>
    <row r="132">
      <c r="A132" s="86"/>
      <c r="E132" s="113"/>
    </row>
    <row r="133">
      <c r="A133" s="86"/>
      <c r="E133" s="113"/>
    </row>
    <row r="134">
      <c r="A134" s="86"/>
      <c r="E134" s="113"/>
    </row>
    <row r="135">
      <c r="A135" s="86"/>
      <c r="E135" s="113"/>
    </row>
    <row r="136">
      <c r="A136" s="86"/>
      <c r="E136" s="113"/>
    </row>
    <row r="137">
      <c r="A137" s="86"/>
      <c r="E137" s="113"/>
    </row>
    <row r="138">
      <c r="A138" s="86"/>
      <c r="E138" s="113"/>
    </row>
    <row r="139">
      <c r="A139" s="86"/>
      <c r="E139" s="113"/>
    </row>
    <row r="140">
      <c r="A140" s="86"/>
      <c r="E140" s="113"/>
    </row>
    <row r="141">
      <c r="A141" s="86"/>
      <c r="E141" s="113"/>
    </row>
    <row r="142">
      <c r="A142" s="86"/>
      <c r="E142" s="113"/>
    </row>
    <row r="143">
      <c r="A143" s="86"/>
      <c r="E143" s="113"/>
    </row>
    <row r="144">
      <c r="A144" s="86"/>
      <c r="E144" s="113"/>
    </row>
    <row r="145">
      <c r="A145" s="86"/>
      <c r="E145" s="113"/>
    </row>
    <row r="146">
      <c r="A146" s="86"/>
      <c r="E146" s="113"/>
    </row>
    <row r="147">
      <c r="A147" s="86"/>
      <c r="E147" s="113"/>
    </row>
    <row r="148">
      <c r="A148" s="86"/>
      <c r="E148" s="113"/>
    </row>
    <row r="149">
      <c r="A149" s="86"/>
      <c r="E149" s="113"/>
    </row>
    <row r="150">
      <c r="A150" s="86"/>
      <c r="E150" s="113"/>
    </row>
    <row r="151">
      <c r="A151" s="86"/>
      <c r="E151" s="113"/>
    </row>
    <row r="152">
      <c r="A152" s="86"/>
      <c r="E152" s="113"/>
    </row>
    <row r="153">
      <c r="A153" s="86"/>
      <c r="E153" s="113"/>
    </row>
    <row r="154">
      <c r="A154" s="86"/>
      <c r="E154" s="113"/>
    </row>
    <row r="155">
      <c r="A155" s="86"/>
      <c r="E155" s="113"/>
    </row>
    <row r="156">
      <c r="A156" s="86"/>
      <c r="E156" s="113"/>
    </row>
    <row r="157">
      <c r="A157" s="86"/>
      <c r="E157" s="113"/>
    </row>
    <row r="158">
      <c r="A158" s="86"/>
      <c r="E158" s="113"/>
    </row>
    <row r="159">
      <c r="A159" s="86"/>
      <c r="E159" s="113"/>
    </row>
    <row r="160">
      <c r="A160" s="86"/>
      <c r="E160" s="113"/>
    </row>
    <row r="161">
      <c r="A161" s="86"/>
      <c r="E161" s="113"/>
    </row>
    <row r="162">
      <c r="A162" s="86"/>
      <c r="E162" s="113"/>
    </row>
    <row r="163">
      <c r="A163" s="86"/>
      <c r="E163" s="113"/>
    </row>
    <row r="164">
      <c r="A164" s="86"/>
      <c r="E164" s="113"/>
    </row>
    <row r="165">
      <c r="A165" s="86"/>
      <c r="E165" s="113"/>
    </row>
    <row r="166">
      <c r="A166" s="86"/>
      <c r="E166" s="113"/>
    </row>
    <row r="167">
      <c r="A167" s="86"/>
      <c r="E167" s="113"/>
    </row>
    <row r="168">
      <c r="A168" s="86"/>
      <c r="E168" s="113"/>
    </row>
    <row r="169">
      <c r="A169" s="86"/>
      <c r="E169" s="113"/>
    </row>
    <row r="170">
      <c r="A170" s="86"/>
      <c r="E170" s="113"/>
    </row>
    <row r="171">
      <c r="A171" s="86"/>
      <c r="E171" s="113"/>
    </row>
    <row r="172">
      <c r="A172" s="86"/>
      <c r="E172" s="113"/>
    </row>
    <row r="173">
      <c r="A173" s="86"/>
      <c r="E173" s="113"/>
    </row>
    <row r="174">
      <c r="A174" s="86"/>
      <c r="E174" s="113"/>
    </row>
    <row r="175">
      <c r="A175" s="86"/>
      <c r="E175" s="113"/>
    </row>
    <row r="176">
      <c r="A176" s="86"/>
      <c r="E176" s="113"/>
    </row>
    <row r="177">
      <c r="A177" s="86"/>
      <c r="E177" s="113"/>
    </row>
    <row r="178">
      <c r="A178" s="86"/>
      <c r="E178" s="113"/>
    </row>
    <row r="179">
      <c r="A179" s="86"/>
      <c r="E179" s="113"/>
    </row>
    <row r="180">
      <c r="A180" s="86"/>
      <c r="E180" s="113"/>
    </row>
    <row r="181">
      <c r="A181" s="86"/>
      <c r="E181" s="113"/>
    </row>
    <row r="182">
      <c r="A182" s="86"/>
      <c r="E182" s="113"/>
    </row>
    <row r="183">
      <c r="A183" s="86"/>
      <c r="E183" s="113"/>
    </row>
    <row r="184">
      <c r="A184" s="86"/>
      <c r="E184" s="113"/>
    </row>
    <row r="185">
      <c r="A185" s="86"/>
      <c r="E185" s="113"/>
    </row>
    <row r="186">
      <c r="A186" s="86"/>
      <c r="E186" s="113"/>
    </row>
    <row r="187">
      <c r="A187" s="86"/>
      <c r="E187" s="113"/>
    </row>
    <row r="188">
      <c r="A188" s="86"/>
      <c r="E188" s="113"/>
    </row>
    <row r="189">
      <c r="A189" s="86"/>
      <c r="E189" s="113"/>
    </row>
    <row r="190">
      <c r="A190" s="86"/>
      <c r="E190" s="113"/>
    </row>
    <row r="191">
      <c r="A191" s="86"/>
      <c r="E191" s="113"/>
    </row>
    <row r="192">
      <c r="A192" s="86"/>
      <c r="E192" s="113"/>
    </row>
    <row r="193">
      <c r="A193" s="86"/>
      <c r="E193" s="113"/>
    </row>
    <row r="194">
      <c r="A194" s="86"/>
      <c r="E194" s="113"/>
    </row>
    <row r="195">
      <c r="A195" s="86"/>
      <c r="E195" s="113"/>
    </row>
    <row r="196">
      <c r="A196" s="86"/>
      <c r="E196" s="113"/>
    </row>
    <row r="197">
      <c r="A197" s="86"/>
      <c r="E197" s="113"/>
    </row>
    <row r="198">
      <c r="A198" s="86"/>
      <c r="E198" s="113"/>
    </row>
    <row r="199">
      <c r="A199" s="86"/>
      <c r="E199" s="113"/>
    </row>
    <row r="200">
      <c r="A200" s="86"/>
      <c r="E200" s="113"/>
    </row>
    <row r="201">
      <c r="A201" s="86"/>
      <c r="E201" s="113"/>
    </row>
    <row r="202">
      <c r="A202" s="86"/>
      <c r="E202" s="113"/>
    </row>
    <row r="203">
      <c r="A203" s="86"/>
      <c r="E203" s="113"/>
    </row>
    <row r="204">
      <c r="A204" s="86"/>
      <c r="E204" s="113"/>
    </row>
    <row r="205">
      <c r="A205" s="86"/>
      <c r="E205" s="113"/>
    </row>
    <row r="206">
      <c r="A206" s="86"/>
      <c r="E206" s="113"/>
    </row>
    <row r="207">
      <c r="A207" s="86"/>
      <c r="E207" s="113"/>
    </row>
    <row r="208">
      <c r="A208" s="86"/>
      <c r="E208" s="113"/>
    </row>
    <row r="209">
      <c r="A209" s="86"/>
      <c r="E209" s="113"/>
    </row>
    <row r="210">
      <c r="A210" s="86"/>
      <c r="E210" s="113"/>
    </row>
    <row r="211">
      <c r="A211" s="86"/>
      <c r="E211" s="113"/>
    </row>
    <row r="212">
      <c r="A212" s="86"/>
      <c r="E212" s="113"/>
    </row>
    <row r="213">
      <c r="A213" s="86"/>
      <c r="E213" s="113"/>
    </row>
    <row r="214">
      <c r="A214" s="86"/>
      <c r="E214" s="113"/>
    </row>
    <row r="215">
      <c r="A215" s="86"/>
      <c r="E215" s="113"/>
    </row>
    <row r="216">
      <c r="A216" s="86"/>
      <c r="E216" s="113"/>
    </row>
    <row r="217">
      <c r="A217" s="86"/>
      <c r="E217" s="113"/>
    </row>
    <row r="218">
      <c r="A218" s="86"/>
      <c r="E218" s="113"/>
    </row>
    <row r="219">
      <c r="A219" s="86"/>
      <c r="E219" s="113"/>
    </row>
    <row r="220">
      <c r="A220" s="86"/>
      <c r="E220" s="113"/>
    </row>
    <row r="221">
      <c r="A221" s="86"/>
      <c r="E221" s="113"/>
    </row>
    <row r="222">
      <c r="A222" s="86"/>
      <c r="E222" s="113"/>
    </row>
    <row r="223">
      <c r="A223" s="86"/>
      <c r="E223" s="113"/>
    </row>
    <row r="224">
      <c r="A224" s="86"/>
      <c r="E224" s="113"/>
    </row>
    <row r="225">
      <c r="A225" s="86"/>
      <c r="E225" s="113"/>
    </row>
    <row r="226">
      <c r="A226" s="86"/>
      <c r="E226" s="113"/>
    </row>
    <row r="227">
      <c r="A227" s="86"/>
      <c r="E227" s="113"/>
    </row>
    <row r="228">
      <c r="A228" s="86"/>
      <c r="E228" s="113"/>
    </row>
    <row r="229">
      <c r="A229" s="86"/>
      <c r="E229" s="113"/>
    </row>
    <row r="230">
      <c r="A230" s="86"/>
      <c r="E230" s="113"/>
    </row>
    <row r="231">
      <c r="A231" s="86"/>
      <c r="E231" s="113"/>
    </row>
    <row r="232">
      <c r="A232" s="86"/>
      <c r="E232" s="113"/>
    </row>
    <row r="233">
      <c r="A233" s="86"/>
      <c r="E233" s="113"/>
    </row>
    <row r="234">
      <c r="A234" s="86"/>
      <c r="E234" s="113"/>
    </row>
    <row r="235">
      <c r="A235" s="86"/>
      <c r="E235" s="113"/>
    </row>
    <row r="236">
      <c r="A236" s="86"/>
      <c r="E236" s="113"/>
    </row>
    <row r="237">
      <c r="A237" s="86"/>
      <c r="E237" s="113"/>
    </row>
    <row r="238">
      <c r="A238" s="86"/>
      <c r="E238" s="113"/>
    </row>
    <row r="239">
      <c r="A239" s="86"/>
      <c r="E239" s="113"/>
    </row>
    <row r="240">
      <c r="A240" s="86"/>
      <c r="E240" s="113"/>
    </row>
    <row r="241">
      <c r="A241" s="86"/>
      <c r="E241" s="113"/>
    </row>
    <row r="242">
      <c r="A242" s="86"/>
      <c r="E242" s="113"/>
    </row>
    <row r="243">
      <c r="A243" s="86"/>
      <c r="E243" s="113"/>
    </row>
    <row r="244">
      <c r="A244" s="86"/>
      <c r="E244" s="113"/>
    </row>
    <row r="245">
      <c r="A245" s="86"/>
      <c r="E245" s="113"/>
    </row>
    <row r="246">
      <c r="A246" s="86"/>
      <c r="E246" s="113"/>
    </row>
    <row r="247">
      <c r="A247" s="86"/>
      <c r="E247" s="113"/>
    </row>
    <row r="248">
      <c r="A248" s="86"/>
      <c r="E248" s="113"/>
    </row>
    <row r="249">
      <c r="A249" s="86"/>
      <c r="E249" s="113"/>
    </row>
    <row r="250">
      <c r="A250" s="86"/>
      <c r="E250" s="113"/>
    </row>
    <row r="251">
      <c r="A251" s="86"/>
      <c r="E251" s="113"/>
    </row>
    <row r="252">
      <c r="A252" s="86"/>
      <c r="E252" s="113"/>
    </row>
    <row r="253">
      <c r="A253" s="86"/>
      <c r="E253" s="113"/>
    </row>
    <row r="254">
      <c r="A254" s="86"/>
      <c r="E254" s="113"/>
    </row>
    <row r="255">
      <c r="A255" s="86"/>
      <c r="E255" s="113"/>
    </row>
    <row r="256">
      <c r="A256" s="86"/>
      <c r="E256" s="113"/>
    </row>
    <row r="257">
      <c r="A257" s="86"/>
      <c r="E257" s="113"/>
    </row>
    <row r="258">
      <c r="A258" s="86"/>
      <c r="E258" s="113"/>
    </row>
    <row r="259">
      <c r="A259" s="86"/>
      <c r="E259" s="113"/>
    </row>
    <row r="260">
      <c r="A260" s="86"/>
      <c r="E260" s="113"/>
    </row>
    <row r="261">
      <c r="A261" s="86"/>
      <c r="E261" s="113"/>
    </row>
    <row r="262">
      <c r="A262" s="86"/>
      <c r="E262" s="113"/>
    </row>
    <row r="263">
      <c r="A263" s="86"/>
      <c r="E263" s="113"/>
    </row>
    <row r="264">
      <c r="A264" s="86"/>
      <c r="E264" s="113"/>
    </row>
    <row r="265">
      <c r="A265" s="86"/>
      <c r="E265" s="113"/>
    </row>
    <row r="266">
      <c r="A266" s="86"/>
      <c r="E266" s="113"/>
    </row>
    <row r="267">
      <c r="A267" s="86"/>
      <c r="E267" s="113"/>
    </row>
    <row r="268">
      <c r="A268" s="86"/>
      <c r="E268" s="113"/>
    </row>
    <row r="269">
      <c r="A269" s="86"/>
      <c r="E269" s="113"/>
    </row>
    <row r="270">
      <c r="A270" s="86"/>
      <c r="E270" s="113"/>
    </row>
    <row r="271">
      <c r="A271" s="86"/>
      <c r="E271" s="113"/>
    </row>
    <row r="272">
      <c r="A272" s="86"/>
      <c r="E272" s="113"/>
    </row>
    <row r="273">
      <c r="A273" s="86"/>
      <c r="E273" s="113"/>
    </row>
    <row r="274">
      <c r="A274" s="86"/>
      <c r="E274" s="113"/>
    </row>
    <row r="275">
      <c r="A275" s="86"/>
      <c r="E275" s="113"/>
    </row>
    <row r="276">
      <c r="A276" s="86"/>
      <c r="E276" s="113"/>
    </row>
    <row r="277">
      <c r="A277" s="86"/>
      <c r="E277" s="113"/>
    </row>
    <row r="278">
      <c r="A278" s="86"/>
      <c r="E278" s="113"/>
    </row>
    <row r="279">
      <c r="A279" s="86"/>
      <c r="E279" s="113"/>
    </row>
    <row r="280">
      <c r="A280" s="86"/>
      <c r="E280" s="113"/>
    </row>
    <row r="281">
      <c r="A281" s="86"/>
      <c r="E281" s="113"/>
    </row>
    <row r="282">
      <c r="A282" s="86"/>
      <c r="E282" s="113"/>
    </row>
    <row r="283">
      <c r="A283" s="86"/>
      <c r="E283" s="113"/>
    </row>
    <row r="284">
      <c r="A284" s="86"/>
      <c r="E284" s="113"/>
    </row>
    <row r="285">
      <c r="A285" s="86"/>
      <c r="E285" s="113"/>
    </row>
    <row r="286">
      <c r="A286" s="86"/>
      <c r="E286" s="113"/>
    </row>
    <row r="287">
      <c r="A287" s="86"/>
      <c r="E287" s="113"/>
    </row>
    <row r="288">
      <c r="A288" s="86"/>
      <c r="E288" s="113"/>
    </row>
    <row r="289">
      <c r="A289" s="86"/>
      <c r="E289" s="113"/>
    </row>
    <row r="290">
      <c r="A290" s="86"/>
      <c r="E290" s="113"/>
    </row>
    <row r="291">
      <c r="A291" s="86"/>
      <c r="E291" s="113"/>
    </row>
    <row r="292">
      <c r="A292" s="86"/>
      <c r="E292" s="113"/>
    </row>
    <row r="293">
      <c r="A293" s="86"/>
      <c r="E293" s="113"/>
    </row>
    <row r="294">
      <c r="A294" s="86"/>
      <c r="E294" s="113"/>
    </row>
    <row r="295">
      <c r="A295" s="86"/>
      <c r="E295" s="113"/>
    </row>
    <row r="296">
      <c r="A296" s="86"/>
      <c r="E296" s="113"/>
    </row>
    <row r="297">
      <c r="A297" s="86"/>
      <c r="E297" s="113"/>
    </row>
    <row r="298">
      <c r="A298" s="86"/>
      <c r="E298" s="113"/>
    </row>
    <row r="299">
      <c r="A299" s="86"/>
      <c r="E299" s="113"/>
    </row>
    <row r="300">
      <c r="A300" s="86"/>
      <c r="E300" s="113"/>
    </row>
    <row r="301">
      <c r="A301" s="86"/>
      <c r="E301" s="113"/>
    </row>
    <row r="302">
      <c r="A302" s="86"/>
      <c r="E302" s="113"/>
    </row>
    <row r="303">
      <c r="A303" s="86"/>
      <c r="E303" s="113"/>
    </row>
    <row r="304">
      <c r="A304" s="86"/>
      <c r="E304" s="113"/>
    </row>
    <row r="305">
      <c r="A305" s="86"/>
      <c r="E305" s="113"/>
    </row>
    <row r="306">
      <c r="A306" s="86"/>
      <c r="E306" s="113"/>
    </row>
    <row r="307">
      <c r="A307" s="86"/>
      <c r="E307" s="113"/>
    </row>
    <row r="308">
      <c r="A308" s="86"/>
      <c r="E308" s="113"/>
    </row>
    <row r="309">
      <c r="A309" s="86"/>
      <c r="E309" s="113"/>
    </row>
    <row r="310">
      <c r="A310" s="86"/>
      <c r="E310" s="113"/>
    </row>
    <row r="311">
      <c r="A311" s="86"/>
      <c r="E311" s="113"/>
    </row>
    <row r="312">
      <c r="A312" s="86"/>
      <c r="E312" s="113"/>
    </row>
    <row r="313">
      <c r="A313" s="86"/>
      <c r="E313" s="113"/>
    </row>
    <row r="314">
      <c r="A314" s="86"/>
      <c r="E314" s="113"/>
    </row>
    <row r="315">
      <c r="A315" s="86"/>
      <c r="E315" s="113"/>
    </row>
    <row r="316">
      <c r="A316" s="86"/>
      <c r="E316" s="113"/>
    </row>
    <row r="317">
      <c r="A317" s="86"/>
      <c r="E317" s="113"/>
    </row>
    <row r="318">
      <c r="A318" s="86"/>
      <c r="E318" s="113"/>
    </row>
    <row r="319">
      <c r="A319" s="86"/>
      <c r="E319" s="113"/>
    </row>
    <row r="320">
      <c r="A320" s="86"/>
      <c r="E320" s="113"/>
    </row>
    <row r="321">
      <c r="A321" s="86"/>
      <c r="E321" s="113"/>
    </row>
    <row r="322">
      <c r="A322" s="86"/>
      <c r="E322" s="113"/>
    </row>
    <row r="323">
      <c r="A323" s="86"/>
      <c r="E323" s="113"/>
    </row>
    <row r="324">
      <c r="A324" s="86"/>
      <c r="E324" s="113"/>
    </row>
    <row r="325">
      <c r="A325" s="86"/>
      <c r="E325" s="113"/>
    </row>
    <row r="326">
      <c r="A326" s="86"/>
      <c r="E326" s="113"/>
    </row>
    <row r="327">
      <c r="A327" s="86"/>
      <c r="E327" s="113"/>
    </row>
    <row r="328">
      <c r="A328" s="86"/>
      <c r="E328" s="113"/>
    </row>
    <row r="329">
      <c r="A329" s="86"/>
      <c r="E329" s="113"/>
    </row>
    <row r="330">
      <c r="A330" s="86"/>
      <c r="E330" s="113"/>
    </row>
    <row r="331">
      <c r="A331" s="86"/>
      <c r="E331" s="113"/>
    </row>
    <row r="332">
      <c r="A332" s="86"/>
      <c r="E332" s="113"/>
    </row>
    <row r="333">
      <c r="A333" s="86"/>
      <c r="E333" s="113"/>
    </row>
    <row r="334">
      <c r="A334" s="86"/>
      <c r="E334" s="113"/>
    </row>
    <row r="335">
      <c r="A335" s="86"/>
      <c r="E335" s="113"/>
    </row>
    <row r="336">
      <c r="A336" s="86"/>
      <c r="E336" s="113"/>
    </row>
    <row r="337">
      <c r="A337" s="86"/>
      <c r="E337" s="113"/>
    </row>
    <row r="338">
      <c r="A338" s="86"/>
      <c r="E338" s="113"/>
    </row>
    <row r="339">
      <c r="A339" s="86"/>
      <c r="E339" s="113"/>
    </row>
    <row r="340">
      <c r="A340" s="86"/>
      <c r="E340" s="113"/>
    </row>
    <row r="341">
      <c r="A341" s="86"/>
      <c r="E341" s="113"/>
    </row>
    <row r="342">
      <c r="A342" s="86"/>
      <c r="E342" s="113"/>
    </row>
    <row r="343">
      <c r="A343" s="86"/>
      <c r="E343" s="113"/>
    </row>
    <row r="344">
      <c r="A344" s="86"/>
      <c r="E344" s="113"/>
    </row>
    <row r="345">
      <c r="A345" s="86"/>
      <c r="E345" s="113"/>
    </row>
    <row r="346">
      <c r="A346" s="86"/>
      <c r="E346" s="113"/>
    </row>
    <row r="347">
      <c r="A347" s="86"/>
      <c r="E347" s="113"/>
    </row>
    <row r="348">
      <c r="A348" s="86"/>
      <c r="E348" s="113"/>
    </row>
    <row r="349">
      <c r="A349" s="86"/>
      <c r="E349" s="113"/>
    </row>
    <row r="350">
      <c r="A350" s="86"/>
      <c r="E350" s="113"/>
    </row>
    <row r="351">
      <c r="A351" s="86"/>
      <c r="E351" s="113"/>
    </row>
    <row r="352">
      <c r="A352" s="86"/>
      <c r="E352" s="113"/>
    </row>
    <row r="353">
      <c r="A353" s="86"/>
      <c r="E353" s="113"/>
    </row>
    <row r="354">
      <c r="A354" s="86"/>
      <c r="E354" s="113"/>
    </row>
    <row r="355">
      <c r="A355" s="86"/>
      <c r="E355" s="113"/>
    </row>
    <row r="356">
      <c r="A356" s="86"/>
      <c r="E356" s="113"/>
    </row>
    <row r="357">
      <c r="A357" s="86"/>
      <c r="E357" s="113"/>
    </row>
    <row r="358">
      <c r="A358" s="86"/>
      <c r="E358" s="113"/>
    </row>
    <row r="359">
      <c r="A359" s="86"/>
      <c r="E359" s="113"/>
    </row>
    <row r="360">
      <c r="A360" s="86"/>
      <c r="E360" s="113"/>
    </row>
    <row r="361">
      <c r="A361" s="86"/>
      <c r="E361" s="113"/>
    </row>
    <row r="362">
      <c r="A362" s="86"/>
      <c r="E362" s="113"/>
    </row>
    <row r="363">
      <c r="A363" s="86"/>
      <c r="E363" s="113"/>
    </row>
    <row r="364">
      <c r="A364" s="86"/>
      <c r="E364" s="113"/>
    </row>
    <row r="365">
      <c r="A365" s="86"/>
      <c r="E365" s="113"/>
    </row>
    <row r="366">
      <c r="A366" s="86"/>
      <c r="E366" s="113"/>
    </row>
    <row r="367">
      <c r="A367" s="86"/>
      <c r="E367" s="113"/>
    </row>
    <row r="368">
      <c r="A368" s="86"/>
      <c r="E368" s="113"/>
    </row>
    <row r="369">
      <c r="A369" s="86"/>
      <c r="E369" s="113"/>
    </row>
    <row r="370">
      <c r="A370" s="86"/>
      <c r="E370" s="113"/>
    </row>
    <row r="371">
      <c r="A371" s="86"/>
      <c r="E371" s="113"/>
    </row>
    <row r="372">
      <c r="A372" s="86"/>
      <c r="E372" s="113"/>
    </row>
    <row r="373">
      <c r="A373" s="86"/>
      <c r="E373" s="113"/>
    </row>
    <row r="374">
      <c r="A374" s="86"/>
      <c r="E374" s="113"/>
    </row>
    <row r="375">
      <c r="A375" s="86"/>
      <c r="E375" s="113"/>
    </row>
    <row r="376">
      <c r="A376" s="86"/>
      <c r="E376" s="113"/>
    </row>
    <row r="377">
      <c r="A377" s="86"/>
      <c r="E377" s="113"/>
    </row>
    <row r="378">
      <c r="A378" s="86"/>
      <c r="E378" s="113"/>
    </row>
    <row r="379">
      <c r="A379" s="86"/>
      <c r="E379" s="113"/>
    </row>
    <row r="380">
      <c r="A380" s="86"/>
      <c r="E380" s="113"/>
    </row>
    <row r="381">
      <c r="A381" s="86"/>
      <c r="E381" s="113"/>
    </row>
    <row r="382">
      <c r="A382" s="86"/>
      <c r="E382" s="113"/>
    </row>
    <row r="383">
      <c r="A383" s="86"/>
      <c r="E383" s="113"/>
    </row>
    <row r="384">
      <c r="A384" s="86"/>
      <c r="E384" s="113"/>
    </row>
    <row r="385">
      <c r="A385" s="86"/>
      <c r="E385" s="113"/>
    </row>
    <row r="386">
      <c r="A386" s="86"/>
      <c r="E386" s="113"/>
    </row>
    <row r="387">
      <c r="A387" s="86"/>
      <c r="E387" s="113"/>
    </row>
    <row r="388">
      <c r="A388" s="86"/>
      <c r="E388" s="113"/>
    </row>
    <row r="389">
      <c r="A389" s="86"/>
      <c r="E389" s="113"/>
    </row>
    <row r="390">
      <c r="A390" s="86"/>
      <c r="E390" s="113"/>
    </row>
    <row r="391">
      <c r="A391" s="86"/>
      <c r="E391" s="113"/>
    </row>
    <row r="392">
      <c r="A392" s="86"/>
      <c r="E392" s="113"/>
    </row>
    <row r="393">
      <c r="A393" s="86"/>
      <c r="E393" s="113"/>
    </row>
    <row r="394">
      <c r="A394" s="86"/>
      <c r="E394" s="113"/>
    </row>
    <row r="395">
      <c r="A395" s="86"/>
      <c r="E395" s="113"/>
    </row>
    <row r="396">
      <c r="A396" s="86"/>
      <c r="E396" s="113"/>
    </row>
    <row r="397">
      <c r="A397" s="86"/>
      <c r="E397" s="113"/>
    </row>
    <row r="398">
      <c r="A398" s="86"/>
      <c r="E398" s="113"/>
    </row>
    <row r="399">
      <c r="A399" s="86"/>
      <c r="E399" s="113"/>
    </row>
    <row r="400">
      <c r="A400" s="86"/>
      <c r="E400" s="113"/>
    </row>
    <row r="401">
      <c r="A401" s="86"/>
      <c r="E401" s="113"/>
    </row>
    <row r="402">
      <c r="A402" s="86"/>
      <c r="E402" s="113"/>
    </row>
    <row r="403">
      <c r="A403" s="86"/>
      <c r="E403" s="113"/>
    </row>
    <row r="404">
      <c r="A404" s="86"/>
      <c r="E404" s="113"/>
    </row>
    <row r="405">
      <c r="A405" s="86"/>
      <c r="E405" s="113"/>
    </row>
    <row r="406">
      <c r="A406" s="86"/>
      <c r="E406" s="113"/>
    </row>
    <row r="407">
      <c r="A407" s="86"/>
      <c r="E407" s="113"/>
    </row>
    <row r="408">
      <c r="A408" s="86"/>
      <c r="E408" s="113"/>
    </row>
    <row r="409">
      <c r="A409" s="86"/>
      <c r="E409" s="113"/>
    </row>
    <row r="410">
      <c r="A410" s="86"/>
      <c r="E410" s="113"/>
    </row>
    <row r="411">
      <c r="A411" s="86"/>
      <c r="E411" s="113"/>
    </row>
    <row r="412">
      <c r="A412" s="86"/>
      <c r="E412" s="113"/>
    </row>
    <row r="413">
      <c r="A413" s="86"/>
      <c r="E413" s="113"/>
    </row>
    <row r="414">
      <c r="A414" s="86"/>
      <c r="E414" s="113"/>
    </row>
    <row r="415">
      <c r="A415" s="86"/>
      <c r="E415" s="113"/>
    </row>
    <row r="416">
      <c r="A416" s="86"/>
      <c r="E416" s="113"/>
    </row>
    <row r="417">
      <c r="A417" s="86"/>
      <c r="E417" s="113"/>
    </row>
    <row r="418">
      <c r="A418" s="86"/>
      <c r="E418" s="113"/>
    </row>
    <row r="419">
      <c r="A419" s="86"/>
      <c r="E419" s="113"/>
    </row>
    <row r="420">
      <c r="A420" s="86"/>
      <c r="E420" s="113"/>
    </row>
    <row r="421">
      <c r="A421" s="86"/>
      <c r="E421" s="113"/>
    </row>
    <row r="422">
      <c r="A422" s="86"/>
      <c r="E422" s="113"/>
    </row>
    <row r="423">
      <c r="A423" s="86"/>
      <c r="E423" s="113"/>
    </row>
    <row r="424">
      <c r="A424" s="86"/>
      <c r="E424" s="113"/>
    </row>
    <row r="425">
      <c r="A425" s="86"/>
      <c r="E425" s="113"/>
    </row>
    <row r="426">
      <c r="A426" s="86"/>
      <c r="E426" s="113"/>
    </row>
    <row r="427">
      <c r="A427" s="86"/>
      <c r="E427" s="113"/>
    </row>
    <row r="428">
      <c r="A428" s="86"/>
      <c r="E428" s="113"/>
    </row>
    <row r="429">
      <c r="A429" s="86"/>
      <c r="E429" s="113"/>
    </row>
    <row r="430">
      <c r="A430" s="86"/>
      <c r="E430" s="113"/>
    </row>
    <row r="431">
      <c r="A431" s="86"/>
      <c r="E431" s="113"/>
    </row>
    <row r="432">
      <c r="A432" s="86"/>
      <c r="E432" s="113"/>
    </row>
    <row r="433">
      <c r="A433" s="86"/>
      <c r="E433" s="113"/>
    </row>
    <row r="434">
      <c r="A434" s="86"/>
      <c r="E434" s="113"/>
    </row>
    <row r="435">
      <c r="A435" s="86"/>
      <c r="E435" s="113"/>
    </row>
    <row r="436">
      <c r="A436" s="86"/>
      <c r="E436" s="113"/>
    </row>
    <row r="437">
      <c r="A437" s="86"/>
      <c r="E437" s="113"/>
    </row>
    <row r="438">
      <c r="A438" s="86"/>
      <c r="E438" s="113"/>
    </row>
    <row r="439">
      <c r="A439" s="86"/>
      <c r="E439" s="113"/>
    </row>
    <row r="440">
      <c r="A440" s="86"/>
      <c r="E440" s="113"/>
    </row>
    <row r="441">
      <c r="A441" s="86"/>
      <c r="E441" s="113"/>
    </row>
    <row r="442">
      <c r="A442" s="86"/>
      <c r="E442" s="113"/>
    </row>
    <row r="443">
      <c r="A443" s="86"/>
      <c r="E443" s="113"/>
    </row>
    <row r="444">
      <c r="A444" s="86"/>
      <c r="E444" s="113"/>
    </row>
    <row r="445">
      <c r="A445" s="86"/>
      <c r="E445" s="113"/>
    </row>
    <row r="446">
      <c r="A446" s="86"/>
      <c r="E446" s="113"/>
    </row>
    <row r="447">
      <c r="A447" s="86"/>
      <c r="E447" s="113"/>
    </row>
    <row r="448">
      <c r="A448" s="86"/>
      <c r="E448" s="113"/>
    </row>
    <row r="449">
      <c r="A449" s="86"/>
      <c r="E449" s="113"/>
    </row>
    <row r="450">
      <c r="A450" s="86"/>
      <c r="E450" s="113"/>
    </row>
    <row r="451">
      <c r="A451" s="86"/>
      <c r="E451" s="113"/>
    </row>
    <row r="452">
      <c r="A452" s="86"/>
      <c r="E452" s="113"/>
    </row>
    <row r="453">
      <c r="A453" s="86"/>
      <c r="E453" s="113"/>
    </row>
    <row r="454">
      <c r="A454" s="86"/>
      <c r="E454" s="113"/>
    </row>
    <row r="455">
      <c r="A455" s="86"/>
      <c r="E455" s="113"/>
    </row>
    <row r="456">
      <c r="A456" s="86"/>
      <c r="E456" s="113"/>
    </row>
    <row r="457">
      <c r="A457" s="86"/>
      <c r="E457" s="113"/>
    </row>
    <row r="458">
      <c r="A458" s="86"/>
      <c r="E458" s="113"/>
    </row>
    <row r="459">
      <c r="A459" s="86"/>
      <c r="E459" s="113"/>
    </row>
    <row r="460">
      <c r="A460" s="86"/>
      <c r="E460" s="113"/>
    </row>
    <row r="461">
      <c r="A461" s="86"/>
      <c r="E461" s="113"/>
    </row>
    <row r="462">
      <c r="A462" s="86"/>
      <c r="E462" s="113"/>
    </row>
    <row r="463">
      <c r="A463" s="86"/>
      <c r="E463" s="113"/>
    </row>
    <row r="464">
      <c r="A464" s="86"/>
      <c r="E464" s="113"/>
    </row>
    <row r="465">
      <c r="A465" s="86"/>
      <c r="E465" s="113"/>
    </row>
    <row r="466">
      <c r="A466" s="86"/>
      <c r="E466" s="113"/>
    </row>
    <row r="467">
      <c r="A467" s="86"/>
      <c r="E467" s="113"/>
    </row>
    <row r="468">
      <c r="A468" s="86"/>
      <c r="E468" s="113"/>
    </row>
    <row r="469">
      <c r="A469" s="86"/>
      <c r="E469" s="113"/>
    </row>
    <row r="470">
      <c r="A470" s="86"/>
      <c r="E470" s="113"/>
    </row>
    <row r="471">
      <c r="A471" s="86"/>
      <c r="E471" s="113"/>
    </row>
    <row r="472">
      <c r="A472" s="86"/>
      <c r="E472" s="113"/>
    </row>
    <row r="473">
      <c r="A473" s="86"/>
      <c r="E473" s="113"/>
    </row>
    <row r="474">
      <c r="A474" s="86"/>
      <c r="E474" s="113"/>
    </row>
    <row r="475">
      <c r="A475" s="86"/>
      <c r="E475" s="113"/>
    </row>
    <row r="476">
      <c r="A476" s="86"/>
      <c r="E476" s="113"/>
    </row>
    <row r="477">
      <c r="A477" s="86"/>
      <c r="E477" s="113"/>
    </row>
    <row r="478">
      <c r="A478" s="86"/>
      <c r="E478" s="113"/>
    </row>
    <row r="479">
      <c r="A479" s="86"/>
      <c r="E479" s="113"/>
    </row>
    <row r="480">
      <c r="A480" s="86"/>
      <c r="E480" s="113"/>
    </row>
    <row r="481">
      <c r="A481" s="86"/>
      <c r="E481" s="113"/>
    </row>
    <row r="482">
      <c r="A482" s="86"/>
      <c r="E482" s="113"/>
    </row>
    <row r="483">
      <c r="A483" s="86"/>
      <c r="E483" s="113"/>
    </row>
    <row r="484">
      <c r="A484" s="86"/>
      <c r="E484" s="113"/>
    </row>
    <row r="485">
      <c r="A485" s="86"/>
      <c r="E485" s="113"/>
    </row>
    <row r="486">
      <c r="A486" s="86"/>
      <c r="E486" s="113"/>
    </row>
    <row r="487">
      <c r="A487" s="86"/>
      <c r="E487" s="113"/>
    </row>
    <row r="488">
      <c r="A488" s="86"/>
      <c r="E488" s="113"/>
    </row>
    <row r="489">
      <c r="A489" s="86"/>
      <c r="E489" s="113"/>
    </row>
    <row r="490">
      <c r="A490" s="86"/>
      <c r="E490" s="113"/>
    </row>
    <row r="491">
      <c r="A491" s="86"/>
      <c r="E491" s="113"/>
    </row>
    <row r="492">
      <c r="A492" s="86"/>
      <c r="E492" s="113"/>
    </row>
    <row r="493">
      <c r="A493" s="86"/>
      <c r="E493" s="113"/>
    </row>
    <row r="494">
      <c r="A494" s="86"/>
      <c r="E494" s="113"/>
    </row>
    <row r="495">
      <c r="A495" s="86"/>
      <c r="E495" s="113"/>
    </row>
    <row r="496">
      <c r="A496" s="86"/>
      <c r="E496" s="113"/>
    </row>
    <row r="497">
      <c r="A497" s="86"/>
      <c r="E497" s="113"/>
    </row>
    <row r="498">
      <c r="A498" s="86"/>
      <c r="E498" s="113"/>
    </row>
    <row r="499">
      <c r="A499" s="86"/>
      <c r="E499" s="113"/>
    </row>
    <row r="500">
      <c r="A500" s="86"/>
      <c r="E500" s="113"/>
    </row>
    <row r="501">
      <c r="A501" s="86"/>
      <c r="E501" s="113"/>
    </row>
    <row r="502">
      <c r="A502" s="86"/>
      <c r="E502" s="113"/>
    </row>
    <row r="503">
      <c r="A503" s="86"/>
      <c r="E503" s="113"/>
    </row>
    <row r="504">
      <c r="A504" s="86"/>
      <c r="E504" s="113"/>
    </row>
    <row r="505">
      <c r="A505" s="86"/>
      <c r="E505" s="113"/>
    </row>
    <row r="506">
      <c r="A506" s="86"/>
      <c r="E506" s="113"/>
    </row>
    <row r="507">
      <c r="A507" s="86"/>
      <c r="E507" s="113"/>
    </row>
    <row r="508">
      <c r="A508" s="86"/>
      <c r="E508" s="113"/>
    </row>
    <row r="509">
      <c r="A509" s="86"/>
      <c r="E509" s="113"/>
    </row>
    <row r="510">
      <c r="A510" s="86"/>
      <c r="E510" s="113"/>
    </row>
    <row r="511">
      <c r="A511" s="86"/>
      <c r="E511" s="113"/>
    </row>
    <row r="512">
      <c r="A512" s="86"/>
      <c r="E512" s="113"/>
    </row>
    <row r="513">
      <c r="A513" s="86"/>
      <c r="E513" s="113"/>
    </row>
    <row r="514">
      <c r="A514" s="86"/>
      <c r="E514" s="113"/>
    </row>
    <row r="515">
      <c r="A515" s="86"/>
      <c r="E515" s="113"/>
    </row>
    <row r="516">
      <c r="A516" s="86"/>
      <c r="E516" s="113"/>
    </row>
    <row r="517">
      <c r="A517" s="86"/>
      <c r="E517" s="113"/>
    </row>
    <row r="518">
      <c r="A518" s="86"/>
      <c r="E518" s="113"/>
    </row>
    <row r="519">
      <c r="A519" s="86"/>
      <c r="E519" s="113"/>
    </row>
    <row r="520">
      <c r="A520" s="86"/>
      <c r="E520" s="113"/>
    </row>
    <row r="521">
      <c r="A521" s="86"/>
      <c r="E521" s="113"/>
    </row>
    <row r="522">
      <c r="A522" s="86"/>
      <c r="E522" s="113"/>
    </row>
    <row r="523">
      <c r="A523" s="86"/>
      <c r="E523" s="113"/>
    </row>
    <row r="524">
      <c r="A524" s="86"/>
      <c r="E524" s="113"/>
    </row>
    <row r="525">
      <c r="A525" s="86"/>
      <c r="E525" s="113"/>
    </row>
    <row r="526">
      <c r="A526" s="86"/>
      <c r="E526" s="113"/>
    </row>
    <row r="527">
      <c r="A527" s="86"/>
      <c r="E527" s="113"/>
    </row>
    <row r="528">
      <c r="A528" s="86"/>
      <c r="E528" s="113"/>
    </row>
    <row r="529">
      <c r="A529" s="86"/>
      <c r="E529" s="113"/>
    </row>
    <row r="530">
      <c r="A530" s="86"/>
      <c r="E530" s="113"/>
    </row>
    <row r="531">
      <c r="A531" s="86"/>
      <c r="E531" s="113"/>
    </row>
    <row r="532">
      <c r="A532" s="86"/>
      <c r="E532" s="113"/>
    </row>
    <row r="533">
      <c r="A533" s="86"/>
      <c r="E533" s="113"/>
    </row>
    <row r="534">
      <c r="A534" s="86"/>
      <c r="E534" s="113"/>
    </row>
    <row r="535">
      <c r="A535" s="86"/>
      <c r="E535" s="113"/>
    </row>
    <row r="536">
      <c r="A536" s="86"/>
      <c r="E536" s="113"/>
    </row>
    <row r="537">
      <c r="A537" s="86"/>
      <c r="E537" s="113"/>
    </row>
    <row r="538">
      <c r="A538" s="86"/>
      <c r="E538" s="113"/>
    </row>
    <row r="539">
      <c r="A539" s="86"/>
      <c r="E539" s="113"/>
    </row>
    <row r="540">
      <c r="A540" s="86"/>
      <c r="E540" s="113"/>
    </row>
    <row r="541">
      <c r="A541" s="86"/>
      <c r="E541" s="113"/>
    </row>
    <row r="542">
      <c r="A542" s="86"/>
      <c r="E542" s="113"/>
    </row>
    <row r="543">
      <c r="A543" s="86"/>
      <c r="E543" s="113"/>
    </row>
    <row r="544">
      <c r="A544" s="86"/>
      <c r="E544" s="113"/>
    </row>
    <row r="545">
      <c r="A545" s="86"/>
      <c r="E545" s="113"/>
    </row>
    <row r="546">
      <c r="A546" s="86"/>
      <c r="E546" s="113"/>
    </row>
    <row r="547">
      <c r="A547" s="86"/>
      <c r="E547" s="113"/>
    </row>
    <row r="548">
      <c r="A548" s="86"/>
      <c r="E548" s="113"/>
    </row>
    <row r="549">
      <c r="A549" s="86"/>
      <c r="E549" s="113"/>
    </row>
    <row r="550">
      <c r="A550" s="86"/>
      <c r="E550" s="113"/>
    </row>
    <row r="551">
      <c r="A551" s="86"/>
      <c r="E551" s="113"/>
    </row>
    <row r="552">
      <c r="A552" s="86"/>
      <c r="E552" s="113"/>
    </row>
    <row r="553">
      <c r="A553" s="86"/>
      <c r="E553" s="113"/>
    </row>
    <row r="554">
      <c r="A554" s="86"/>
      <c r="E554" s="113"/>
    </row>
    <row r="555">
      <c r="A555" s="86"/>
      <c r="E555" s="113"/>
    </row>
    <row r="556">
      <c r="A556" s="86"/>
      <c r="E556" s="113"/>
    </row>
    <row r="557">
      <c r="A557" s="86"/>
      <c r="E557" s="113"/>
    </row>
    <row r="558">
      <c r="A558" s="86"/>
      <c r="E558" s="113"/>
    </row>
    <row r="559">
      <c r="A559" s="86"/>
      <c r="E559" s="113"/>
    </row>
    <row r="560">
      <c r="A560" s="86"/>
      <c r="E560" s="113"/>
    </row>
    <row r="561">
      <c r="A561" s="86"/>
      <c r="E561" s="113"/>
    </row>
    <row r="562">
      <c r="A562" s="86"/>
      <c r="E562" s="113"/>
    </row>
    <row r="563">
      <c r="A563" s="86"/>
      <c r="E563" s="113"/>
    </row>
    <row r="564">
      <c r="A564" s="86"/>
      <c r="E564" s="113"/>
    </row>
    <row r="565">
      <c r="A565" s="86"/>
      <c r="E565" s="113"/>
    </row>
    <row r="566">
      <c r="A566" s="86"/>
      <c r="E566" s="113"/>
    </row>
    <row r="567">
      <c r="A567" s="86"/>
      <c r="E567" s="113"/>
    </row>
    <row r="568">
      <c r="A568" s="86"/>
      <c r="E568" s="113"/>
    </row>
    <row r="569">
      <c r="A569" s="86"/>
      <c r="E569" s="113"/>
    </row>
    <row r="570">
      <c r="A570" s="86"/>
      <c r="E570" s="113"/>
    </row>
    <row r="571">
      <c r="A571" s="86"/>
      <c r="E571" s="113"/>
    </row>
    <row r="572">
      <c r="A572" s="86"/>
      <c r="E572" s="113"/>
    </row>
    <row r="573">
      <c r="A573" s="86"/>
      <c r="E573" s="113"/>
    </row>
    <row r="574">
      <c r="A574" s="86"/>
      <c r="E574" s="113"/>
    </row>
    <row r="575">
      <c r="A575" s="86"/>
      <c r="E575" s="113"/>
    </row>
    <row r="576">
      <c r="A576" s="86"/>
      <c r="E576" s="113"/>
    </row>
    <row r="577">
      <c r="A577" s="86"/>
      <c r="E577" s="113"/>
    </row>
    <row r="578">
      <c r="A578" s="86"/>
      <c r="E578" s="113"/>
    </row>
    <row r="579">
      <c r="A579" s="86"/>
      <c r="E579" s="113"/>
    </row>
    <row r="580">
      <c r="A580" s="86"/>
      <c r="E580" s="113"/>
    </row>
    <row r="581">
      <c r="A581" s="86"/>
      <c r="E581" s="113"/>
    </row>
    <row r="582">
      <c r="A582" s="86"/>
      <c r="E582" s="113"/>
    </row>
    <row r="583">
      <c r="A583" s="86"/>
      <c r="E583" s="113"/>
    </row>
    <row r="584">
      <c r="A584" s="86"/>
      <c r="E584" s="113"/>
    </row>
    <row r="585">
      <c r="A585" s="86"/>
      <c r="E585" s="113"/>
    </row>
    <row r="586">
      <c r="A586" s="86"/>
      <c r="E586" s="113"/>
    </row>
    <row r="587">
      <c r="A587" s="86"/>
      <c r="E587" s="113"/>
    </row>
    <row r="588">
      <c r="A588" s="86"/>
      <c r="E588" s="113"/>
    </row>
    <row r="589">
      <c r="A589" s="86"/>
      <c r="E589" s="113"/>
    </row>
    <row r="590">
      <c r="A590" s="86"/>
      <c r="E590" s="113"/>
    </row>
    <row r="591">
      <c r="A591" s="86"/>
      <c r="E591" s="113"/>
    </row>
    <row r="592">
      <c r="A592" s="86"/>
      <c r="E592" s="113"/>
    </row>
    <row r="593">
      <c r="A593" s="86"/>
      <c r="E593" s="113"/>
    </row>
    <row r="594">
      <c r="A594" s="86"/>
      <c r="E594" s="113"/>
    </row>
    <row r="595">
      <c r="A595" s="86"/>
      <c r="E595" s="113"/>
    </row>
    <row r="596">
      <c r="A596" s="86"/>
      <c r="E596" s="113"/>
    </row>
    <row r="597">
      <c r="A597" s="86"/>
      <c r="E597" s="113"/>
    </row>
    <row r="598">
      <c r="A598" s="86"/>
      <c r="E598" s="113"/>
    </row>
    <row r="599">
      <c r="A599" s="86"/>
      <c r="E599" s="113"/>
    </row>
    <row r="600">
      <c r="A600" s="86"/>
      <c r="E600" s="113"/>
    </row>
    <row r="601">
      <c r="A601" s="86"/>
      <c r="E601" s="113"/>
    </row>
    <row r="602">
      <c r="A602" s="86"/>
      <c r="E602" s="113"/>
    </row>
    <row r="603">
      <c r="A603" s="86"/>
      <c r="E603" s="113"/>
    </row>
    <row r="604">
      <c r="A604" s="86"/>
      <c r="E604" s="113"/>
    </row>
    <row r="605">
      <c r="A605" s="86"/>
      <c r="E605" s="113"/>
    </row>
    <row r="606">
      <c r="A606" s="86"/>
      <c r="E606" s="113"/>
    </row>
    <row r="607">
      <c r="A607" s="86"/>
      <c r="E607" s="113"/>
    </row>
    <row r="608">
      <c r="A608" s="86"/>
      <c r="E608" s="113"/>
    </row>
    <row r="609">
      <c r="A609" s="86"/>
      <c r="E609" s="113"/>
    </row>
    <row r="610">
      <c r="A610" s="86"/>
      <c r="E610" s="113"/>
    </row>
    <row r="611">
      <c r="A611" s="86"/>
      <c r="E611" s="113"/>
    </row>
    <row r="612">
      <c r="A612" s="86"/>
      <c r="E612" s="113"/>
    </row>
    <row r="613">
      <c r="A613" s="86"/>
      <c r="E613" s="113"/>
    </row>
    <row r="614">
      <c r="A614" s="86"/>
      <c r="E614" s="113"/>
    </row>
    <row r="615">
      <c r="A615" s="86"/>
      <c r="E615" s="113"/>
    </row>
    <row r="616">
      <c r="A616" s="86"/>
      <c r="E616" s="113"/>
    </row>
    <row r="617">
      <c r="A617" s="86"/>
      <c r="E617" s="113"/>
    </row>
    <row r="618">
      <c r="A618" s="86"/>
      <c r="E618" s="113"/>
    </row>
    <row r="619">
      <c r="A619" s="86"/>
      <c r="E619" s="113"/>
    </row>
    <row r="620">
      <c r="A620" s="86"/>
      <c r="E620" s="113"/>
    </row>
    <row r="621">
      <c r="A621" s="86"/>
      <c r="E621" s="113"/>
    </row>
    <row r="622">
      <c r="A622" s="86"/>
      <c r="E622" s="113"/>
    </row>
    <row r="623">
      <c r="A623" s="86"/>
      <c r="E623" s="113"/>
    </row>
    <row r="624">
      <c r="A624" s="86"/>
      <c r="E624" s="113"/>
    </row>
    <row r="625">
      <c r="A625" s="86"/>
      <c r="E625" s="113"/>
    </row>
    <row r="626">
      <c r="A626" s="86"/>
      <c r="E626" s="113"/>
    </row>
    <row r="627">
      <c r="A627" s="86"/>
      <c r="E627" s="113"/>
    </row>
    <row r="628">
      <c r="A628" s="86"/>
      <c r="E628" s="113"/>
    </row>
    <row r="629">
      <c r="A629" s="86"/>
      <c r="E629" s="113"/>
    </row>
    <row r="630">
      <c r="A630" s="86"/>
      <c r="E630" s="113"/>
    </row>
    <row r="631">
      <c r="A631" s="86"/>
      <c r="E631" s="113"/>
    </row>
    <row r="632">
      <c r="A632" s="86"/>
      <c r="E632" s="113"/>
    </row>
    <row r="633">
      <c r="A633" s="86"/>
      <c r="E633" s="113"/>
    </row>
    <row r="634">
      <c r="A634" s="86"/>
      <c r="E634" s="113"/>
    </row>
    <row r="635">
      <c r="A635" s="86"/>
      <c r="E635" s="113"/>
    </row>
    <row r="636">
      <c r="A636" s="86"/>
      <c r="E636" s="113"/>
    </row>
    <row r="637">
      <c r="A637" s="86"/>
      <c r="E637" s="113"/>
    </row>
    <row r="638">
      <c r="A638" s="86"/>
      <c r="E638" s="113"/>
    </row>
    <row r="639">
      <c r="A639" s="86"/>
      <c r="E639" s="113"/>
    </row>
    <row r="640">
      <c r="A640" s="86"/>
      <c r="E640" s="113"/>
    </row>
    <row r="641">
      <c r="A641" s="86"/>
      <c r="E641" s="113"/>
    </row>
    <row r="642">
      <c r="A642" s="86"/>
      <c r="E642" s="113"/>
    </row>
    <row r="643">
      <c r="A643" s="86"/>
      <c r="E643" s="113"/>
    </row>
    <row r="644">
      <c r="A644" s="86"/>
      <c r="E644" s="113"/>
    </row>
    <row r="645">
      <c r="A645" s="86"/>
      <c r="E645" s="113"/>
    </row>
    <row r="646">
      <c r="A646" s="86"/>
      <c r="E646" s="113"/>
    </row>
    <row r="647">
      <c r="A647" s="86"/>
      <c r="E647" s="113"/>
    </row>
    <row r="648">
      <c r="A648" s="86"/>
      <c r="E648" s="113"/>
    </row>
    <row r="649">
      <c r="A649" s="86"/>
      <c r="E649" s="113"/>
    </row>
    <row r="650">
      <c r="A650" s="86"/>
      <c r="E650" s="113"/>
    </row>
    <row r="651">
      <c r="A651" s="86"/>
      <c r="E651" s="113"/>
    </row>
    <row r="652">
      <c r="A652" s="86"/>
      <c r="E652" s="113"/>
    </row>
    <row r="653">
      <c r="A653" s="86"/>
      <c r="E653" s="113"/>
    </row>
    <row r="654">
      <c r="A654" s="86"/>
      <c r="E654" s="113"/>
    </row>
    <row r="655">
      <c r="A655" s="86"/>
      <c r="E655" s="113"/>
    </row>
    <row r="656">
      <c r="A656" s="86"/>
      <c r="E656" s="113"/>
    </row>
    <row r="657">
      <c r="A657" s="86"/>
      <c r="E657" s="113"/>
    </row>
    <row r="658">
      <c r="A658" s="86"/>
      <c r="E658" s="113"/>
    </row>
    <row r="659">
      <c r="A659" s="86"/>
      <c r="E659" s="113"/>
    </row>
    <row r="660">
      <c r="A660" s="86"/>
      <c r="E660" s="113"/>
    </row>
    <row r="661">
      <c r="A661" s="86"/>
      <c r="E661" s="113"/>
    </row>
    <row r="662">
      <c r="A662" s="86"/>
      <c r="E662" s="113"/>
    </row>
    <row r="663">
      <c r="A663" s="86"/>
      <c r="E663" s="113"/>
    </row>
    <row r="664">
      <c r="A664" s="86"/>
      <c r="E664" s="113"/>
    </row>
    <row r="665">
      <c r="A665" s="86"/>
      <c r="E665" s="113"/>
    </row>
    <row r="666">
      <c r="A666" s="86"/>
      <c r="E666" s="113"/>
    </row>
    <row r="667">
      <c r="A667" s="86"/>
      <c r="E667" s="113"/>
    </row>
    <row r="668">
      <c r="A668" s="86"/>
      <c r="E668" s="113"/>
    </row>
    <row r="669">
      <c r="A669" s="86"/>
      <c r="E669" s="113"/>
    </row>
    <row r="670">
      <c r="A670" s="86"/>
      <c r="E670" s="113"/>
    </row>
    <row r="671">
      <c r="A671" s="86"/>
      <c r="E671" s="113"/>
    </row>
    <row r="672">
      <c r="A672" s="86"/>
      <c r="E672" s="113"/>
    </row>
    <row r="673">
      <c r="A673" s="86"/>
      <c r="E673" s="113"/>
    </row>
    <row r="674">
      <c r="A674" s="86"/>
      <c r="E674" s="113"/>
    </row>
    <row r="675">
      <c r="A675" s="86"/>
      <c r="E675" s="113"/>
    </row>
    <row r="676">
      <c r="A676" s="86"/>
      <c r="E676" s="113"/>
    </row>
    <row r="677">
      <c r="A677" s="86"/>
      <c r="E677" s="113"/>
    </row>
    <row r="678">
      <c r="A678" s="86"/>
      <c r="E678" s="113"/>
    </row>
    <row r="679">
      <c r="A679" s="86"/>
      <c r="E679" s="113"/>
    </row>
    <row r="680">
      <c r="A680" s="86"/>
      <c r="E680" s="113"/>
    </row>
    <row r="681">
      <c r="A681" s="86"/>
      <c r="E681" s="113"/>
    </row>
    <row r="682">
      <c r="A682" s="86"/>
      <c r="E682" s="113"/>
    </row>
    <row r="683">
      <c r="A683" s="86"/>
      <c r="E683" s="113"/>
    </row>
    <row r="684">
      <c r="A684" s="86"/>
      <c r="E684" s="113"/>
    </row>
    <row r="685">
      <c r="A685" s="86"/>
      <c r="E685" s="113"/>
    </row>
    <row r="686">
      <c r="A686" s="86"/>
      <c r="E686" s="113"/>
    </row>
    <row r="687">
      <c r="A687" s="86"/>
      <c r="E687" s="113"/>
    </row>
    <row r="688">
      <c r="A688" s="86"/>
      <c r="E688" s="113"/>
    </row>
    <row r="689">
      <c r="A689" s="86"/>
      <c r="E689" s="113"/>
    </row>
    <row r="690">
      <c r="A690" s="86"/>
      <c r="E690" s="113"/>
    </row>
    <row r="691">
      <c r="A691" s="86"/>
      <c r="E691" s="113"/>
    </row>
    <row r="692">
      <c r="A692" s="86"/>
      <c r="E692" s="113"/>
    </row>
    <row r="693">
      <c r="A693" s="86"/>
      <c r="E693" s="113"/>
    </row>
    <row r="694">
      <c r="A694" s="86"/>
      <c r="E694" s="113"/>
    </row>
    <row r="695">
      <c r="A695" s="86"/>
      <c r="E695" s="113"/>
    </row>
    <row r="696">
      <c r="A696" s="86"/>
      <c r="E696" s="113"/>
    </row>
    <row r="697">
      <c r="A697" s="86"/>
      <c r="E697" s="113"/>
    </row>
    <row r="698">
      <c r="A698" s="86"/>
      <c r="E698" s="113"/>
    </row>
    <row r="699">
      <c r="A699" s="86"/>
      <c r="E699" s="113"/>
    </row>
    <row r="700">
      <c r="A700" s="86"/>
      <c r="E700" s="113"/>
    </row>
    <row r="701">
      <c r="A701" s="86"/>
      <c r="E701" s="113"/>
    </row>
    <row r="702">
      <c r="A702" s="86"/>
      <c r="E702" s="113"/>
    </row>
    <row r="703">
      <c r="A703" s="86"/>
      <c r="E703" s="113"/>
    </row>
    <row r="704">
      <c r="A704" s="86"/>
      <c r="E704" s="113"/>
    </row>
    <row r="705">
      <c r="A705" s="86"/>
      <c r="E705" s="113"/>
    </row>
    <row r="706">
      <c r="A706" s="86"/>
      <c r="E706" s="113"/>
    </row>
    <row r="707">
      <c r="A707" s="86"/>
      <c r="E707" s="113"/>
    </row>
    <row r="708">
      <c r="A708" s="86"/>
      <c r="E708" s="113"/>
    </row>
    <row r="709">
      <c r="A709" s="86"/>
      <c r="E709" s="113"/>
    </row>
    <row r="710">
      <c r="A710" s="86"/>
      <c r="E710" s="113"/>
    </row>
    <row r="711">
      <c r="A711" s="86"/>
      <c r="E711" s="113"/>
    </row>
    <row r="712">
      <c r="A712" s="86"/>
      <c r="E712" s="113"/>
    </row>
    <row r="713">
      <c r="A713" s="86"/>
      <c r="E713" s="113"/>
    </row>
    <row r="714">
      <c r="A714" s="86"/>
      <c r="E714" s="113"/>
    </row>
    <row r="715">
      <c r="A715" s="86"/>
      <c r="E715" s="113"/>
    </row>
    <row r="716">
      <c r="A716" s="86"/>
      <c r="E716" s="113"/>
    </row>
    <row r="717">
      <c r="A717" s="86"/>
      <c r="E717" s="113"/>
    </row>
    <row r="718">
      <c r="A718" s="86"/>
      <c r="E718" s="113"/>
    </row>
    <row r="719">
      <c r="A719" s="86"/>
      <c r="E719" s="113"/>
    </row>
    <row r="720">
      <c r="A720" s="86"/>
      <c r="E720" s="113"/>
    </row>
    <row r="721">
      <c r="A721" s="86"/>
      <c r="E721" s="113"/>
    </row>
    <row r="722">
      <c r="A722" s="86"/>
      <c r="E722" s="113"/>
    </row>
    <row r="723">
      <c r="A723" s="86"/>
      <c r="E723" s="113"/>
    </row>
    <row r="724">
      <c r="A724" s="86"/>
      <c r="E724" s="113"/>
    </row>
    <row r="725">
      <c r="A725" s="86"/>
      <c r="E725" s="113"/>
    </row>
    <row r="726">
      <c r="A726" s="86"/>
      <c r="E726" s="113"/>
    </row>
    <row r="727">
      <c r="A727" s="86"/>
      <c r="E727" s="113"/>
    </row>
    <row r="728">
      <c r="A728" s="86"/>
      <c r="E728" s="113"/>
    </row>
    <row r="729">
      <c r="A729" s="86"/>
      <c r="E729" s="113"/>
    </row>
    <row r="730">
      <c r="A730" s="86"/>
      <c r="E730" s="113"/>
    </row>
    <row r="731">
      <c r="A731" s="86"/>
      <c r="E731" s="113"/>
    </row>
    <row r="732">
      <c r="A732" s="86"/>
      <c r="E732" s="113"/>
    </row>
    <row r="733">
      <c r="A733" s="86"/>
      <c r="E733" s="113"/>
    </row>
    <row r="734">
      <c r="A734" s="86"/>
      <c r="E734" s="113"/>
    </row>
    <row r="735">
      <c r="A735" s="86"/>
      <c r="E735" s="113"/>
    </row>
    <row r="736">
      <c r="A736" s="86"/>
      <c r="E736" s="113"/>
    </row>
    <row r="737">
      <c r="A737" s="86"/>
      <c r="E737" s="113"/>
    </row>
    <row r="738">
      <c r="A738" s="86"/>
      <c r="E738" s="113"/>
    </row>
    <row r="739">
      <c r="A739" s="86"/>
      <c r="E739" s="113"/>
    </row>
    <row r="740">
      <c r="A740" s="86"/>
      <c r="E740" s="113"/>
    </row>
    <row r="741">
      <c r="A741" s="86"/>
      <c r="E741" s="113"/>
    </row>
    <row r="742">
      <c r="A742" s="86"/>
      <c r="E742" s="113"/>
    </row>
    <row r="743">
      <c r="A743" s="86"/>
      <c r="E743" s="113"/>
    </row>
    <row r="744">
      <c r="A744" s="86"/>
      <c r="E744" s="113"/>
    </row>
    <row r="745">
      <c r="A745" s="86"/>
      <c r="E745" s="113"/>
    </row>
    <row r="746">
      <c r="A746" s="86"/>
      <c r="E746" s="113"/>
    </row>
    <row r="747">
      <c r="A747" s="86"/>
      <c r="E747" s="113"/>
    </row>
    <row r="748">
      <c r="A748" s="86"/>
      <c r="E748" s="113"/>
    </row>
    <row r="749">
      <c r="A749" s="86"/>
      <c r="E749" s="113"/>
    </row>
    <row r="750">
      <c r="A750" s="86"/>
      <c r="E750" s="113"/>
    </row>
    <row r="751">
      <c r="A751" s="86"/>
      <c r="E751" s="113"/>
    </row>
    <row r="752">
      <c r="A752" s="86"/>
      <c r="E752" s="113"/>
    </row>
    <row r="753">
      <c r="A753" s="86"/>
      <c r="E753" s="113"/>
    </row>
    <row r="754">
      <c r="A754" s="86"/>
      <c r="E754" s="113"/>
    </row>
    <row r="755">
      <c r="A755" s="86"/>
      <c r="E755" s="113"/>
    </row>
    <row r="756">
      <c r="A756" s="86"/>
      <c r="E756" s="113"/>
    </row>
    <row r="757">
      <c r="A757" s="86"/>
      <c r="E757" s="113"/>
    </row>
    <row r="758">
      <c r="A758" s="86"/>
      <c r="E758" s="113"/>
    </row>
    <row r="759">
      <c r="A759" s="86"/>
      <c r="E759" s="113"/>
    </row>
    <row r="760">
      <c r="A760" s="86"/>
      <c r="E760" s="113"/>
    </row>
    <row r="761">
      <c r="A761" s="86"/>
      <c r="E761" s="113"/>
    </row>
    <row r="762">
      <c r="A762" s="86"/>
      <c r="E762" s="113"/>
    </row>
    <row r="763">
      <c r="A763" s="86"/>
      <c r="E763" s="113"/>
    </row>
    <row r="764">
      <c r="A764" s="86"/>
      <c r="E764" s="113"/>
    </row>
    <row r="765">
      <c r="A765" s="86"/>
      <c r="E765" s="113"/>
    </row>
    <row r="766">
      <c r="A766" s="86"/>
      <c r="E766" s="113"/>
    </row>
    <row r="767">
      <c r="A767" s="86"/>
      <c r="E767" s="113"/>
    </row>
    <row r="768">
      <c r="A768" s="86"/>
      <c r="E768" s="113"/>
    </row>
    <row r="769">
      <c r="A769" s="86"/>
      <c r="E769" s="113"/>
    </row>
    <row r="770">
      <c r="A770" s="86"/>
      <c r="E770" s="113"/>
    </row>
    <row r="771">
      <c r="A771" s="86"/>
      <c r="E771" s="113"/>
    </row>
    <row r="772">
      <c r="A772" s="86"/>
      <c r="E772" s="113"/>
    </row>
    <row r="773">
      <c r="A773" s="86"/>
      <c r="E773" s="113"/>
    </row>
    <row r="774">
      <c r="A774" s="86"/>
      <c r="E774" s="113"/>
    </row>
    <row r="775">
      <c r="A775" s="86"/>
      <c r="E775" s="113"/>
    </row>
    <row r="776">
      <c r="A776" s="86"/>
      <c r="E776" s="113"/>
    </row>
    <row r="777">
      <c r="A777" s="86"/>
      <c r="E777" s="113"/>
    </row>
    <row r="778">
      <c r="A778" s="86"/>
      <c r="E778" s="113"/>
    </row>
    <row r="779">
      <c r="A779" s="86"/>
      <c r="E779" s="113"/>
    </row>
    <row r="780">
      <c r="A780" s="86"/>
      <c r="E780" s="113"/>
    </row>
    <row r="781">
      <c r="A781" s="86"/>
      <c r="E781" s="113"/>
    </row>
    <row r="782">
      <c r="A782" s="86"/>
      <c r="E782" s="113"/>
    </row>
    <row r="783">
      <c r="A783" s="86"/>
      <c r="E783" s="113"/>
    </row>
    <row r="784">
      <c r="A784" s="86"/>
      <c r="E784" s="113"/>
    </row>
    <row r="785">
      <c r="A785" s="86"/>
      <c r="E785" s="113"/>
    </row>
    <row r="786">
      <c r="A786" s="86"/>
      <c r="E786" s="113"/>
    </row>
    <row r="787">
      <c r="A787" s="86"/>
      <c r="E787" s="113"/>
    </row>
    <row r="788">
      <c r="A788" s="86"/>
      <c r="E788" s="113"/>
    </row>
    <row r="789">
      <c r="A789" s="86"/>
      <c r="E789" s="113"/>
    </row>
    <row r="790">
      <c r="A790" s="86"/>
      <c r="E790" s="113"/>
    </row>
    <row r="791">
      <c r="A791" s="86"/>
      <c r="E791" s="113"/>
    </row>
    <row r="792">
      <c r="A792" s="86"/>
      <c r="E792" s="113"/>
    </row>
    <row r="793">
      <c r="A793" s="86"/>
      <c r="E793" s="113"/>
    </row>
    <row r="794">
      <c r="A794" s="86"/>
      <c r="E794" s="113"/>
    </row>
    <row r="795">
      <c r="A795" s="86"/>
      <c r="E795" s="113"/>
    </row>
    <row r="796">
      <c r="A796" s="86"/>
      <c r="E796" s="113"/>
    </row>
    <row r="797">
      <c r="A797" s="86"/>
      <c r="E797" s="113"/>
    </row>
    <row r="798">
      <c r="A798" s="86"/>
      <c r="E798" s="113"/>
    </row>
    <row r="799">
      <c r="A799" s="86"/>
      <c r="E799" s="113"/>
    </row>
    <row r="800">
      <c r="A800" s="86"/>
      <c r="E800" s="113"/>
    </row>
    <row r="801">
      <c r="A801" s="86"/>
      <c r="E801" s="113"/>
    </row>
    <row r="802">
      <c r="A802" s="86"/>
      <c r="E802" s="113"/>
    </row>
    <row r="803">
      <c r="A803" s="86"/>
      <c r="E803" s="113"/>
    </row>
    <row r="804">
      <c r="A804" s="86"/>
      <c r="E804" s="113"/>
    </row>
    <row r="805">
      <c r="A805" s="86"/>
      <c r="E805" s="113"/>
    </row>
    <row r="806">
      <c r="A806" s="86"/>
      <c r="E806" s="113"/>
    </row>
    <row r="807">
      <c r="A807" s="86"/>
      <c r="E807" s="113"/>
    </row>
    <row r="808">
      <c r="A808" s="86"/>
      <c r="E808" s="113"/>
    </row>
    <row r="809">
      <c r="A809" s="86"/>
      <c r="E809" s="113"/>
    </row>
    <row r="810">
      <c r="A810" s="86"/>
      <c r="E810" s="113"/>
    </row>
    <row r="811">
      <c r="A811" s="86"/>
      <c r="E811" s="113"/>
    </row>
    <row r="812">
      <c r="A812" s="86"/>
      <c r="E812" s="113"/>
    </row>
    <row r="813">
      <c r="A813" s="86"/>
      <c r="E813" s="113"/>
    </row>
    <row r="814">
      <c r="A814" s="86"/>
      <c r="E814" s="113"/>
    </row>
    <row r="815">
      <c r="A815" s="86"/>
      <c r="E815" s="113"/>
    </row>
    <row r="816">
      <c r="A816" s="86"/>
      <c r="E816" s="113"/>
    </row>
    <row r="817">
      <c r="A817" s="86"/>
      <c r="E817" s="113"/>
    </row>
    <row r="818">
      <c r="A818" s="86"/>
      <c r="E818" s="113"/>
    </row>
    <row r="819">
      <c r="A819" s="86"/>
      <c r="E819" s="113"/>
    </row>
    <row r="820">
      <c r="A820" s="86"/>
      <c r="E820" s="113"/>
    </row>
    <row r="821">
      <c r="A821" s="86"/>
      <c r="E821" s="113"/>
    </row>
    <row r="822">
      <c r="A822" s="86"/>
      <c r="E822" s="113"/>
    </row>
    <row r="823">
      <c r="A823" s="86"/>
      <c r="E823" s="113"/>
    </row>
    <row r="824">
      <c r="A824" s="86"/>
      <c r="E824" s="113"/>
    </row>
    <row r="825">
      <c r="A825" s="86"/>
      <c r="E825" s="113"/>
    </row>
    <row r="826">
      <c r="A826" s="86"/>
      <c r="E826" s="113"/>
    </row>
    <row r="827">
      <c r="A827" s="86"/>
      <c r="E827" s="113"/>
    </row>
    <row r="828">
      <c r="A828" s="86"/>
      <c r="E828" s="113"/>
    </row>
    <row r="829">
      <c r="A829" s="86"/>
      <c r="E829" s="113"/>
    </row>
    <row r="830">
      <c r="A830" s="86"/>
      <c r="E830" s="113"/>
    </row>
    <row r="831">
      <c r="A831" s="86"/>
      <c r="E831" s="113"/>
    </row>
    <row r="832">
      <c r="A832" s="86"/>
      <c r="E832" s="113"/>
    </row>
    <row r="833">
      <c r="A833" s="86"/>
      <c r="E833" s="113"/>
    </row>
    <row r="834">
      <c r="A834" s="86"/>
      <c r="E834" s="113"/>
    </row>
    <row r="835">
      <c r="A835" s="86"/>
      <c r="E835" s="113"/>
    </row>
    <row r="836">
      <c r="A836" s="86"/>
      <c r="E836" s="113"/>
    </row>
    <row r="837">
      <c r="A837" s="86"/>
      <c r="E837" s="113"/>
    </row>
    <row r="838">
      <c r="A838" s="86"/>
      <c r="E838" s="113"/>
    </row>
    <row r="839">
      <c r="A839" s="86"/>
      <c r="E839" s="113"/>
    </row>
    <row r="840">
      <c r="A840" s="86"/>
      <c r="E840" s="113"/>
    </row>
    <row r="841">
      <c r="A841" s="86"/>
      <c r="E841" s="113"/>
    </row>
    <row r="842">
      <c r="A842" s="86"/>
      <c r="E842" s="113"/>
    </row>
    <row r="843">
      <c r="A843" s="86"/>
      <c r="E843" s="113"/>
    </row>
    <row r="844">
      <c r="A844" s="86"/>
      <c r="E844" s="113"/>
    </row>
    <row r="845">
      <c r="A845" s="86"/>
      <c r="E845" s="113"/>
    </row>
    <row r="846">
      <c r="A846" s="86"/>
      <c r="E846" s="113"/>
    </row>
    <row r="847">
      <c r="A847" s="86"/>
      <c r="E847" s="113"/>
    </row>
    <row r="848">
      <c r="A848" s="86"/>
      <c r="E848" s="113"/>
    </row>
    <row r="849">
      <c r="A849" s="86"/>
      <c r="E849" s="113"/>
    </row>
    <row r="850">
      <c r="A850" s="86"/>
      <c r="E850" s="113"/>
    </row>
    <row r="851">
      <c r="A851" s="86"/>
      <c r="E851" s="113"/>
    </row>
    <row r="852">
      <c r="A852" s="86"/>
      <c r="E852" s="113"/>
    </row>
    <row r="853">
      <c r="A853" s="86"/>
      <c r="E853" s="113"/>
    </row>
    <row r="854">
      <c r="A854" s="86"/>
      <c r="E854" s="113"/>
    </row>
    <row r="855">
      <c r="A855" s="86"/>
      <c r="E855" s="113"/>
    </row>
    <row r="856">
      <c r="A856" s="86"/>
      <c r="E856" s="113"/>
    </row>
    <row r="857">
      <c r="A857" s="86"/>
      <c r="E857" s="113"/>
    </row>
    <row r="858">
      <c r="A858" s="86"/>
      <c r="E858" s="113"/>
    </row>
    <row r="859">
      <c r="A859" s="86"/>
      <c r="E859" s="113"/>
    </row>
    <row r="860">
      <c r="A860" s="86"/>
      <c r="E860" s="113"/>
    </row>
    <row r="861">
      <c r="A861" s="86"/>
      <c r="E861" s="113"/>
    </row>
    <row r="862">
      <c r="A862" s="86"/>
      <c r="E862" s="113"/>
    </row>
    <row r="863">
      <c r="A863" s="86"/>
      <c r="E863" s="113"/>
    </row>
    <row r="864">
      <c r="A864" s="86"/>
      <c r="E864" s="113"/>
    </row>
    <row r="865">
      <c r="A865" s="86"/>
      <c r="E865" s="113"/>
    </row>
    <row r="866">
      <c r="A866" s="86"/>
      <c r="E866" s="113"/>
    </row>
    <row r="867">
      <c r="A867" s="86"/>
      <c r="E867" s="113"/>
    </row>
    <row r="868">
      <c r="A868" s="86"/>
      <c r="E868" s="113"/>
    </row>
    <row r="869">
      <c r="A869" s="86"/>
      <c r="E869" s="113"/>
    </row>
    <row r="870">
      <c r="A870" s="86"/>
      <c r="E870" s="113"/>
    </row>
    <row r="871">
      <c r="A871" s="86"/>
      <c r="E871" s="113"/>
    </row>
    <row r="872">
      <c r="A872" s="86"/>
      <c r="E872" s="113"/>
    </row>
    <row r="873">
      <c r="A873" s="86"/>
      <c r="E873" s="113"/>
    </row>
    <row r="874">
      <c r="A874" s="86"/>
      <c r="E874" s="113"/>
    </row>
    <row r="875">
      <c r="A875" s="86"/>
      <c r="E875" s="113"/>
    </row>
    <row r="876">
      <c r="A876" s="86"/>
      <c r="E876" s="113"/>
    </row>
    <row r="877">
      <c r="A877" s="86"/>
      <c r="E877" s="113"/>
    </row>
    <row r="878">
      <c r="A878" s="86"/>
      <c r="E878" s="113"/>
    </row>
    <row r="879">
      <c r="A879" s="86"/>
      <c r="E879" s="113"/>
    </row>
    <row r="880">
      <c r="A880" s="86"/>
      <c r="E880" s="113"/>
    </row>
    <row r="881">
      <c r="A881" s="86"/>
      <c r="E881" s="113"/>
    </row>
    <row r="882">
      <c r="A882" s="86"/>
      <c r="E882" s="113"/>
    </row>
    <row r="883">
      <c r="A883" s="86"/>
      <c r="E883" s="113"/>
    </row>
    <row r="884">
      <c r="A884" s="86"/>
      <c r="E884" s="113"/>
    </row>
    <row r="885">
      <c r="A885" s="86"/>
      <c r="E885" s="113"/>
    </row>
    <row r="886">
      <c r="A886" s="86"/>
      <c r="E886" s="113"/>
    </row>
    <row r="887">
      <c r="A887" s="86"/>
      <c r="E887" s="113"/>
    </row>
    <row r="888">
      <c r="A888" s="86"/>
      <c r="E888" s="113"/>
    </row>
    <row r="889">
      <c r="A889" s="86"/>
      <c r="E889" s="113"/>
    </row>
    <row r="890">
      <c r="A890" s="86"/>
      <c r="E890" s="113"/>
    </row>
    <row r="891">
      <c r="A891" s="86"/>
      <c r="E891" s="113"/>
    </row>
    <row r="892">
      <c r="A892" s="86"/>
      <c r="E892" s="113"/>
    </row>
    <row r="893">
      <c r="A893" s="86"/>
      <c r="E893" s="113"/>
    </row>
    <row r="894">
      <c r="A894" s="86"/>
      <c r="E894" s="113"/>
    </row>
    <row r="895">
      <c r="A895" s="86"/>
      <c r="E895" s="113"/>
    </row>
    <row r="896">
      <c r="A896" s="86"/>
      <c r="E896" s="113"/>
    </row>
    <row r="897">
      <c r="A897" s="86"/>
      <c r="E897" s="113"/>
    </row>
    <row r="898">
      <c r="A898" s="86"/>
      <c r="E898" s="113"/>
    </row>
    <row r="899">
      <c r="A899" s="86"/>
      <c r="E899" s="113"/>
    </row>
    <row r="900">
      <c r="A900" s="86"/>
      <c r="E900" s="113"/>
    </row>
    <row r="901">
      <c r="A901" s="86"/>
      <c r="E901" s="113"/>
    </row>
    <row r="902">
      <c r="A902" s="86"/>
      <c r="E902" s="113"/>
    </row>
    <row r="903">
      <c r="A903" s="86"/>
      <c r="E903" s="113"/>
    </row>
    <row r="904">
      <c r="A904" s="86"/>
      <c r="E904" s="113"/>
    </row>
    <row r="905">
      <c r="A905" s="86"/>
      <c r="E905" s="113"/>
    </row>
    <row r="906">
      <c r="A906" s="86"/>
      <c r="E906" s="113"/>
    </row>
    <row r="907">
      <c r="A907" s="86"/>
      <c r="E907" s="113"/>
    </row>
    <row r="908">
      <c r="A908" s="86"/>
      <c r="E908" s="113"/>
    </row>
    <row r="909">
      <c r="A909" s="86"/>
      <c r="E909" s="113"/>
    </row>
    <row r="910">
      <c r="A910" s="86"/>
      <c r="E910" s="113"/>
    </row>
    <row r="911">
      <c r="A911" s="86"/>
      <c r="E911" s="113"/>
    </row>
    <row r="912">
      <c r="A912" s="86"/>
      <c r="E912" s="113"/>
    </row>
    <row r="913">
      <c r="A913" s="86"/>
      <c r="E913" s="113"/>
    </row>
    <row r="914">
      <c r="A914" s="86"/>
      <c r="E914" s="113"/>
    </row>
    <row r="915">
      <c r="A915" s="86"/>
      <c r="E915" s="113"/>
    </row>
    <row r="916">
      <c r="A916" s="86"/>
      <c r="E916" s="113"/>
    </row>
    <row r="917">
      <c r="A917" s="86"/>
      <c r="E917" s="113"/>
    </row>
    <row r="918">
      <c r="A918" s="86"/>
      <c r="E918" s="113"/>
    </row>
    <row r="919">
      <c r="A919" s="86"/>
      <c r="E919" s="113"/>
    </row>
    <row r="920">
      <c r="A920" s="86"/>
      <c r="E920" s="113"/>
    </row>
    <row r="921">
      <c r="A921" s="86"/>
      <c r="E921" s="113"/>
    </row>
    <row r="922">
      <c r="A922" s="86"/>
      <c r="E922" s="113"/>
    </row>
    <row r="923">
      <c r="A923" s="86"/>
      <c r="E923" s="113"/>
    </row>
    <row r="924">
      <c r="A924" s="86"/>
      <c r="E924" s="113"/>
    </row>
    <row r="925">
      <c r="A925" s="86"/>
      <c r="E925" s="113"/>
    </row>
    <row r="926">
      <c r="A926" s="86"/>
      <c r="E926" s="113"/>
    </row>
    <row r="927">
      <c r="A927" s="86"/>
      <c r="E927" s="113"/>
    </row>
    <row r="928">
      <c r="A928" s="86"/>
      <c r="E928" s="113"/>
    </row>
    <row r="929">
      <c r="A929" s="86"/>
      <c r="E929" s="113"/>
    </row>
    <row r="930">
      <c r="A930" s="86"/>
      <c r="E930" s="113"/>
    </row>
    <row r="931">
      <c r="A931" s="86"/>
      <c r="E931" s="113"/>
    </row>
    <row r="932">
      <c r="A932" s="86"/>
      <c r="E932" s="113"/>
    </row>
    <row r="933">
      <c r="A933" s="86"/>
      <c r="E933" s="113"/>
    </row>
    <row r="934">
      <c r="A934" s="86"/>
      <c r="E934" s="113"/>
    </row>
    <row r="935">
      <c r="A935" s="86"/>
      <c r="E935" s="113"/>
    </row>
    <row r="936">
      <c r="A936" s="86"/>
      <c r="E936" s="113"/>
    </row>
    <row r="937">
      <c r="A937" s="86"/>
      <c r="E937" s="113"/>
    </row>
    <row r="938">
      <c r="A938" s="86"/>
      <c r="E938" s="113"/>
    </row>
    <row r="939">
      <c r="A939" s="86"/>
      <c r="E939" s="113"/>
    </row>
    <row r="940">
      <c r="A940" s="86"/>
      <c r="E940" s="113"/>
    </row>
    <row r="941">
      <c r="A941" s="86"/>
      <c r="E941" s="113"/>
    </row>
    <row r="942">
      <c r="A942" s="86"/>
      <c r="E942" s="113"/>
    </row>
    <row r="943">
      <c r="A943" s="86"/>
      <c r="E943" s="113"/>
    </row>
    <row r="944">
      <c r="A944" s="86"/>
      <c r="E944" s="113"/>
    </row>
    <row r="945">
      <c r="A945" s="86"/>
      <c r="E945" s="113"/>
    </row>
    <row r="946">
      <c r="A946" s="86"/>
      <c r="E946" s="113"/>
    </row>
    <row r="947">
      <c r="A947" s="86"/>
      <c r="E947" s="113"/>
    </row>
    <row r="948">
      <c r="A948" s="86"/>
      <c r="E948" s="113"/>
    </row>
    <row r="949">
      <c r="A949" s="86"/>
      <c r="E949" s="113"/>
    </row>
    <row r="950">
      <c r="A950" s="86"/>
      <c r="E950" s="113"/>
    </row>
    <row r="951">
      <c r="A951" s="86"/>
      <c r="E951" s="113"/>
    </row>
    <row r="952">
      <c r="A952" s="86"/>
      <c r="E952" s="113"/>
    </row>
    <row r="953">
      <c r="A953" s="86"/>
      <c r="E953" s="113"/>
    </row>
    <row r="954">
      <c r="A954" s="86"/>
      <c r="E954" s="113"/>
    </row>
    <row r="955">
      <c r="A955" s="86"/>
      <c r="E955" s="113"/>
    </row>
    <row r="956">
      <c r="A956" s="86"/>
      <c r="E956" s="113"/>
    </row>
    <row r="957">
      <c r="A957" s="86"/>
      <c r="E957" s="113"/>
    </row>
    <row r="958">
      <c r="A958" s="86"/>
      <c r="E958" s="113"/>
    </row>
    <row r="959">
      <c r="A959" s="86"/>
      <c r="E959" s="113"/>
    </row>
    <row r="960">
      <c r="A960" s="86"/>
      <c r="E960" s="113"/>
    </row>
    <row r="961">
      <c r="A961" s="86"/>
      <c r="E961" s="113"/>
    </row>
    <row r="962">
      <c r="A962" s="86"/>
      <c r="E962" s="113"/>
    </row>
    <row r="963">
      <c r="A963" s="86"/>
      <c r="E963" s="113"/>
    </row>
    <row r="964">
      <c r="A964" s="86"/>
      <c r="E964" s="113"/>
    </row>
    <row r="965">
      <c r="A965" s="86"/>
      <c r="E965" s="113"/>
    </row>
    <row r="966">
      <c r="A966" s="86"/>
      <c r="E966" s="113"/>
    </row>
    <row r="967">
      <c r="A967" s="86"/>
      <c r="E967" s="113"/>
    </row>
    <row r="968">
      <c r="A968" s="86"/>
      <c r="E968" s="113"/>
    </row>
    <row r="969">
      <c r="A969" s="86"/>
      <c r="E969" s="113"/>
    </row>
    <row r="970">
      <c r="A970" s="86"/>
      <c r="E970" s="113"/>
    </row>
    <row r="971">
      <c r="A971" s="86"/>
      <c r="E971" s="113"/>
    </row>
    <row r="972">
      <c r="A972" s="86"/>
      <c r="E972" s="113"/>
    </row>
    <row r="973">
      <c r="A973" s="86"/>
      <c r="E973" s="113"/>
    </row>
    <row r="974">
      <c r="A974" s="86"/>
      <c r="E974" s="113"/>
    </row>
    <row r="975">
      <c r="A975" s="86"/>
      <c r="E975" s="113"/>
    </row>
    <row r="976">
      <c r="A976" s="86"/>
      <c r="E976" s="113"/>
    </row>
    <row r="977">
      <c r="A977" s="86"/>
      <c r="E977" s="113"/>
    </row>
    <row r="978">
      <c r="A978" s="86"/>
      <c r="E978" s="113"/>
    </row>
    <row r="979">
      <c r="A979" s="86"/>
      <c r="E979" s="113"/>
    </row>
    <row r="980">
      <c r="A980" s="86"/>
      <c r="E980" s="113"/>
    </row>
    <row r="981">
      <c r="A981" s="86"/>
      <c r="E981" s="113"/>
    </row>
    <row r="982">
      <c r="A982" s="86"/>
      <c r="E982" s="113"/>
    </row>
    <row r="983">
      <c r="A983" s="86"/>
      <c r="E983" s="113"/>
    </row>
    <row r="984">
      <c r="A984" s="86"/>
      <c r="E984" s="113"/>
    </row>
    <row r="985">
      <c r="A985" s="86"/>
      <c r="E985" s="113"/>
    </row>
    <row r="986">
      <c r="A986" s="86"/>
      <c r="E986" s="113"/>
    </row>
    <row r="987">
      <c r="A987" s="86"/>
      <c r="E987" s="113"/>
    </row>
    <row r="988">
      <c r="A988" s="86"/>
      <c r="E988" s="113"/>
    </row>
    <row r="989">
      <c r="A989" s="86"/>
      <c r="E989" s="113"/>
    </row>
    <row r="990">
      <c r="A990" s="86"/>
      <c r="E990" s="113"/>
    </row>
    <row r="991">
      <c r="A991" s="86"/>
      <c r="E991" s="113"/>
    </row>
    <row r="992">
      <c r="A992" s="86"/>
      <c r="E992" s="113"/>
    </row>
    <row r="993">
      <c r="A993" s="86"/>
      <c r="E993" s="113"/>
    </row>
    <row r="994">
      <c r="A994" s="86"/>
      <c r="E994" s="113"/>
    </row>
    <row r="995">
      <c r="A995" s="86"/>
      <c r="E995" s="113"/>
    </row>
    <row r="996">
      <c r="A996" s="86"/>
      <c r="E996" s="113"/>
    </row>
    <row r="997">
      <c r="A997" s="86"/>
      <c r="E997" s="113"/>
    </row>
    <row r="998">
      <c r="A998" s="86"/>
      <c r="E998" s="113"/>
    </row>
    <row r="999">
      <c r="A999" s="86"/>
      <c r="E999" s="113"/>
    </row>
    <row r="1000">
      <c r="A1000" s="86"/>
      <c r="E1000" s="113"/>
    </row>
    <row r="1001">
      <c r="A1001" s="86"/>
      <c r="E1001" s="113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25.57"/>
    <col customWidth="1" min="2" max="2" width="29.86"/>
    <col customWidth="1" min="4" max="4" width="19.86"/>
    <col customWidth="1" min="6" max="6" width="11.0"/>
    <col customWidth="1" min="9" max="9" width="55.29"/>
    <col customWidth="1" min="11" max="11" width="55.29"/>
  </cols>
  <sheetData>
    <row r="1">
      <c r="A1" s="114" t="s">
        <v>366</v>
      </c>
      <c r="B1" s="114" t="s">
        <v>368</v>
      </c>
      <c r="C1" s="114" t="s">
        <v>367</v>
      </c>
      <c r="D1" s="114" t="s">
        <v>503</v>
      </c>
      <c r="E1" s="114" t="s">
        <v>504</v>
      </c>
      <c r="F1" s="115" t="s">
        <v>225</v>
      </c>
      <c r="G1" s="116" t="s">
        <v>505</v>
      </c>
      <c r="I1" s="116" t="s">
        <v>369</v>
      </c>
      <c r="J1" s="116" t="s">
        <v>506</v>
      </c>
      <c r="K1" s="88" t="s">
        <v>507</v>
      </c>
    </row>
    <row r="2">
      <c r="A2" s="117" t="s">
        <v>508</v>
      </c>
      <c r="B2" s="118" t="s">
        <v>509</v>
      </c>
      <c r="C2" s="119" t="s">
        <v>510</v>
      </c>
      <c r="D2" s="120"/>
      <c r="E2" s="121" t="s">
        <v>511</v>
      </c>
      <c r="F2" s="120"/>
      <c r="G2" s="122">
        <v>43593.0</v>
      </c>
      <c r="H2" s="123" t="s">
        <v>19</v>
      </c>
      <c r="I2" s="124" t="s">
        <v>512</v>
      </c>
      <c r="J2" s="125" t="s">
        <v>513</v>
      </c>
      <c r="K2" s="125" t="s">
        <v>514</v>
      </c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0"/>
      <c r="W2" s="120"/>
      <c r="X2" s="120"/>
      <c r="Y2" s="120"/>
      <c r="Z2" s="120"/>
    </row>
    <row r="3">
      <c r="A3" s="117" t="s">
        <v>515</v>
      </c>
      <c r="B3" s="118" t="s">
        <v>516</v>
      </c>
      <c r="C3" s="119" t="s">
        <v>517</v>
      </c>
      <c r="D3" s="120"/>
      <c r="E3" s="121" t="s">
        <v>511</v>
      </c>
      <c r="F3" s="120"/>
      <c r="G3" s="122">
        <v>43593.0</v>
      </c>
      <c r="H3" s="126" t="s">
        <v>19</v>
      </c>
      <c r="I3" s="124" t="s">
        <v>518</v>
      </c>
      <c r="J3" s="125" t="s">
        <v>513</v>
      </c>
      <c r="K3" s="125" t="s">
        <v>519</v>
      </c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Z3" s="120"/>
    </row>
    <row r="4">
      <c r="A4" s="127" t="s">
        <v>520</v>
      </c>
      <c r="B4" s="128" t="s">
        <v>521</v>
      </c>
      <c r="C4" s="129">
        <f>+79039479332</f>
        <v>79039479332</v>
      </c>
      <c r="E4" s="130" t="s">
        <v>511</v>
      </c>
      <c r="G4" s="131">
        <v>43593.0</v>
      </c>
      <c r="H4" s="132" t="s">
        <v>19</v>
      </c>
      <c r="I4" s="133" t="s">
        <v>522</v>
      </c>
      <c r="J4" s="88" t="s">
        <v>513</v>
      </c>
    </row>
    <row r="5">
      <c r="A5" s="117" t="s">
        <v>523</v>
      </c>
      <c r="B5" s="118" t="s">
        <v>521</v>
      </c>
      <c r="C5" s="119" t="s">
        <v>524</v>
      </c>
      <c r="D5" s="120"/>
      <c r="E5" s="121" t="s">
        <v>511</v>
      </c>
      <c r="F5" s="120"/>
      <c r="G5" s="122">
        <v>43593.0</v>
      </c>
      <c r="H5" s="126" t="s">
        <v>19</v>
      </c>
      <c r="I5" s="124" t="s">
        <v>525</v>
      </c>
      <c r="J5" s="125" t="s">
        <v>513</v>
      </c>
      <c r="K5" s="125" t="s">
        <v>526</v>
      </c>
      <c r="L5" s="120"/>
      <c r="M5" s="120"/>
      <c r="N5" s="120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120"/>
      <c r="Z5" s="120"/>
    </row>
    <row r="6">
      <c r="A6" s="117" t="s">
        <v>527</v>
      </c>
      <c r="B6" s="118" t="s">
        <v>528</v>
      </c>
      <c r="C6" s="119" t="s">
        <v>529</v>
      </c>
      <c r="D6" s="120"/>
      <c r="E6" s="121" t="s">
        <v>511</v>
      </c>
      <c r="F6" s="120"/>
      <c r="G6" s="122">
        <v>43593.0</v>
      </c>
      <c r="H6" s="126" t="s">
        <v>19</v>
      </c>
      <c r="I6" s="124" t="s">
        <v>530</v>
      </c>
      <c r="J6" s="125" t="s">
        <v>513</v>
      </c>
      <c r="K6" s="125" t="s">
        <v>526</v>
      </c>
      <c r="L6" s="120"/>
      <c r="M6" s="120"/>
      <c r="N6" s="120"/>
      <c r="O6" s="120"/>
      <c r="P6" s="120"/>
      <c r="Q6" s="120"/>
      <c r="R6" s="120"/>
      <c r="S6" s="120"/>
      <c r="T6" s="120"/>
      <c r="U6" s="120"/>
      <c r="V6" s="120"/>
      <c r="W6" s="120"/>
      <c r="X6" s="120"/>
      <c r="Y6" s="120"/>
      <c r="Z6" s="120"/>
    </row>
    <row r="7">
      <c r="A7" s="127" t="s">
        <v>531</v>
      </c>
      <c r="B7" s="128" t="s">
        <v>532</v>
      </c>
      <c r="C7" s="129" t="s">
        <v>533</v>
      </c>
      <c r="E7" s="130" t="s">
        <v>511</v>
      </c>
      <c r="G7" s="131">
        <v>43593.0</v>
      </c>
      <c r="H7" s="134" t="s">
        <v>19</v>
      </c>
      <c r="I7" s="133" t="s">
        <v>534</v>
      </c>
      <c r="J7" s="88" t="s">
        <v>513</v>
      </c>
    </row>
    <row r="8">
      <c r="A8" s="127" t="s">
        <v>535</v>
      </c>
      <c r="B8" s="128" t="s">
        <v>536</v>
      </c>
      <c r="C8" s="135"/>
      <c r="E8" s="130" t="s">
        <v>511</v>
      </c>
      <c r="G8" s="131">
        <v>43593.0</v>
      </c>
      <c r="H8" s="134" t="s">
        <v>19</v>
      </c>
      <c r="I8" s="136" t="s">
        <v>537</v>
      </c>
      <c r="J8" s="88" t="s">
        <v>538</v>
      </c>
    </row>
    <row r="9">
      <c r="A9" s="117" t="s">
        <v>539</v>
      </c>
      <c r="B9" s="118" t="s">
        <v>540</v>
      </c>
      <c r="C9" s="119" t="s">
        <v>541</v>
      </c>
      <c r="D9" s="120"/>
      <c r="E9" s="121" t="s">
        <v>511</v>
      </c>
      <c r="F9" s="120"/>
      <c r="G9" s="122">
        <v>43599.0</v>
      </c>
      <c r="H9" s="126" t="s">
        <v>19</v>
      </c>
      <c r="I9" s="124" t="s">
        <v>542</v>
      </c>
      <c r="J9" s="125" t="s">
        <v>513</v>
      </c>
      <c r="K9" s="125" t="s">
        <v>526</v>
      </c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0"/>
      <c r="Y9" s="120"/>
      <c r="Z9" s="120"/>
    </row>
    <row r="10">
      <c r="A10" s="117" t="s">
        <v>543</v>
      </c>
      <c r="B10" s="118" t="s">
        <v>544</v>
      </c>
      <c r="C10" s="119" t="s">
        <v>545</v>
      </c>
      <c r="D10" s="120"/>
      <c r="E10" s="121" t="s">
        <v>511</v>
      </c>
      <c r="F10" s="120"/>
      <c r="G10" s="122">
        <v>43599.0</v>
      </c>
      <c r="H10" s="137" t="s">
        <v>19</v>
      </c>
      <c r="I10" s="124" t="s">
        <v>546</v>
      </c>
      <c r="J10" s="125" t="s">
        <v>513</v>
      </c>
      <c r="K10" s="125" t="s">
        <v>547</v>
      </c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0"/>
      <c r="Y10" s="120"/>
      <c r="Z10" s="120"/>
    </row>
    <row r="11">
      <c r="A11" s="127" t="s">
        <v>548</v>
      </c>
      <c r="B11" s="138" t="s">
        <v>549</v>
      </c>
      <c r="C11" s="129">
        <f>+447539926215</f>
        <v>447539926215</v>
      </c>
      <c r="E11" s="130" t="s">
        <v>511</v>
      </c>
      <c r="G11" s="131">
        <v>43599.0</v>
      </c>
      <c r="H11" s="139" t="s">
        <v>19</v>
      </c>
      <c r="I11" s="133" t="s">
        <v>550</v>
      </c>
    </row>
    <row r="12">
      <c r="A12" s="127" t="s">
        <v>551</v>
      </c>
      <c r="B12" s="138" t="s">
        <v>521</v>
      </c>
      <c r="C12" s="129" t="s">
        <v>552</v>
      </c>
      <c r="E12" s="130" t="s">
        <v>511</v>
      </c>
      <c r="G12" s="131">
        <v>43599.0</v>
      </c>
      <c r="H12" s="139" t="s">
        <v>19</v>
      </c>
      <c r="I12" s="133" t="s">
        <v>553</v>
      </c>
    </row>
    <row r="13">
      <c r="A13" s="117" t="s">
        <v>554</v>
      </c>
      <c r="B13" s="118" t="s">
        <v>521</v>
      </c>
      <c r="C13" s="119" t="s">
        <v>555</v>
      </c>
      <c r="D13" s="120"/>
      <c r="E13" s="121" t="s">
        <v>511</v>
      </c>
      <c r="F13" s="120"/>
      <c r="G13" s="122">
        <v>43599.0</v>
      </c>
      <c r="H13" s="126" t="s">
        <v>19</v>
      </c>
      <c r="I13" s="124" t="s">
        <v>546</v>
      </c>
      <c r="J13" s="120"/>
      <c r="K13" s="125" t="s">
        <v>556</v>
      </c>
      <c r="L13" s="120"/>
      <c r="M13" s="120"/>
      <c r="N13" s="120"/>
      <c r="O13" s="120"/>
      <c r="P13" s="120"/>
      <c r="Q13" s="120"/>
      <c r="R13" s="120"/>
      <c r="S13" s="120"/>
      <c r="T13" s="120"/>
      <c r="U13" s="120"/>
      <c r="V13" s="120"/>
      <c r="W13" s="120"/>
      <c r="X13" s="120"/>
      <c r="Y13" s="120"/>
      <c r="Z13" s="120"/>
    </row>
    <row r="14">
      <c r="A14" s="127" t="s">
        <v>557</v>
      </c>
      <c r="B14" s="128" t="s">
        <v>558</v>
      </c>
      <c r="C14" s="129" t="s">
        <v>559</v>
      </c>
      <c r="E14" s="130" t="s">
        <v>511</v>
      </c>
      <c r="G14" s="131">
        <v>43600.0</v>
      </c>
      <c r="H14" s="134" t="s">
        <v>26</v>
      </c>
      <c r="I14" s="133" t="s">
        <v>550</v>
      </c>
    </row>
    <row r="15">
      <c r="A15" s="117" t="s">
        <v>560</v>
      </c>
      <c r="B15" s="118" t="s">
        <v>561</v>
      </c>
      <c r="C15" s="140" t="s">
        <v>562</v>
      </c>
      <c r="D15" s="120"/>
      <c r="E15" s="121" t="s">
        <v>511</v>
      </c>
      <c r="F15" s="120"/>
      <c r="G15" s="122">
        <v>43604.0</v>
      </c>
      <c r="H15" s="141" t="s">
        <v>563</v>
      </c>
      <c r="I15" s="124" t="s">
        <v>564</v>
      </c>
      <c r="J15" s="120"/>
      <c r="K15" s="125" t="s">
        <v>556</v>
      </c>
      <c r="L15" s="120"/>
      <c r="M15" s="120"/>
      <c r="N15" s="120"/>
      <c r="O15" s="120"/>
      <c r="P15" s="120"/>
      <c r="Q15" s="120"/>
      <c r="R15" s="120"/>
      <c r="S15" s="120"/>
      <c r="T15" s="120"/>
      <c r="U15" s="120"/>
      <c r="V15" s="120"/>
      <c r="W15" s="120"/>
      <c r="X15" s="120"/>
      <c r="Y15" s="120"/>
      <c r="Z15" s="120"/>
    </row>
    <row r="16">
      <c r="A16" s="117" t="s">
        <v>565</v>
      </c>
      <c r="B16" s="118" t="s">
        <v>566</v>
      </c>
      <c r="C16" s="142" t="s">
        <v>567</v>
      </c>
      <c r="D16" s="120"/>
      <c r="E16" s="121" t="s">
        <v>511</v>
      </c>
      <c r="F16" s="120"/>
      <c r="G16" s="122">
        <v>43604.0</v>
      </c>
      <c r="H16" s="141" t="s">
        <v>19</v>
      </c>
      <c r="I16" s="124" t="s">
        <v>568</v>
      </c>
      <c r="J16" s="120"/>
      <c r="K16" s="125" t="s">
        <v>569</v>
      </c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</row>
    <row r="17">
      <c r="A17" s="117" t="s">
        <v>570</v>
      </c>
      <c r="B17" s="118" t="s">
        <v>571</v>
      </c>
      <c r="C17" s="140" t="s">
        <v>572</v>
      </c>
      <c r="D17" s="120"/>
      <c r="E17" s="121" t="s">
        <v>511</v>
      </c>
      <c r="F17" s="120"/>
      <c r="G17" s="122">
        <v>43604.0</v>
      </c>
      <c r="H17" s="141" t="s">
        <v>19</v>
      </c>
      <c r="I17" s="124" t="s">
        <v>573</v>
      </c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</row>
    <row r="18">
      <c r="A18" s="117" t="s">
        <v>574</v>
      </c>
      <c r="B18" s="118" t="s">
        <v>575</v>
      </c>
      <c r="C18" s="140" t="s">
        <v>576</v>
      </c>
      <c r="D18" s="120"/>
      <c r="E18" s="121" t="s">
        <v>511</v>
      </c>
      <c r="F18" s="120"/>
      <c r="G18" s="122">
        <v>43604.0</v>
      </c>
      <c r="H18" s="141" t="s">
        <v>19</v>
      </c>
      <c r="I18" s="124" t="s">
        <v>577</v>
      </c>
      <c r="J18" s="120"/>
      <c r="K18" s="125" t="s">
        <v>578</v>
      </c>
      <c r="L18" s="120"/>
      <c r="M18" s="120"/>
      <c r="N18" s="120"/>
      <c r="O18" s="120"/>
      <c r="P18" s="120"/>
      <c r="Q18" s="120"/>
      <c r="R18" s="120"/>
      <c r="S18" s="120"/>
      <c r="T18" s="120"/>
      <c r="U18" s="120"/>
      <c r="V18" s="120"/>
      <c r="W18" s="120"/>
      <c r="X18" s="120"/>
      <c r="Y18" s="120"/>
      <c r="Z18" s="120"/>
    </row>
    <row r="19">
      <c r="A19" s="117" t="s">
        <v>579</v>
      </c>
      <c r="B19" s="118" t="s">
        <v>521</v>
      </c>
      <c r="C19" s="140">
        <v>9.66561522005E11</v>
      </c>
      <c r="D19" s="120"/>
      <c r="E19" s="121" t="s">
        <v>511</v>
      </c>
      <c r="F19" s="120"/>
      <c r="G19" s="122">
        <v>43601.0</v>
      </c>
      <c r="H19" s="143" t="s">
        <v>19</v>
      </c>
      <c r="I19" s="124" t="s">
        <v>580</v>
      </c>
      <c r="J19" s="120"/>
      <c r="K19" s="125" t="s">
        <v>581</v>
      </c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Z19" s="120"/>
    </row>
    <row r="20">
      <c r="A20" s="117" t="s">
        <v>582</v>
      </c>
      <c r="B20" s="118" t="s">
        <v>583</v>
      </c>
      <c r="C20" s="140" t="s">
        <v>584</v>
      </c>
      <c r="D20" s="120"/>
      <c r="E20" s="121" t="s">
        <v>511</v>
      </c>
      <c r="F20" s="120"/>
      <c r="G20" s="122">
        <v>43601.0</v>
      </c>
      <c r="H20" s="126" t="s">
        <v>19</v>
      </c>
      <c r="I20" s="124" t="s">
        <v>585</v>
      </c>
      <c r="J20" s="120"/>
      <c r="K20" s="125" t="s">
        <v>586</v>
      </c>
      <c r="L20" s="120"/>
      <c r="M20" s="120"/>
      <c r="N20" s="120"/>
      <c r="O20" s="120"/>
      <c r="P20" s="120"/>
      <c r="Q20" s="120"/>
      <c r="R20" s="120"/>
      <c r="S20" s="120"/>
      <c r="T20" s="120"/>
      <c r="U20" s="120"/>
      <c r="V20" s="120"/>
      <c r="W20" s="120"/>
      <c r="X20" s="120"/>
      <c r="Y20" s="120"/>
      <c r="Z20" s="120"/>
    </row>
    <row r="21">
      <c r="A21" s="144" t="s">
        <v>587</v>
      </c>
      <c r="B21" s="118" t="s">
        <v>588</v>
      </c>
      <c r="C21" s="140" t="s">
        <v>589</v>
      </c>
      <c r="D21" s="120"/>
      <c r="E21" s="121" t="s">
        <v>511</v>
      </c>
      <c r="F21" s="120"/>
      <c r="G21" s="145">
        <v>43610.0</v>
      </c>
      <c r="H21" s="141" t="s">
        <v>19</v>
      </c>
      <c r="I21" s="124" t="s">
        <v>590</v>
      </c>
      <c r="J21" s="120"/>
      <c r="K21" s="124" t="s">
        <v>590</v>
      </c>
      <c r="L21" s="120"/>
      <c r="M21" s="120"/>
      <c r="N21" s="120"/>
      <c r="O21" s="120"/>
      <c r="P21" s="120"/>
      <c r="Q21" s="120"/>
      <c r="R21" s="120"/>
      <c r="S21" s="120"/>
      <c r="T21" s="120"/>
      <c r="U21" s="120"/>
      <c r="V21" s="120"/>
      <c r="W21" s="120"/>
      <c r="X21" s="120"/>
      <c r="Y21" s="120"/>
      <c r="Z21" s="120"/>
    </row>
    <row r="22">
      <c r="A22" s="117" t="s">
        <v>591</v>
      </c>
      <c r="B22" s="118" t="s">
        <v>592</v>
      </c>
      <c r="C22" s="140" t="s">
        <v>593</v>
      </c>
      <c r="D22" s="120"/>
      <c r="E22" s="121" t="s">
        <v>511</v>
      </c>
      <c r="F22" s="120"/>
      <c r="G22" s="122">
        <v>43610.0</v>
      </c>
      <c r="H22" s="137" t="s">
        <v>19</v>
      </c>
      <c r="I22" s="124" t="s">
        <v>550</v>
      </c>
      <c r="J22" s="120"/>
      <c r="K22" s="124" t="s">
        <v>550</v>
      </c>
      <c r="L22" s="120"/>
      <c r="M22" s="120"/>
      <c r="N22" s="120"/>
      <c r="O22" s="120"/>
      <c r="P22" s="120"/>
      <c r="Q22" s="120"/>
      <c r="R22" s="120"/>
      <c r="S22" s="120"/>
      <c r="T22" s="120"/>
      <c r="U22" s="120"/>
      <c r="V22" s="120"/>
      <c r="W22" s="120"/>
      <c r="X22" s="120"/>
      <c r="Y22" s="120"/>
      <c r="Z22" s="120"/>
    </row>
    <row r="23">
      <c r="A23" s="117" t="s">
        <v>594</v>
      </c>
      <c r="B23" s="118" t="s">
        <v>595</v>
      </c>
      <c r="C23" s="140" t="s">
        <v>596</v>
      </c>
      <c r="D23" s="120"/>
      <c r="E23" s="121" t="s">
        <v>511</v>
      </c>
      <c r="F23" s="120"/>
      <c r="G23" s="122">
        <v>43608.0</v>
      </c>
      <c r="H23" s="137" t="s">
        <v>19</v>
      </c>
      <c r="I23" s="124" t="s">
        <v>597</v>
      </c>
      <c r="J23" s="120"/>
      <c r="K23" s="124" t="s">
        <v>598</v>
      </c>
      <c r="L23" s="120"/>
      <c r="M23" s="120"/>
      <c r="N23" s="120"/>
      <c r="O23" s="120"/>
      <c r="P23" s="120"/>
      <c r="Q23" s="120"/>
      <c r="R23" s="120"/>
      <c r="S23" s="120"/>
      <c r="T23" s="120"/>
      <c r="U23" s="120"/>
      <c r="V23" s="120"/>
      <c r="W23" s="120"/>
      <c r="X23" s="120"/>
      <c r="Y23" s="120"/>
      <c r="Z23" s="120"/>
    </row>
    <row r="24">
      <c r="A24" s="117" t="s">
        <v>599</v>
      </c>
      <c r="B24" s="118" t="s">
        <v>600</v>
      </c>
      <c r="C24" s="140" t="s">
        <v>601</v>
      </c>
      <c r="D24" s="120"/>
      <c r="E24" s="121" t="s">
        <v>511</v>
      </c>
      <c r="F24" s="120"/>
      <c r="G24" s="122">
        <v>43608.0</v>
      </c>
      <c r="H24" s="126" t="s">
        <v>19</v>
      </c>
      <c r="I24" s="124" t="s">
        <v>546</v>
      </c>
      <c r="J24" s="120"/>
      <c r="K24" s="125" t="s">
        <v>602</v>
      </c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Z24" s="120"/>
    </row>
    <row r="25">
      <c r="A25" s="127" t="s">
        <v>603</v>
      </c>
      <c r="B25" s="128" t="s">
        <v>595</v>
      </c>
      <c r="C25" s="146" t="s">
        <v>604</v>
      </c>
      <c r="E25" s="130" t="s">
        <v>511</v>
      </c>
      <c r="G25" s="131">
        <v>43607.0</v>
      </c>
      <c r="H25" s="132" t="s">
        <v>19</v>
      </c>
      <c r="I25" s="133" t="s">
        <v>605</v>
      </c>
      <c r="K25" s="124" t="s">
        <v>605</v>
      </c>
    </row>
    <row r="26">
      <c r="A26" s="117" t="s">
        <v>606</v>
      </c>
      <c r="B26" s="118" t="s">
        <v>607</v>
      </c>
      <c r="C26" s="140" t="s">
        <v>608</v>
      </c>
      <c r="D26" s="140"/>
      <c r="E26" s="147"/>
      <c r="F26" s="117"/>
      <c r="G26" s="122">
        <v>43610.0</v>
      </c>
      <c r="H26" s="143" t="s">
        <v>609</v>
      </c>
      <c r="I26" s="120"/>
      <c r="J26" s="120"/>
      <c r="K26" s="125" t="s">
        <v>610</v>
      </c>
      <c r="L26" s="120"/>
      <c r="M26" s="120"/>
      <c r="N26" s="120"/>
      <c r="O26" s="120"/>
      <c r="P26" s="120"/>
      <c r="Q26" s="120"/>
      <c r="R26" s="120"/>
      <c r="S26" s="120"/>
      <c r="T26" s="120"/>
      <c r="U26" s="120"/>
      <c r="V26" s="120"/>
      <c r="W26" s="120"/>
      <c r="X26" s="120"/>
      <c r="Y26" s="120"/>
      <c r="Z26" s="120"/>
    </row>
    <row r="27">
      <c r="A27" s="127"/>
      <c r="B27" s="148"/>
      <c r="C27" s="138"/>
      <c r="D27" s="146"/>
      <c r="E27" s="149"/>
      <c r="F27" s="127"/>
      <c r="G27" s="131">
        <v>43610.0</v>
      </c>
      <c r="H27" s="146" t="s">
        <v>19</v>
      </c>
    </row>
    <row r="28">
      <c r="E28" s="149"/>
      <c r="F28" s="149"/>
      <c r="G28" s="131">
        <v>43612.0</v>
      </c>
      <c r="H28" s="134" t="s">
        <v>26</v>
      </c>
    </row>
  </sheetData>
  <hyperlinks>
    <hyperlink r:id="rId1" ref="A2"/>
    <hyperlink r:id="rId2" ref="B2"/>
    <hyperlink r:id="rId3" ref="A3"/>
    <hyperlink r:id="rId4" ref="B3"/>
    <hyperlink r:id="rId5" ref="A4"/>
    <hyperlink r:id="rId6" ref="B4"/>
    <hyperlink r:id="rId7" ref="A5"/>
    <hyperlink r:id="rId8" ref="B5"/>
    <hyperlink r:id="rId9" ref="A6"/>
    <hyperlink r:id="rId10" ref="B6"/>
    <hyperlink r:id="rId11" ref="A7"/>
    <hyperlink r:id="rId12" ref="B7"/>
    <hyperlink r:id="rId13" ref="A8"/>
    <hyperlink r:id="rId14" ref="B8"/>
    <hyperlink r:id="rId15" ref="A9"/>
    <hyperlink r:id="rId16" ref="B9"/>
    <hyperlink r:id="rId17" ref="A10"/>
    <hyperlink r:id="rId18" ref="B10"/>
    <hyperlink r:id="rId19" ref="A11"/>
    <hyperlink r:id="rId20" ref="B11"/>
    <hyperlink r:id="rId21" ref="A12"/>
    <hyperlink r:id="rId22" ref="B12"/>
    <hyperlink r:id="rId23" ref="A13"/>
    <hyperlink r:id="rId24" ref="B13"/>
    <hyperlink r:id="rId25" ref="A14"/>
    <hyperlink r:id="rId26" ref="B14"/>
    <hyperlink r:id="rId27" ref="A15"/>
    <hyperlink r:id="rId28" ref="B15"/>
    <hyperlink r:id="rId29" ref="A16"/>
    <hyperlink r:id="rId30" ref="B16"/>
    <hyperlink r:id="rId31" ref="A17"/>
    <hyperlink r:id="rId32" ref="B17"/>
    <hyperlink r:id="rId33" ref="A18"/>
    <hyperlink r:id="rId34" ref="B18"/>
    <hyperlink r:id="rId35" ref="A19"/>
    <hyperlink r:id="rId36" ref="B19"/>
    <hyperlink r:id="rId37" ref="A20"/>
    <hyperlink r:id="rId38" ref="B20"/>
    <hyperlink r:id="rId39" ref="A21"/>
    <hyperlink r:id="rId40" ref="B21"/>
    <hyperlink r:id="rId41" ref="A22"/>
    <hyperlink r:id="rId42" ref="B22"/>
    <hyperlink r:id="rId43" ref="A23"/>
    <hyperlink r:id="rId44" ref="B23"/>
    <hyperlink r:id="rId45" ref="A24"/>
    <hyperlink r:id="rId46" ref="B24"/>
    <hyperlink r:id="rId47" ref="A25"/>
    <hyperlink r:id="rId48" ref="B25"/>
    <hyperlink r:id="rId49" ref="A26"/>
    <hyperlink r:id="rId50" ref="B26"/>
  </hyperlinks>
  <drawing r:id="rId5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75"/>
  <cols>
    <col customWidth="1" min="1" max="1" width="39.14"/>
    <col customWidth="1" min="2" max="2" width="20.86"/>
    <col customWidth="1" min="3" max="3" width="33.0"/>
    <col customWidth="1" min="4" max="4" width="31.43"/>
  </cols>
  <sheetData>
    <row r="1">
      <c r="A1" s="87">
        <v>0.0</v>
      </c>
      <c r="B1" s="87" t="s">
        <v>367</v>
      </c>
      <c r="C1" s="87" t="s">
        <v>368</v>
      </c>
      <c r="D1" s="87" t="s">
        <v>369</v>
      </c>
    </row>
    <row r="2">
      <c r="A2" s="148" t="s">
        <v>611</v>
      </c>
      <c r="B2" s="150" t="s">
        <v>612</v>
      </c>
      <c r="C2" s="148" t="s">
        <v>613</v>
      </c>
      <c r="D2" s="88" t="s">
        <v>614</v>
      </c>
    </row>
    <row r="3">
      <c r="A3" s="148" t="s">
        <v>615</v>
      </c>
      <c r="B3" s="150" t="s">
        <v>616</v>
      </c>
      <c r="C3" s="148" t="s">
        <v>617</v>
      </c>
    </row>
    <row r="4">
      <c r="A4" s="148" t="s">
        <v>618</v>
      </c>
      <c r="B4" s="150" t="s">
        <v>619</v>
      </c>
      <c r="C4" s="148" t="s">
        <v>620</v>
      </c>
    </row>
    <row r="5">
      <c r="A5" s="148" t="s">
        <v>621</v>
      </c>
      <c r="B5" s="150" t="s">
        <v>622</v>
      </c>
      <c r="C5" s="148" t="s">
        <v>623</v>
      </c>
    </row>
    <row r="6">
      <c r="A6" s="148" t="s">
        <v>624</v>
      </c>
      <c r="B6" s="150" t="s">
        <v>625</v>
      </c>
      <c r="C6" s="148" t="s">
        <v>626</v>
      </c>
    </row>
    <row r="7">
      <c r="A7" s="148" t="s">
        <v>627</v>
      </c>
      <c r="B7" s="150" t="s">
        <v>628</v>
      </c>
      <c r="C7" s="148" t="s">
        <v>629</v>
      </c>
    </row>
    <row r="8">
      <c r="A8" s="148" t="s">
        <v>630</v>
      </c>
      <c r="B8" s="150" t="s">
        <v>631</v>
      </c>
      <c r="C8" s="148" t="s">
        <v>632</v>
      </c>
    </row>
    <row r="9">
      <c r="A9" s="148" t="s">
        <v>633</v>
      </c>
      <c r="B9" s="150" t="s">
        <v>634</v>
      </c>
      <c r="C9" s="148" t="s">
        <v>635</v>
      </c>
    </row>
    <row r="10">
      <c r="A10" s="148" t="s">
        <v>636</v>
      </c>
      <c r="B10" s="150" t="s">
        <v>637</v>
      </c>
      <c r="C10" s="148" t="s">
        <v>638</v>
      </c>
    </row>
    <row r="11">
      <c r="A11" s="148" t="s">
        <v>639</v>
      </c>
      <c r="B11" s="150" t="s">
        <v>640</v>
      </c>
      <c r="C11" s="148" t="s">
        <v>641</v>
      </c>
    </row>
    <row r="12">
      <c r="A12" s="148" t="s">
        <v>642</v>
      </c>
      <c r="B12" s="150" t="s">
        <v>643</v>
      </c>
      <c r="C12" s="148" t="s">
        <v>644</v>
      </c>
    </row>
    <row r="13">
      <c r="A13" s="148" t="s">
        <v>645</v>
      </c>
      <c r="B13" s="150" t="s">
        <v>646</v>
      </c>
      <c r="C13" s="148" t="s">
        <v>647</v>
      </c>
    </row>
    <row r="14">
      <c r="A14" s="148" t="s">
        <v>648</v>
      </c>
      <c r="B14" s="150" t="s">
        <v>649</v>
      </c>
      <c r="C14" s="148" t="s">
        <v>650</v>
      </c>
    </row>
    <row r="15">
      <c r="A15" s="148" t="s">
        <v>651</v>
      </c>
      <c r="B15" s="150" t="s">
        <v>652</v>
      </c>
      <c r="C15" s="148" t="s">
        <v>653</v>
      </c>
    </row>
    <row r="16">
      <c r="A16" s="148" t="s">
        <v>654</v>
      </c>
      <c r="B16" s="150" t="s">
        <v>655</v>
      </c>
      <c r="C16" s="148" t="s">
        <v>656</v>
      </c>
    </row>
    <row r="17">
      <c r="A17" s="148" t="s">
        <v>657</v>
      </c>
      <c r="B17" s="150" t="s">
        <v>658</v>
      </c>
      <c r="C17" s="148" t="s">
        <v>659</v>
      </c>
    </row>
    <row r="18">
      <c r="A18" s="148" t="s">
        <v>660</v>
      </c>
      <c r="B18" s="150" t="s">
        <v>661</v>
      </c>
      <c r="C18" s="148" t="s">
        <v>662</v>
      </c>
    </row>
    <row r="19">
      <c r="A19" s="148" t="s">
        <v>663</v>
      </c>
      <c r="B19" s="150" t="s">
        <v>664</v>
      </c>
      <c r="C19" s="148" t="s">
        <v>665</v>
      </c>
    </row>
    <row r="20">
      <c r="A20" s="148" t="s">
        <v>666</v>
      </c>
      <c r="B20" s="150" t="s">
        <v>667</v>
      </c>
      <c r="C20" s="148" t="s">
        <v>668</v>
      </c>
    </row>
    <row r="21">
      <c r="A21" s="148" t="s">
        <v>669</v>
      </c>
      <c r="B21" s="150" t="s">
        <v>670</v>
      </c>
      <c r="C21" s="148" t="s">
        <v>671</v>
      </c>
    </row>
    <row r="22">
      <c r="A22" s="148" t="s">
        <v>672</v>
      </c>
      <c r="B22" s="150" t="s">
        <v>673</v>
      </c>
      <c r="C22" s="148" t="s">
        <v>674</v>
      </c>
    </row>
    <row r="23">
      <c r="A23" s="148" t="s">
        <v>675</v>
      </c>
      <c r="B23" s="150" t="s">
        <v>676</v>
      </c>
      <c r="C23" s="148" t="s">
        <v>677</v>
      </c>
    </row>
    <row r="24">
      <c r="A24" s="148" t="s">
        <v>678</v>
      </c>
      <c r="B24" s="150" t="s">
        <v>679</v>
      </c>
      <c r="C24" s="148" t="s">
        <v>680</v>
      </c>
    </row>
    <row r="25">
      <c r="A25" s="148" t="s">
        <v>681</v>
      </c>
      <c r="B25" s="150" t="s">
        <v>682</v>
      </c>
      <c r="C25" s="148" t="s">
        <v>683</v>
      </c>
    </row>
    <row r="26">
      <c r="A26" s="148" t="s">
        <v>684</v>
      </c>
      <c r="B26" s="150" t="s">
        <v>685</v>
      </c>
      <c r="C26" s="148" t="s">
        <v>686</v>
      </c>
    </row>
    <row r="27">
      <c r="A27" s="148" t="s">
        <v>687</v>
      </c>
      <c r="B27" s="150" t="s">
        <v>688</v>
      </c>
      <c r="C27" s="148" t="s">
        <v>689</v>
      </c>
    </row>
    <row r="28">
      <c r="A28" s="148" t="s">
        <v>618</v>
      </c>
      <c r="B28" s="150" t="s">
        <v>619</v>
      </c>
      <c r="C28" s="148" t="s">
        <v>620</v>
      </c>
    </row>
    <row r="29">
      <c r="A29" s="148" t="s">
        <v>690</v>
      </c>
      <c r="B29" s="150" t="s">
        <v>691</v>
      </c>
      <c r="C29" s="148" t="s">
        <v>692</v>
      </c>
    </row>
    <row r="30">
      <c r="A30" s="148" t="s">
        <v>693</v>
      </c>
      <c r="B30" s="150" t="s">
        <v>694</v>
      </c>
      <c r="C30" s="148" t="s">
        <v>695</v>
      </c>
    </row>
    <row r="31">
      <c r="A31" s="148" t="s">
        <v>696</v>
      </c>
      <c r="B31" s="150" t="s">
        <v>697</v>
      </c>
      <c r="C31" s="148" t="s">
        <v>698</v>
      </c>
    </row>
    <row r="32">
      <c r="A32" s="148" t="s">
        <v>699</v>
      </c>
      <c r="B32" s="150" t="s">
        <v>700</v>
      </c>
      <c r="C32" s="148" t="s">
        <v>701</v>
      </c>
    </row>
    <row r="33">
      <c r="A33" s="148" t="s">
        <v>702</v>
      </c>
      <c r="B33" s="150" t="s">
        <v>703</v>
      </c>
      <c r="C33" s="148" t="s">
        <v>704</v>
      </c>
    </row>
    <row r="34">
      <c r="A34" s="148" t="s">
        <v>705</v>
      </c>
      <c r="B34" s="150" t="s">
        <v>706</v>
      </c>
      <c r="C34" s="148" t="s">
        <v>707</v>
      </c>
    </row>
    <row r="35">
      <c r="A35" s="148" t="s">
        <v>708</v>
      </c>
      <c r="B35" s="150" t="s">
        <v>709</v>
      </c>
      <c r="C35" s="148" t="s">
        <v>710</v>
      </c>
    </row>
    <row r="36">
      <c r="A36" s="148" t="s">
        <v>711</v>
      </c>
      <c r="B36" s="150" t="s">
        <v>712</v>
      </c>
      <c r="C36" s="148" t="s">
        <v>713</v>
      </c>
    </row>
    <row r="37">
      <c r="A37" s="148" t="s">
        <v>714</v>
      </c>
      <c r="B37" s="150" t="s">
        <v>715</v>
      </c>
      <c r="C37" s="148" t="s">
        <v>716</v>
      </c>
    </row>
    <row r="38">
      <c r="A38" s="148" t="s">
        <v>717</v>
      </c>
      <c r="B38" s="150" t="s">
        <v>718</v>
      </c>
      <c r="C38" s="148" t="s">
        <v>719</v>
      </c>
    </row>
    <row r="39">
      <c r="A39" s="148" t="s">
        <v>720</v>
      </c>
      <c r="B39" s="150" t="s">
        <v>721</v>
      </c>
      <c r="C39" s="148" t="s">
        <v>722</v>
      </c>
    </row>
    <row r="40">
      <c r="A40" s="148" t="s">
        <v>723</v>
      </c>
      <c r="B40" s="150" t="s">
        <v>724</v>
      </c>
      <c r="C40" s="148" t="s">
        <v>725</v>
      </c>
    </row>
    <row r="41">
      <c r="A41" s="148" t="s">
        <v>726</v>
      </c>
      <c r="B41" s="150" t="s">
        <v>724</v>
      </c>
      <c r="C41" s="148" t="s">
        <v>725</v>
      </c>
    </row>
    <row r="42">
      <c r="A42" s="148" t="s">
        <v>726</v>
      </c>
      <c r="B42" s="150" t="s">
        <v>724</v>
      </c>
      <c r="C42" s="148" t="s">
        <v>725</v>
      </c>
    </row>
    <row r="43">
      <c r="A43" s="148" t="s">
        <v>726</v>
      </c>
      <c r="B43" s="150" t="s">
        <v>724</v>
      </c>
      <c r="C43" s="148" t="s">
        <v>725</v>
      </c>
    </row>
    <row r="44">
      <c r="A44" s="148" t="s">
        <v>727</v>
      </c>
      <c r="B44" s="150" t="s">
        <v>728</v>
      </c>
      <c r="C44" s="148" t="s">
        <v>729</v>
      </c>
    </row>
    <row r="45">
      <c r="A45" s="148" t="s">
        <v>730</v>
      </c>
      <c r="B45" s="150" t="s">
        <v>731</v>
      </c>
      <c r="C45" s="148" t="s">
        <v>732</v>
      </c>
    </row>
    <row r="46">
      <c r="A46" s="148" t="s">
        <v>733</v>
      </c>
      <c r="B46" s="150" t="s">
        <v>734</v>
      </c>
      <c r="C46" s="148" t="s">
        <v>735</v>
      </c>
    </row>
    <row r="47">
      <c r="A47" s="148" t="s">
        <v>736</v>
      </c>
      <c r="B47" s="150" t="s">
        <v>737</v>
      </c>
      <c r="C47" s="148" t="s">
        <v>738</v>
      </c>
    </row>
    <row r="48">
      <c r="A48" s="148" t="s">
        <v>739</v>
      </c>
      <c r="B48" s="150" t="s">
        <v>740</v>
      </c>
      <c r="C48" s="148" t="s">
        <v>741</v>
      </c>
    </row>
    <row r="49">
      <c r="A49" s="148" t="s">
        <v>742</v>
      </c>
      <c r="B49" s="150" t="s">
        <v>743</v>
      </c>
      <c r="C49" s="148" t="s">
        <v>744</v>
      </c>
    </row>
    <row r="50">
      <c r="A50" s="148" t="s">
        <v>745</v>
      </c>
      <c r="B50" s="150" t="s">
        <v>746</v>
      </c>
      <c r="C50" s="148" t="s">
        <v>747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cols>
    <col customWidth="1" min="4" max="4" width="8.14"/>
    <col customWidth="1" min="6" max="6" width="42.71"/>
    <col customWidth="1" min="7" max="7" width="20.0"/>
    <col customWidth="1" min="8" max="8" width="27.0"/>
    <col customWidth="1" min="9" max="9" width="19.0"/>
    <col customWidth="1" min="10" max="10" width="23.43"/>
    <col customWidth="1" min="11" max="11" width="20.14"/>
    <col customWidth="1" min="12" max="12" width="51.57"/>
  </cols>
  <sheetData>
    <row r="1">
      <c r="A1" s="151" t="s">
        <v>748</v>
      </c>
      <c r="B1" s="151" t="s">
        <v>749</v>
      </c>
      <c r="C1" s="151" t="s">
        <v>750</v>
      </c>
      <c r="D1" s="151" t="s">
        <v>751</v>
      </c>
      <c r="E1" s="151" t="s">
        <v>752</v>
      </c>
      <c r="F1" s="151" t="s">
        <v>366</v>
      </c>
      <c r="G1" s="151" t="s">
        <v>753</v>
      </c>
      <c r="H1" s="151" t="s">
        <v>368</v>
      </c>
      <c r="I1" s="151" t="s">
        <v>367</v>
      </c>
      <c r="J1" s="151" t="s">
        <v>754</v>
      </c>
      <c r="K1" s="151" t="s">
        <v>755</v>
      </c>
      <c r="L1" s="152" t="s">
        <v>369</v>
      </c>
      <c r="M1" s="153"/>
      <c r="N1" s="153"/>
      <c r="O1" s="153"/>
      <c r="P1" s="153"/>
      <c r="Q1" s="153"/>
      <c r="R1" s="153"/>
      <c r="S1" s="153"/>
      <c r="T1" s="153"/>
      <c r="U1" s="153"/>
      <c r="V1" s="153"/>
      <c r="W1" s="153"/>
      <c r="X1" s="153"/>
      <c r="Y1" s="153"/>
      <c r="Z1" s="153"/>
    </row>
    <row r="2">
      <c r="A2" s="154" t="s">
        <v>756</v>
      </c>
      <c r="B2" s="155"/>
      <c r="C2" s="154" t="s">
        <v>757</v>
      </c>
      <c r="D2" s="155"/>
      <c r="E2" s="155"/>
      <c r="F2" s="154" t="s">
        <v>758</v>
      </c>
      <c r="G2" s="154">
        <v>3300100.0</v>
      </c>
      <c r="H2" s="156">
        <v>0.0</v>
      </c>
      <c r="I2" s="154" t="s">
        <v>759</v>
      </c>
      <c r="J2" s="156">
        <v>0.0</v>
      </c>
      <c r="K2" s="154" t="s">
        <v>760</v>
      </c>
    </row>
    <row r="3">
      <c r="A3" s="154" t="s">
        <v>756</v>
      </c>
      <c r="B3" s="154" t="s">
        <v>757</v>
      </c>
      <c r="D3" s="154">
        <v>2.0</v>
      </c>
      <c r="E3" s="154" t="s">
        <v>761</v>
      </c>
      <c r="F3" s="154" t="s">
        <v>758</v>
      </c>
      <c r="G3" s="154">
        <v>3300100.0</v>
      </c>
      <c r="H3" s="156">
        <v>0.0</v>
      </c>
      <c r="I3" s="154" t="s">
        <v>759</v>
      </c>
      <c r="J3" s="156">
        <v>0.0</v>
      </c>
      <c r="K3" s="154" t="s">
        <v>760</v>
      </c>
    </row>
    <row r="4">
      <c r="A4" s="154" t="s">
        <v>762</v>
      </c>
      <c r="B4" s="154" t="s">
        <v>763</v>
      </c>
      <c r="D4" s="154">
        <v>2.0</v>
      </c>
      <c r="E4" s="154" t="s">
        <v>761</v>
      </c>
      <c r="F4" s="154" t="s">
        <v>764</v>
      </c>
      <c r="G4" s="154" t="s">
        <v>765</v>
      </c>
      <c r="H4" s="156">
        <v>0.0</v>
      </c>
      <c r="I4" s="154" t="s">
        <v>766</v>
      </c>
      <c r="J4" s="154" t="s">
        <v>765</v>
      </c>
      <c r="K4" s="154" t="s">
        <v>361</v>
      </c>
    </row>
    <row r="5">
      <c r="A5" s="154" t="s">
        <v>762</v>
      </c>
      <c r="B5" s="155"/>
      <c r="C5" s="154" t="s">
        <v>763</v>
      </c>
      <c r="D5" s="155"/>
      <c r="E5" s="155"/>
      <c r="F5" s="154" t="s">
        <v>764</v>
      </c>
      <c r="G5" s="154" t="s">
        <v>765</v>
      </c>
      <c r="H5" s="156">
        <v>0.0</v>
      </c>
      <c r="I5" s="154" t="s">
        <v>766</v>
      </c>
      <c r="J5" s="154" t="s">
        <v>765</v>
      </c>
      <c r="K5" s="154" t="s">
        <v>361</v>
      </c>
    </row>
    <row r="6">
      <c r="A6" s="154" t="s">
        <v>767</v>
      </c>
      <c r="B6" s="155"/>
      <c r="C6" s="154" t="s">
        <v>768</v>
      </c>
      <c r="D6" s="155"/>
      <c r="E6" s="155"/>
      <c r="F6" s="154" t="s">
        <v>769</v>
      </c>
      <c r="G6" s="154">
        <v>4.367312E7</v>
      </c>
      <c r="H6" s="156">
        <v>0.0</v>
      </c>
      <c r="I6" s="156">
        <v>0.0</v>
      </c>
      <c r="J6" s="156">
        <v>0.0</v>
      </c>
      <c r="K6" s="156">
        <v>0.0</v>
      </c>
    </row>
    <row r="7">
      <c r="A7" s="154" t="s">
        <v>767</v>
      </c>
      <c r="B7" s="154" t="s">
        <v>768</v>
      </c>
      <c r="D7" s="154">
        <v>2.0</v>
      </c>
      <c r="E7" s="154" t="s">
        <v>761</v>
      </c>
      <c r="F7" s="154" t="s">
        <v>770</v>
      </c>
      <c r="G7" s="154">
        <v>4.3408687E7</v>
      </c>
      <c r="H7" s="156">
        <v>0.0</v>
      </c>
      <c r="I7" s="154">
        <v>4.42745E7</v>
      </c>
      <c r="J7" s="156">
        <v>0.0</v>
      </c>
      <c r="K7" s="154" t="s">
        <v>329</v>
      </c>
    </row>
    <row r="8">
      <c r="A8" s="154" t="s">
        <v>771</v>
      </c>
      <c r="B8" s="154" t="s">
        <v>772</v>
      </c>
      <c r="D8" s="154">
        <v>2.0</v>
      </c>
      <c r="E8" s="154" t="s">
        <v>761</v>
      </c>
      <c r="F8" s="154" t="s">
        <v>773</v>
      </c>
      <c r="G8" s="156">
        <v>0.0</v>
      </c>
      <c r="H8" s="154" t="s">
        <v>774</v>
      </c>
      <c r="I8" s="154" t="s">
        <v>775</v>
      </c>
      <c r="J8" s="156">
        <v>0.0</v>
      </c>
      <c r="K8" s="154" t="s">
        <v>776</v>
      </c>
    </row>
    <row r="9">
      <c r="A9" s="154" t="s">
        <v>771</v>
      </c>
      <c r="B9" s="155"/>
      <c r="C9" s="154" t="s">
        <v>772</v>
      </c>
      <c r="D9" s="155"/>
      <c r="E9" s="155"/>
      <c r="F9" s="154" t="s">
        <v>773</v>
      </c>
      <c r="G9" s="156">
        <v>0.0</v>
      </c>
      <c r="H9" s="154" t="s">
        <v>774</v>
      </c>
      <c r="I9" s="154" t="s">
        <v>775</v>
      </c>
      <c r="J9" s="156">
        <v>0.0</v>
      </c>
      <c r="K9" s="154" t="s">
        <v>776</v>
      </c>
    </row>
    <row r="10">
      <c r="A10" s="154" t="s">
        <v>777</v>
      </c>
      <c r="B10" s="154" t="s">
        <v>778</v>
      </c>
      <c r="D10" s="154">
        <v>2.0</v>
      </c>
      <c r="E10" s="154" t="s">
        <v>761</v>
      </c>
      <c r="F10" s="154" t="s">
        <v>779</v>
      </c>
      <c r="G10" s="154">
        <v>0.0</v>
      </c>
      <c r="H10" s="156">
        <v>0.0</v>
      </c>
      <c r="I10" s="154">
        <v>9.71506955323E11</v>
      </c>
      <c r="J10" s="156">
        <v>0.0</v>
      </c>
      <c r="K10" s="154" t="s">
        <v>207</v>
      </c>
    </row>
    <row r="11">
      <c r="A11" s="154" t="s">
        <v>777</v>
      </c>
      <c r="B11" s="155"/>
      <c r="C11" s="154" t="s">
        <v>778</v>
      </c>
      <c r="D11" s="155"/>
      <c r="E11" s="155"/>
      <c r="F11" s="154" t="s">
        <v>779</v>
      </c>
      <c r="G11" s="154">
        <v>0.0</v>
      </c>
      <c r="H11" s="156">
        <v>0.0</v>
      </c>
      <c r="I11" s="154">
        <v>9.71506955323E11</v>
      </c>
      <c r="J11" s="156">
        <v>0.0</v>
      </c>
      <c r="K11" s="154" t="s">
        <v>207</v>
      </c>
    </row>
    <row r="12">
      <c r="A12" s="154" t="s">
        <v>780</v>
      </c>
      <c r="B12" s="154" t="s">
        <v>781</v>
      </c>
      <c r="D12" s="154">
        <v>2.0</v>
      </c>
      <c r="E12" s="154" t="s">
        <v>761</v>
      </c>
      <c r="F12" s="154" t="s">
        <v>782</v>
      </c>
      <c r="G12" s="154">
        <v>4.42745E7</v>
      </c>
      <c r="H12" s="156">
        <v>0.0</v>
      </c>
      <c r="I12" s="154">
        <v>4.42745E7</v>
      </c>
      <c r="J12" s="156">
        <v>0.0</v>
      </c>
      <c r="K12" s="154" t="s">
        <v>240</v>
      </c>
    </row>
    <row r="13">
      <c r="A13" s="154" t="s">
        <v>780</v>
      </c>
      <c r="B13" s="155"/>
      <c r="C13" s="154" t="s">
        <v>781</v>
      </c>
      <c r="D13" s="155"/>
      <c r="E13" s="155"/>
      <c r="F13" s="154" t="s">
        <v>783</v>
      </c>
      <c r="G13" s="154">
        <v>4.42745E7</v>
      </c>
      <c r="H13" s="156">
        <v>0.0</v>
      </c>
      <c r="I13" s="154">
        <v>4.42745E7</v>
      </c>
      <c r="J13" s="156">
        <v>0.0</v>
      </c>
      <c r="K13" s="154" t="s">
        <v>240</v>
      </c>
    </row>
    <row r="14">
      <c r="A14" s="154" t="s">
        <v>784</v>
      </c>
      <c r="B14" s="155"/>
      <c r="C14" s="154" t="s">
        <v>785</v>
      </c>
      <c r="D14" s="155"/>
      <c r="E14" s="155"/>
      <c r="F14" s="154" t="s">
        <v>786</v>
      </c>
      <c r="G14" s="156">
        <v>0.0</v>
      </c>
      <c r="H14" s="154" t="s">
        <v>787</v>
      </c>
      <c r="I14" s="154" t="s">
        <v>788</v>
      </c>
      <c r="J14" s="156">
        <v>0.0</v>
      </c>
      <c r="K14" s="154" t="s">
        <v>789</v>
      </c>
    </row>
    <row r="15">
      <c r="A15" s="154" t="s">
        <v>784</v>
      </c>
      <c r="B15" s="154" t="s">
        <v>785</v>
      </c>
      <c r="D15" s="154">
        <v>2.0</v>
      </c>
      <c r="E15" s="154" t="s">
        <v>761</v>
      </c>
      <c r="F15" s="154" t="s">
        <v>786</v>
      </c>
      <c r="G15" s="156">
        <v>0.0</v>
      </c>
      <c r="H15" s="154" t="s">
        <v>787</v>
      </c>
      <c r="I15" s="154" t="s">
        <v>788</v>
      </c>
      <c r="J15" s="156">
        <v>0.0</v>
      </c>
      <c r="K15" s="154" t="s">
        <v>789</v>
      </c>
    </row>
    <row r="16">
      <c r="A16" s="154" t="s">
        <v>790</v>
      </c>
      <c r="B16" s="154" t="s">
        <v>791</v>
      </c>
      <c r="D16" s="154">
        <v>2.0</v>
      </c>
      <c r="E16" s="154" t="s">
        <v>761</v>
      </c>
      <c r="F16" s="154" t="s">
        <v>792</v>
      </c>
      <c r="G16" s="154" t="s">
        <v>793</v>
      </c>
      <c r="H16" s="154" t="s">
        <v>794</v>
      </c>
      <c r="I16" s="156">
        <v>0.0</v>
      </c>
      <c r="J16" s="156">
        <v>0.0</v>
      </c>
      <c r="K16" s="156">
        <v>0.0</v>
      </c>
    </row>
    <row r="17">
      <c r="A17" s="154" t="s">
        <v>790</v>
      </c>
      <c r="B17" s="155"/>
      <c r="C17" s="154" t="s">
        <v>791</v>
      </c>
      <c r="D17" s="155"/>
      <c r="E17" s="155"/>
      <c r="F17" s="154" t="s">
        <v>792</v>
      </c>
      <c r="G17" s="154" t="s">
        <v>793</v>
      </c>
      <c r="H17" s="154" t="s">
        <v>794</v>
      </c>
      <c r="I17" s="156">
        <v>0.0</v>
      </c>
      <c r="J17" s="156">
        <v>0.0</v>
      </c>
      <c r="K17" s="156">
        <v>0.0</v>
      </c>
    </row>
    <row r="18">
      <c r="A18" s="154" t="s">
        <v>795</v>
      </c>
      <c r="B18" s="154" t="s">
        <v>796</v>
      </c>
      <c r="D18" s="154">
        <v>2.0</v>
      </c>
      <c r="E18" s="154" t="s">
        <v>761</v>
      </c>
      <c r="F18" s="154" t="s">
        <v>797</v>
      </c>
      <c r="G18" s="154">
        <v>4.4794477762E11</v>
      </c>
      <c r="H18" s="156">
        <v>0.0</v>
      </c>
      <c r="I18" s="154">
        <v>5.66030321E8</v>
      </c>
      <c r="J18" s="156">
        <v>0.0</v>
      </c>
      <c r="K18" s="154" t="s">
        <v>798</v>
      </c>
    </row>
    <row r="19">
      <c r="A19" s="154" t="s">
        <v>795</v>
      </c>
      <c r="B19" s="155"/>
      <c r="C19" s="154" t="s">
        <v>796</v>
      </c>
      <c r="D19" s="155"/>
      <c r="E19" s="155"/>
      <c r="F19" s="154" t="s">
        <v>797</v>
      </c>
      <c r="G19" s="154">
        <v>4.4794477762E11</v>
      </c>
      <c r="H19" s="156">
        <v>0.0</v>
      </c>
      <c r="I19" s="154">
        <v>5.66030321E8</v>
      </c>
      <c r="J19" s="156">
        <v>0.0</v>
      </c>
      <c r="K19" s="154" t="s">
        <v>798</v>
      </c>
    </row>
    <row r="20">
      <c r="A20" s="154" t="s">
        <v>799</v>
      </c>
      <c r="B20" s="154" t="s">
        <v>800</v>
      </c>
      <c r="D20" s="154">
        <v>2.0</v>
      </c>
      <c r="E20" s="154" t="s">
        <v>761</v>
      </c>
      <c r="F20" s="154" t="s">
        <v>801</v>
      </c>
      <c r="G20" s="154">
        <v>9.7150501983E11</v>
      </c>
      <c r="H20" s="156">
        <v>0.0</v>
      </c>
      <c r="I20" s="156">
        <v>0.0</v>
      </c>
      <c r="J20" s="156">
        <v>0.0</v>
      </c>
      <c r="K20" s="154" t="s">
        <v>361</v>
      </c>
    </row>
    <row r="21">
      <c r="A21" s="154" t="s">
        <v>799</v>
      </c>
      <c r="B21" s="155"/>
      <c r="C21" s="154" t="s">
        <v>800</v>
      </c>
      <c r="D21" s="155"/>
      <c r="E21" s="155"/>
      <c r="F21" s="154" t="s">
        <v>801</v>
      </c>
      <c r="G21" s="154">
        <v>9.7150501983E11</v>
      </c>
      <c r="H21" s="156">
        <v>0.0</v>
      </c>
      <c r="I21" s="156">
        <v>0.0</v>
      </c>
      <c r="J21" s="156">
        <v>0.0</v>
      </c>
      <c r="K21" s="154" t="s">
        <v>361</v>
      </c>
    </row>
    <row r="22">
      <c r="A22" s="154" t="s">
        <v>802</v>
      </c>
      <c r="B22" s="154" t="s">
        <v>803</v>
      </c>
      <c r="D22" s="154">
        <v>2.0</v>
      </c>
      <c r="E22" s="154" t="s">
        <v>761</v>
      </c>
      <c r="F22" s="154" t="s">
        <v>804</v>
      </c>
      <c r="G22" s="154" t="s">
        <v>805</v>
      </c>
      <c r="H22" s="156">
        <v>0.0</v>
      </c>
      <c r="I22" s="154">
        <v>9.71506443085E11</v>
      </c>
      <c r="J22" s="156">
        <v>0.0</v>
      </c>
      <c r="K22" s="154" t="s">
        <v>776</v>
      </c>
    </row>
    <row r="23">
      <c r="A23" s="154" t="s">
        <v>802</v>
      </c>
      <c r="B23" s="155"/>
      <c r="C23" s="154" t="s">
        <v>803</v>
      </c>
      <c r="D23" s="155"/>
      <c r="E23" s="155"/>
      <c r="F23" s="154" t="s">
        <v>804</v>
      </c>
      <c r="G23" s="154" t="s">
        <v>805</v>
      </c>
      <c r="H23" s="156">
        <v>0.0</v>
      </c>
      <c r="I23" s="154">
        <v>9.71506443085E11</v>
      </c>
      <c r="J23" s="156">
        <v>0.0</v>
      </c>
      <c r="K23" s="154" t="s">
        <v>776</v>
      </c>
    </row>
    <row r="24">
      <c r="A24" s="154" t="s">
        <v>806</v>
      </c>
      <c r="B24" s="154" t="s">
        <v>807</v>
      </c>
      <c r="D24" s="154">
        <v>2.0</v>
      </c>
      <c r="E24" s="154" t="s">
        <v>761</v>
      </c>
      <c r="F24" s="154" t="s">
        <v>808</v>
      </c>
      <c r="G24" s="154" t="s">
        <v>809</v>
      </c>
      <c r="H24" s="156">
        <v>0.0</v>
      </c>
      <c r="I24" s="154" t="s">
        <v>810</v>
      </c>
      <c r="J24" s="154" t="s">
        <v>811</v>
      </c>
      <c r="K24" s="154" t="s">
        <v>207</v>
      </c>
    </row>
    <row r="25">
      <c r="A25" s="154" t="s">
        <v>806</v>
      </c>
      <c r="B25" s="155"/>
      <c r="C25" s="154" t="s">
        <v>807</v>
      </c>
      <c r="D25" s="155"/>
      <c r="E25" s="155"/>
      <c r="F25" s="154" t="s">
        <v>808</v>
      </c>
      <c r="G25" s="154" t="s">
        <v>809</v>
      </c>
      <c r="H25" s="156">
        <v>0.0</v>
      </c>
      <c r="I25" s="154" t="s">
        <v>810</v>
      </c>
      <c r="J25" s="154" t="s">
        <v>811</v>
      </c>
      <c r="K25" s="154" t="s">
        <v>207</v>
      </c>
    </row>
    <row r="26">
      <c r="A26" s="154" t="s">
        <v>812</v>
      </c>
      <c r="B26" s="154" t="s">
        <v>813</v>
      </c>
      <c r="D26" s="154">
        <v>2.0</v>
      </c>
      <c r="E26" s="154" t="s">
        <v>761</v>
      </c>
      <c r="F26" s="154" t="s">
        <v>814</v>
      </c>
      <c r="G26" s="156">
        <v>0.0</v>
      </c>
      <c r="H26" s="156">
        <v>0.0</v>
      </c>
      <c r="I26" s="154">
        <v>5.05756473E8</v>
      </c>
      <c r="J26" s="156">
        <v>0.0</v>
      </c>
      <c r="K26" s="154" t="s">
        <v>361</v>
      </c>
    </row>
    <row r="27">
      <c r="A27" s="154" t="s">
        <v>812</v>
      </c>
      <c r="B27" s="155"/>
      <c r="C27" s="154" t="s">
        <v>813</v>
      </c>
      <c r="D27" s="155"/>
      <c r="E27" s="155"/>
      <c r="F27" s="154" t="s">
        <v>814</v>
      </c>
      <c r="G27" s="156">
        <v>0.0</v>
      </c>
      <c r="H27" s="156">
        <v>0.0</v>
      </c>
      <c r="I27" s="154">
        <v>5.05756473E8</v>
      </c>
      <c r="J27" s="156">
        <v>0.0</v>
      </c>
      <c r="K27" s="154" t="s">
        <v>361</v>
      </c>
    </row>
    <row r="28">
      <c r="A28" s="154" t="s">
        <v>815</v>
      </c>
      <c r="B28" s="155"/>
      <c r="C28" s="154" t="s">
        <v>816</v>
      </c>
      <c r="D28" s="155"/>
      <c r="E28" s="155"/>
      <c r="F28" s="154" t="s">
        <v>817</v>
      </c>
      <c r="G28" s="154">
        <v>1.0</v>
      </c>
      <c r="H28" s="156">
        <v>0.0</v>
      </c>
      <c r="I28" s="154">
        <v>5.03509723E8</v>
      </c>
      <c r="J28" s="156">
        <v>0.0</v>
      </c>
      <c r="K28" s="154" t="s">
        <v>818</v>
      </c>
    </row>
    <row r="29">
      <c r="A29" s="154" t="s">
        <v>815</v>
      </c>
      <c r="B29" s="154" t="s">
        <v>816</v>
      </c>
      <c r="D29" s="154">
        <v>2.0</v>
      </c>
      <c r="E29" s="154" t="s">
        <v>761</v>
      </c>
      <c r="F29" s="154" t="s">
        <v>819</v>
      </c>
      <c r="G29" s="154">
        <v>5.03509723E8</v>
      </c>
      <c r="H29" s="156">
        <v>0.0</v>
      </c>
      <c r="I29" s="155">
        <f>+971506727130</f>
        <v>971506727130</v>
      </c>
      <c r="J29" s="156">
        <v>0.0</v>
      </c>
      <c r="K29" s="154" t="s">
        <v>776</v>
      </c>
    </row>
    <row r="30">
      <c r="A30" s="154" t="s">
        <v>820</v>
      </c>
      <c r="B30" s="154" t="s">
        <v>821</v>
      </c>
      <c r="D30" s="154">
        <v>2.0</v>
      </c>
      <c r="E30" s="154" t="s">
        <v>761</v>
      </c>
      <c r="F30" s="154" t="s">
        <v>822</v>
      </c>
      <c r="G30" s="154" t="s">
        <v>823</v>
      </c>
      <c r="H30" s="154" t="s">
        <v>824</v>
      </c>
      <c r="I30" s="154" t="s">
        <v>825</v>
      </c>
      <c r="J30" s="154" t="s">
        <v>809</v>
      </c>
      <c r="K30" s="154" t="s">
        <v>776</v>
      </c>
    </row>
    <row r="31">
      <c r="A31" s="154" t="s">
        <v>820</v>
      </c>
      <c r="B31" s="155"/>
      <c r="C31" s="154" t="s">
        <v>821</v>
      </c>
      <c r="D31" s="155"/>
      <c r="E31" s="155"/>
      <c r="F31" s="154" t="s">
        <v>822</v>
      </c>
      <c r="G31" s="154" t="s">
        <v>823</v>
      </c>
      <c r="H31" s="154" t="s">
        <v>824</v>
      </c>
      <c r="I31" s="154" t="s">
        <v>825</v>
      </c>
      <c r="J31" s="154" t="s">
        <v>809</v>
      </c>
      <c r="K31" s="154" t="s">
        <v>776</v>
      </c>
    </row>
    <row r="32">
      <c r="A32" s="154" t="s">
        <v>826</v>
      </c>
      <c r="B32" s="154" t="s">
        <v>827</v>
      </c>
      <c r="D32" s="154">
        <v>2.0</v>
      </c>
      <c r="E32" s="154" t="s">
        <v>761</v>
      </c>
      <c r="F32" s="154" t="s">
        <v>828</v>
      </c>
      <c r="G32" s="154" t="s">
        <v>823</v>
      </c>
      <c r="H32" s="154" t="s">
        <v>824</v>
      </c>
      <c r="I32" s="154" t="s">
        <v>825</v>
      </c>
      <c r="J32" s="154" t="s">
        <v>809</v>
      </c>
      <c r="K32" s="154" t="s">
        <v>776</v>
      </c>
    </row>
    <row r="33">
      <c r="A33" s="154" t="s">
        <v>826</v>
      </c>
      <c r="B33" s="155"/>
      <c r="C33" s="154" t="s">
        <v>827</v>
      </c>
      <c r="D33" s="155"/>
      <c r="E33" s="155"/>
      <c r="F33" s="154" t="s">
        <v>828</v>
      </c>
      <c r="G33" s="154" t="s">
        <v>823</v>
      </c>
      <c r="H33" s="154" t="s">
        <v>824</v>
      </c>
      <c r="I33" s="154" t="s">
        <v>825</v>
      </c>
      <c r="J33" s="154" t="s">
        <v>809</v>
      </c>
      <c r="K33" s="154" t="s">
        <v>776</v>
      </c>
    </row>
    <row r="34">
      <c r="A34" s="154" t="s">
        <v>829</v>
      </c>
      <c r="B34" s="155"/>
      <c r="C34" s="154" t="s">
        <v>830</v>
      </c>
      <c r="D34" s="155"/>
      <c r="E34" s="155"/>
      <c r="F34" s="154" t="s">
        <v>831</v>
      </c>
      <c r="G34" s="154">
        <v>9.68998715E10</v>
      </c>
      <c r="H34" s="156">
        <v>0.0</v>
      </c>
      <c r="I34" s="154">
        <v>9.68998715E10</v>
      </c>
      <c r="J34" s="156">
        <v>0.0</v>
      </c>
      <c r="K34" s="154" t="s">
        <v>217</v>
      </c>
    </row>
    <row r="35">
      <c r="A35" s="154" t="s">
        <v>829</v>
      </c>
      <c r="B35" s="154" t="s">
        <v>830</v>
      </c>
      <c r="D35" s="154">
        <v>2.0</v>
      </c>
      <c r="E35" s="154" t="s">
        <v>761</v>
      </c>
      <c r="F35" s="154" t="s">
        <v>831</v>
      </c>
      <c r="G35" s="154">
        <v>9.68998715E10</v>
      </c>
      <c r="H35" s="156">
        <v>0.0</v>
      </c>
      <c r="I35" s="154">
        <v>9.68998715E10</v>
      </c>
      <c r="J35" s="156">
        <v>0.0</v>
      </c>
      <c r="K35" s="154" t="s">
        <v>217</v>
      </c>
    </row>
    <row r="36">
      <c r="A36" s="154" t="s">
        <v>832</v>
      </c>
      <c r="B36" s="154" t="s">
        <v>833</v>
      </c>
      <c r="D36" s="154">
        <v>2.0</v>
      </c>
      <c r="E36" s="154" t="s">
        <v>761</v>
      </c>
      <c r="F36" s="154" t="s">
        <v>834</v>
      </c>
      <c r="G36" s="154">
        <v>4.3911111E7</v>
      </c>
      <c r="H36" s="156">
        <v>0.0</v>
      </c>
      <c r="I36" s="154">
        <v>0.0</v>
      </c>
      <c r="J36" s="156">
        <v>0.0</v>
      </c>
      <c r="K36" s="154" t="s">
        <v>259</v>
      </c>
    </row>
    <row r="37">
      <c r="A37" s="154" t="s">
        <v>832</v>
      </c>
      <c r="B37" s="155"/>
      <c r="C37" s="154" t="s">
        <v>833</v>
      </c>
      <c r="D37" s="155"/>
      <c r="E37" s="155"/>
      <c r="F37" s="154" t="s">
        <v>834</v>
      </c>
      <c r="G37" s="154">
        <v>4.3911111E7</v>
      </c>
      <c r="H37" s="156">
        <v>0.0</v>
      </c>
      <c r="I37" s="154">
        <v>0.0</v>
      </c>
      <c r="J37" s="156">
        <v>0.0</v>
      </c>
      <c r="K37" s="154" t="s">
        <v>259</v>
      </c>
    </row>
    <row r="38">
      <c r="A38" s="154" t="s">
        <v>835</v>
      </c>
      <c r="B38" s="155"/>
      <c r="C38" s="154" t="s">
        <v>836</v>
      </c>
      <c r="D38" s="155"/>
      <c r="E38" s="155"/>
      <c r="F38" s="154" t="s">
        <v>837</v>
      </c>
      <c r="G38" s="154">
        <v>0.0</v>
      </c>
      <c r="H38" s="156">
        <v>0.0</v>
      </c>
      <c r="I38" s="154">
        <v>9.71504561915E11</v>
      </c>
      <c r="J38" s="156">
        <v>0.0</v>
      </c>
      <c r="K38" s="154" t="s">
        <v>301</v>
      </c>
    </row>
    <row r="39">
      <c r="A39" s="154" t="s">
        <v>835</v>
      </c>
      <c r="B39" s="154" t="s">
        <v>836</v>
      </c>
      <c r="D39" s="154">
        <v>2.0</v>
      </c>
      <c r="E39" s="154" t="s">
        <v>761</v>
      </c>
      <c r="F39" s="154" t="s">
        <v>837</v>
      </c>
      <c r="G39" s="154">
        <v>0.0</v>
      </c>
      <c r="H39" s="156">
        <v>0.0</v>
      </c>
      <c r="I39" s="154">
        <v>9.71504561915E11</v>
      </c>
      <c r="J39" s="156">
        <v>0.0</v>
      </c>
      <c r="K39" s="154" t="s">
        <v>301</v>
      </c>
    </row>
    <row r="40">
      <c r="A40" s="154" t="s">
        <v>838</v>
      </c>
      <c r="B40" s="155"/>
      <c r="C40" s="154" t="s">
        <v>839</v>
      </c>
      <c r="D40" s="155"/>
      <c r="E40" s="155"/>
      <c r="F40" s="154" t="s">
        <v>840</v>
      </c>
      <c r="G40" s="154">
        <v>0.0</v>
      </c>
      <c r="H40" s="156">
        <v>0.0</v>
      </c>
      <c r="I40" s="154">
        <v>9.71506248142E11</v>
      </c>
      <c r="J40" s="156">
        <v>0.0</v>
      </c>
      <c r="K40" s="154" t="s">
        <v>361</v>
      </c>
    </row>
    <row r="41">
      <c r="A41" s="154" t="s">
        <v>838</v>
      </c>
      <c r="B41" s="154" t="s">
        <v>839</v>
      </c>
      <c r="D41" s="154">
        <v>2.0</v>
      </c>
      <c r="E41" s="154" t="s">
        <v>761</v>
      </c>
      <c r="F41" s="154" t="s">
        <v>840</v>
      </c>
      <c r="G41" s="154">
        <v>0.0</v>
      </c>
      <c r="H41" s="156">
        <v>0.0</v>
      </c>
      <c r="I41" s="154">
        <v>9.71506248142E11</v>
      </c>
      <c r="J41" s="156">
        <v>0.0</v>
      </c>
      <c r="K41" s="154" t="s">
        <v>361</v>
      </c>
    </row>
    <row r="42">
      <c r="A42" s="154" t="s">
        <v>841</v>
      </c>
      <c r="B42" s="155"/>
      <c r="C42" s="154" t="s">
        <v>842</v>
      </c>
      <c r="D42" s="155"/>
      <c r="E42" s="155"/>
      <c r="F42" s="154" t="s">
        <v>843</v>
      </c>
      <c r="G42" s="156">
        <v>0.0</v>
      </c>
      <c r="H42" s="156">
        <v>0.0</v>
      </c>
      <c r="I42" s="154" t="s">
        <v>844</v>
      </c>
      <c r="J42" s="154" t="s">
        <v>845</v>
      </c>
      <c r="K42" s="154" t="s">
        <v>846</v>
      </c>
    </row>
    <row r="43">
      <c r="A43" s="154" t="s">
        <v>841</v>
      </c>
      <c r="B43" s="154" t="s">
        <v>842</v>
      </c>
      <c r="D43" s="154">
        <v>2.0</v>
      </c>
      <c r="E43" s="154" t="s">
        <v>761</v>
      </c>
      <c r="F43" s="154" t="s">
        <v>843</v>
      </c>
      <c r="G43" s="156">
        <v>0.0</v>
      </c>
      <c r="H43" s="156">
        <v>0.0</v>
      </c>
      <c r="I43" s="154" t="s">
        <v>844</v>
      </c>
      <c r="J43" s="154" t="s">
        <v>845</v>
      </c>
      <c r="K43" s="154" t="s">
        <v>846</v>
      </c>
    </row>
    <row r="44">
      <c r="A44" s="154" t="s">
        <v>847</v>
      </c>
      <c r="B44" s="155"/>
      <c r="C44" s="154" t="s">
        <v>848</v>
      </c>
      <c r="D44" s="155"/>
      <c r="E44" s="155"/>
      <c r="F44" s="154" t="s">
        <v>849</v>
      </c>
      <c r="G44" s="154" t="s">
        <v>850</v>
      </c>
      <c r="H44" s="154" t="s">
        <v>851</v>
      </c>
      <c r="I44" s="156">
        <v>0.0</v>
      </c>
      <c r="J44" s="156">
        <v>0.0</v>
      </c>
      <c r="K44" s="156">
        <v>0.0</v>
      </c>
    </row>
    <row r="45">
      <c r="A45" s="154" t="s">
        <v>847</v>
      </c>
      <c r="B45" s="154" t="s">
        <v>848</v>
      </c>
      <c r="D45" s="154">
        <v>2.0</v>
      </c>
      <c r="E45" s="154" t="s">
        <v>761</v>
      </c>
      <c r="F45" s="154" t="s">
        <v>852</v>
      </c>
      <c r="G45" s="154">
        <v>971.0</v>
      </c>
      <c r="H45" s="156">
        <v>0.0</v>
      </c>
      <c r="I45" s="154" t="s">
        <v>853</v>
      </c>
      <c r="J45" s="154" t="s">
        <v>809</v>
      </c>
      <c r="K45" s="154" t="s">
        <v>361</v>
      </c>
    </row>
    <row r="46">
      <c r="A46" s="154" t="s">
        <v>854</v>
      </c>
      <c r="B46" s="154" t="s">
        <v>855</v>
      </c>
      <c r="D46" s="154">
        <v>2.0</v>
      </c>
      <c r="E46" s="154" t="s">
        <v>761</v>
      </c>
      <c r="F46" s="154" t="s">
        <v>856</v>
      </c>
      <c r="G46" s="154">
        <v>4.3911111E7</v>
      </c>
      <c r="H46" s="156">
        <v>0.0</v>
      </c>
      <c r="I46" s="154">
        <v>5.04445684E8</v>
      </c>
      <c r="J46" s="156">
        <v>0.0</v>
      </c>
      <c r="K46" s="154" t="s">
        <v>253</v>
      </c>
    </row>
    <row r="47">
      <c r="A47" s="154" t="s">
        <v>854</v>
      </c>
      <c r="B47" s="155"/>
      <c r="C47" s="154" t="s">
        <v>855</v>
      </c>
      <c r="D47" s="155"/>
      <c r="E47" s="155"/>
      <c r="F47" s="154" t="s">
        <v>856</v>
      </c>
      <c r="G47" s="154">
        <v>4.3911111E7</v>
      </c>
      <c r="H47" s="156">
        <v>0.0</v>
      </c>
      <c r="I47" s="154">
        <v>5.04445684E8</v>
      </c>
      <c r="J47" s="156">
        <v>0.0</v>
      </c>
      <c r="K47" s="154" t="s">
        <v>253</v>
      </c>
    </row>
    <row r="48">
      <c r="A48" s="154" t="s">
        <v>857</v>
      </c>
      <c r="B48" s="154" t="s">
        <v>858</v>
      </c>
      <c r="D48" s="154">
        <v>2.0</v>
      </c>
      <c r="E48" s="154" t="s">
        <v>761</v>
      </c>
      <c r="F48" s="154" t="s">
        <v>859</v>
      </c>
      <c r="G48" s="156">
        <v>0.0</v>
      </c>
      <c r="H48" s="156">
        <v>0.0</v>
      </c>
      <c r="I48" s="154">
        <v>9.7150558401E11</v>
      </c>
      <c r="J48" s="156">
        <v>0.0</v>
      </c>
      <c r="K48" s="154" t="s">
        <v>860</v>
      </c>
    </row>
    <row r="49">
      <c r="A49" s="154" t="s">
        <v>857</v>
      </c>
      <c r="B49" s="155"/>
      <c r="C49" s="154" t="s">
        <v>858</v>
      </c>
      <c r="D49" s="155"/>
      <c r="E49" s="155"/>
      <c r="F49" s="154" t="s">
        <v>859</v>
      </c>
      <c r="G49" s="156">
        <v>0.0</v>
      </c>
      <c r="H49" s="156">
        <v>0.0</v>
      </c>
      <c r="I49" s="154">
        <v>9.7150558401E11</v>
      </c>
      <c r="J49" s="156">
        <v>0.0</v>
      </c>
      <c r="K49" s="154" t="s">
        <v>860</v>
      </c>
    </row>
    <row r="50">
      <c r="A50" s="154" t="s">
        <v>861</v>
      </c>
      <c r="B50" s="154" t="s">
        <v>862</v>
      </c>
      <c r="D50" s="154">
        <v>2.0</v>
      </c>
      <c r="E50" s="154" t="s">
        <v>761</v>
      </c>
      <c r="F50" s="154" t="s">
        <v>863</v>
      </c>
      <c r="G50" s="154">
        <v>5.04515086E8</v>
      </c>
      <c r="H50" s="156">
        <v>0.0</v>
      </c>
      <c r="I50" s="154">
        <v>5.04515086E8</v>
      </c>
      <c r="J50" s="156">
        <v>0.0</v>
      </c>
      <c r="K50" s="154" t="s">
        <v>301</v>
      </c>
    </row>
    <row r="51">
      <c r="A51" s="154" t="s">
        <v>861</v>
      </c>
      <c r="B51" s="155"/>
      <c r="C51" s="154" t="s">
        <v>862</v>
      </c>
      <c r="D51" s="155"/>
      <c r="E51" s="155"/>
      <c r="F51" s="154" t="s">
        <v>863</v>
      </c>
      <c r="G51" s="154">
        <v>5.04515086E8</v>
      </c>
      <c r="H51" s="156">
        <v>0.0</v>
      </c>
      <c r="I51" s="154">
        <v>5.04515086E8</v>
      </c>
      <c r="J51" s="156">
        <v>0.0</v>
      </c>
      <c r="K51" s="154" t="s">
        <v>301</v>
      </c>
    </row>
    <row r="52">
      <c r="A52" s="154" t="s">
        <v>864</v>
      </c>
      <c r="B52" s="154" t="s">
        <v>865</v>
      </c>
      <c r="D52" s="154">
        <v>2.0</v>
      </c>
      <c r="E52" s="154" t="s">
        <v>761</v>
      </c>
      <c r="F52" s="154" t="s">
        <v>866</v>
      </c>
      <c r="G52" s="154">
        <v>5.08750121E8</v>
      </c>
      <c r="H52" s="154" t="s">
        <v>867</v>
      </c>
      <c r="I52" s="154">
        <v>5.27430762E8</v>
      </c>
      <c r="J52" s="156">
        <v>0.0</v>
      </c>
      <c r="K52" s="154" t="s">
        <v>361</v>
      </c>
    </row>
    <row r="53">
      <c r="A53" s="154" t="s">
        <v>864</v>
      </c>
      <c r="B53" s="155"/>
      <c r="C53" s="154" t="s">
        <v>865</v>
      </c>
      <c r="D53" s="155"/>
      <c r="E53" s="155"/>
      <c r="F53" s="154" t="s">
        <v>868</v>
      </c>
      <c r="G53" s="154">
        <v>5.03459875E8</v>
      </c>
      <c r="H53" s="156">
        <v>0.0</v>
      </c>
      <c r="I53" s="154">
        <v>5.03459875E8</v>
      </c>
      <c r="J53" s="156">
        <v>0.0</v>
      </c>
      <c r="K53" s="154" t="s">
        <v>361</v>
      </c>
    </row>
    <row r="54">
      <c r="A54" s="154" t="s">
        <v>869</v>
      </c>
      <c r="B54" s="154" t="s">
        <v>870</v>
      </c>
      <c r="D54" s="154">
        <v>2.0</v>
      </c>
      <c r="E54" s="154" t="s">
        <v>761</v>
      </c>
      <c r="F54" s="154" t="s">
        <v>871</v>
      </c>
      <c r="G54" s="156">
        <v>0.0</v>
      </c>
      <c r="H54" s="154" t="s">
        <v>872</v>
      </c>
      <c r="I54" s="154" t="s">
        <v>873</v>
      </c>
      <c r="J54" s="154" t="s">
        <v>874</v>
      </c>
      <c r="K54" s="154" t="s">
        <v>217</v>
      </c>
    </row>
    <row r="55">
      <c r="A55" s="154" t="s">
        <v>869</v>
      </c>
      <c r="B55" s="155"/>
      <c r="C55" s="154" t="s">
        <v>870</v>
      </c>
      <c r="D55" s="155"/>
      <c r="E55" s="155"/>
      <c r="F55" s="154" t="s">
        <v>871</v>
      </c>
      <c r="G55" s="156">
        <v>0.0</v>
      </c>
      <c r="H55" s="154" t="s">
        <v>872</v>
      </c>
      <c r="I55" s="154" t="s">
        <v>873</v>
      </c>
      <c r="J55" s="154" t="s">
        <v>874</v>
      </c>
      <c r="K55" s="154" t="s">
        <v>217</v>
      </c>
    </row>
    <row r="56">
      <c r="A56" s="154" t="s">
        <v>875</v>
      </c>
      <c r="B56" s="155"/>
      <c r="C56" s="154" t="s">
        <v>876</v>
      </c>
      <c r="D56" s="155"/>
      <c r="E56" s="155"/>
      <c r="F56" s="154" t="s">
        <v>877</v>
      </c>
      <c r="G56" s="156">
        <v>0.0</v>
      </c>
      <c r="H56" s="154" t="s">
        <v>878</v>
      </c>
      <c r="I56" s="154" t="s">
        <v>879</v>
      </c>
      <c r="J56" s="154" t="s">
        <v>880</v>
      </c>
      <c r="K56" s="154" t="s">
        <v>207</v>
      </c>
    </row>
    <row r="57">
      <c r="A57" s="154" t="s">
        <v>875</v>
      </c>
      <c r="B57" s="154" t="s">
        <v>876</v>
      </c>
      <c r="D57" s="154">
        <v>2.0</v>
      </c>
      <c r="E57" s="154" t="s">
        <v>761</v>
      </c>
      <c r="F57" s="154" t="s">
        <v>877</v>
      </c>
      <c r="G57" s="156">
        <v>0.0</v>
      </c>
      <c r="H57" s="154" t="s">
        <v>878</v>
      </c>
      <c r="I57" s="154" t="s">
        <v>879</v>
      </c>
      <c r="J57" s="154" t="s">
        <v>880</v>
      </c>
      <c r="K57" s="154" t="s">
        <v>207</v>
      </c>
    </row>
    <row r="58">
      <c r="A58" s="154" t="s">
        <v>881</v>
      </c>
      <c r="B58" s="154" t="s">
        <v>882</v>
      </c>
      <c r="D58" s="154">
        <v>2.0</v>
      </c>
      <c r="E58" s="154" t="s">
        <v>761</v>
      </c>
      <c r="F58" s="154" t="s">
        <v>883</v>
      </c>
      <c r="G58" s="154">
        <v>9.7165225372E10</v>
      </c>
      <c r="H58" s="156">
        <v>0.0</v>
      </c>
      <c r="I58" s="154">
        <v>9.71504623934E11</v>
      </c>
      <c r="J58" s="156">
        <v>0.0</v>
      </c>
      <c r="K58" s="154" t="s">
        <v>884</v>
      </c>
    </row>
    <row r="59">
      <c r="A59" s="154" t="s">
        <v>881</v>
      </c>
      <c r="B59" s="155"/>
      <c r="C59" s="154" t="s">
        <v>882</v>
      </c>
      <c r="D59" s="155"/>
      <c r="E59" s="155"/>
      <c r="F59" s="154" t="s">
        <v>883</v>
      </c>
      <c r="G59" s="154">
        <v>9.7165225372E10</v>
      </c>
      <c r="H59" s="156">
        <v>0.0</v>
      </c>
      <c r="I59" s="154">
        <v>9.71504623934E11</v>
      </c>
      <c r="J59" s="156">
        <v>0.0</v>
      </c>
      <c r="K59" s="154" t="s">
        <v>884</v>
      </c>
    </row>
    <row r="60">
      <c r="A60" s="154" t="s">
        <v>885</v>
      </c>
      <c r="B60" s="155"/>
      <c r="C60" s="154" t="s">
        <v>886</v>
      </c>
      <c r="D60" s="155"/>
      <c r="E60" s="155"/>
      <c r="F60" s="154" t="s">
        <v>887</v>
      </c>
      <c r="G60" s="154" t="s">
        <v>888</v>
      </c>
      <c r="H60" s="156">
        <v>0.0</v>
      </c>
      <c r="I60" s="154" t="s">
        <v>889</v>
      </c>
      <c r="J60" s="154" t="s">
        <v>888</v>
      </c>
      <c r="K60" s="154" t="s">
        <v>361</v>
      </c>
    </row>
    <row r="61">
      <c r="A61" s="154" t="s">
        <v>885</v>
      </c>
      <c r="B61" s="154" t="s">
        <v>886</v>
      </c>
      <c r="D61" s="154">
        <v>2.0</v>
      </c>
      <c r="E61" s="154" t="s">
        <v>761</v>
      </c>
      <c r="F61" s="154" t="s">
        <v>887</v>
      </c>
      <c r="G61" s="154" t="s">
        <v>888</v>
      </c>
      <c r="H61" s="156">
        <v>0.0</v>
      </c>
      <c r="I61" s="154" t="s">
        <v>889</v>
      </c>
      <c r="J61" s="154" t="s">
        <v>888</v>
      </c>
      <c r="K61" s="154" t="s">
        <v>361</v>
      </c>
    </row>
    <row r="62">
      <c r="A62" s="154" t="s">
        <v>890</v>
      </c>
      <c r="B62" s="155"/>
      <c r="C62" s="154" t="s">
        <v>891</v>
      </c>
      <c r="D62" s="155"/>
      <c r="E62" s="155"/>
      <c r="F62" s="154" t="s">
        <v>892</v>
      </c>
      <c r="G62" s="156">
        <v>0.0</v>
      </c>
      <c r="H62" s="156">
        <v>0.0</v>
      </c>
      <c r="I62" s="154" t="s">
        <v>893</v>
      </c>
      <c r="J62" s="154" t="s">
        <v>894</v>
      </c>
      <c r="K62" s="154" t="s">
        <v>818</v>
      </c>
    </row>
    <row r="63">
      <c r="A63" s="154" t="s">
        <v>890</v>
      </c>
      <c r="B63" s="154" t="s">
        <v>891</v>
      </c>
      <c r="D63" s="154">
        <v>2.0</v>
      </c>
      <c r="E63" s="154" t="s">
        <v>761</v>
      </c>
      <c r="F63" s="154" t="s">
        <v>892</v>
      </c>
      <c r="G63" s="156">
        <v>0.0</v>
      </c>
      <c r="H63" s="156">
        <v>0.0</v>
      </c>
      <c r="I63" s="154" t="s">
        <v>893</v>
      </c>
      <c r="J63" s="154" t="s">
        <v>894</v>
      </c>
      <c r="K63" s="154" t="s">
        <v>818</v>
      </c>
    </row>
    <row r="64">
      <c r="A64" s="154" t="s">
        <v>895</v>
      </c>
      <c r="B64" s="154" t="s">
        <v>896</v>
      </c>
      <c r="D64" s="154">
        <v>2.0</v>
      </c>
      <c r="E64" s="154" t="s">
        <v>897</v>
      </c>
      <c r="F64" s="154" t="s">
        <v>898</v>
      </c>
      <c r="G64" s="154">
        <v>0.0</v>
      </c>
      <c r="H64" s="154" t="s">
        <v>899</v>
      </c>
      <c r="I64" s="154">
        <v>9.71504422843E11</v>
      </c>
      <c r="J64" s="156">
        <v>0.0</v>
      </c>
      <c r="K64" s="154" t="s">
        <v>259</v>
      </c>
    </row>
    <row r="65">
      <c r="A65" s="154" t="s">
        <v>895</v>
      </c>
      <c r="B65" s="155"/>
      <c r="C65" s="154" t="s">
        <v>896</v>
      </c>
      <c r="D65" s="155"/>
      <c r="E65" s="155"/>
      <c r="F65" s="154" t="s">
        <v>898</v>
      </c>
      <c r="G65" s="154">
        <v>0.0</v>
      </c>
      <c r="H65" s="154" t="s">
        <v>899</v>
      </c>
      <c r="I65" s="154">
        <v>9.71504422843E11</v>
      </c>
      <c r="J65" s="156">
        <v>0.0</v>
      </c>
      <c r="K65" s="154" t="s">
        <v>259</v>
      </c>
    </row>
    <row r="66">
      <c r="A66" s="154" t="s">
        <v>900</v>
      </c>
      <c r="B66" s="155"/>
      <c r="C66" s="154" t="s">
        <v>901</v>
      </c>
      <c r="D66" s="155"/>
      <c r="E66" s="155"/>
      <c r="F66" s="154" t="s">
        <v>902</v>
      </c>
      <c r="G66" s="156">
        <v>0.0</v>
      </c>
      <c r="H66" s="154" t="s">
        <v>903</v>
      </c>
      <c r="I66" s="154" t="s">
        <v>904</v>
      </c>
      <c r="J66" s="154" t="s">
        <v>905</v>
      </c>
      <c r="K66" s="154" t="s">
        <v>207</v>
      </c>
    </row>
    <row r="67">
      <c r="A67" s="154" t="s">
        <v>900</v>
      </c>
      <c r="B67" s="154" t="s">
        <v>901</v>
      </c>
      <c r="D67" s="154">
        <v>2.0</v>
      </c>
      <c r="E67" s="154" t="s">
        <v>897</v>
      </c>
      <c r="F67" s="154" t="s">
        <v>902</v>
      </c>
      <c r="G67" s="156">
        <v>0.0</v>
      </c>
      <c r="H67" s="154" t="s">
        <v>903</v>
      </c>
      <c r="I67" s="154" t="s">
        <v>904</v>
      </c>
      <c r="J67" s="154" t="s">
        <v>905</v>
      </c>
      <c r="K67" s="154" t="s">
        <v>207</v>
      </c>
    </row>
    <row r="68">
      <c r="A68" s="154" t="s">
        <v>906</v>
      </c>
      <c r="B68" s="154" t="s">
        <v>907</v>
      </c>
      <c r="D68" s="154">
        <v>2.0</v>
      </c>
      <c r="E68" s="154" t="s">
        <v>761</v>
      </c>
      <c r="F68" s="154" t="s">
        <v>908</v>
      </c>
      <c r="G68" s="154" t="s">
        <v>909</v>
      </c>
      <c r="H68" s="156">
        <v>0.0</v>
      </c>
      <c r="I68" s="154" t="s">
        <v>910</v>
      </c>
      <c r="J68" s="154" t="s">
        <v>809</v>
      </c>
      <c r="K68" s="154" t="s">
        <v>361</v>
      </c>
    </row>
    <row r="69">
      <c r="A69" s="154" t="s">
        <v>906</v>
      </c>
      <c r="B69" s="155"/>
      <c r="C69" s="154" t="s">
        <v>907</v>
      </c>
      <c r="D69" s="155"/>
      <c r="E69" s="155"/>
      <c r="F69" s="154" t="s">
        <v>908</v>
      </c>
      <c r="G69" s="154" t="s">
        <v>909</v>
      </c>
      <c r="H69" s="156">
        <v>0.0</v>
      </c>
      <c r="I69" s="154" t="s">
        <v>910</v>
      </c>
      <c r="J69" s="154" t="s">
        <v>809</v>
      </c>
      <c r="K69" s="154" t="s">
        <v>361</v>
      </c>
    </row>
    <row r="70">
      <c r="A70" s="154" t="s">
        <v>911</v>
      </c>
      <c r="B70" s="154" t="s">
        <v>912</v>
      </c>
      <c r="D70" s="154">
        <v>2.0</v>
      </c>
      <c r="E70" s="154" t="s">
        <v>761</v>
      </c>
      <c r="F70" s="154" t="s">
        <v>913</v>
      </c>
      <c r="G70" s="156">
        <v>0.0</v>
      </c>
      <c r="H70" s="156">
        <v>0.0</v>
      </c>
      <c r="I70" s="154">
        <v>9.6655567348E11</v>
      </c>
      <c r="J70" s="156">
        <v>0.0</v>
      </c>
      <c r="K70" s="154" t="s">
        <v>914</v>
      </c>
    </row>
    <row r="71">
      <c r="A71" s="154" t="s">
        <v>911</v>
      </c>
      <c r="B71" s="155"/>
      <c r="C71" s="154" t="s">
        <v>912</v>
      </c>
      <c r="D71" s="155"/>
      <c r="E71" s="155"/>
      <c r="F71" s="154" t="s">
        <v>913</v>
      </c>
      <c r="G71" s="156">
        <v>0.0</v>
      </c>
      <c r="H71" s="156">
        <v>0.0</v>
      </c>
      <c r="I71" s="154">
        <v>9.6655567348E11</v>
      </c>
      <c r="J71" s="156">
        <v>0.0</v>
      </c>
      <c r="K71" s="154" t="s">
        <v>914</v>
      </c>
    </row>
    <row r="72">
      <c r="A72" s="154" t="s">
        <v>915</v>
      </c>
      <c r="B72" s="154" t="s">
        <v>916</v>
      </c>
      <c r="D72" s="154">
        <v>2.0</v>
      </c>
      <c r="E72" s="154" t="s">
        <v>761</v>
      </c>
      <c r="F72" s="154" t="s">
        <v>917</v>
      </c>
      <c r="G72" s="156">
        <v>0.0</v>
      </c>
      <c r="H72" s="156">
        <v>0.0</v>
      </c>
      <c r="I72" s="154" t="s">
        <v>918</v>
      </c>
      <c r="J72" s="156">
        <v>0.0</v>
      </c>
      <c r="K72" s="154" t="s">
        <v>846</v>
      </c>
    </row>
    <row r="73">
      <c r="A73" s="154" t="s">
        <v>915</v>
      </c>
      <c r="B73" s="155"/>
      <c r="C73" s="154" t="s">
        <v>916</v>
      </c>
      <c r="D73" s="155"/>
      <c r="E73" s="155"/>
      <c r="F73" s="154" t="s">
        <v>917</v>
      </c>
      <c r="G73" s="156">
        <v>0.0</v>
      </c>
      <c r="H73" s="156">
        <v>0.0</v>
      </c>
      <c r="I73" s="154" t="s">
        <v>918</v>
      </c>
      <c r="J73" s="156">
        <v>0.0</v>
      </c>
      <c r="K73" s="154" t="s">
        <v>846</v>
      </c>
    </row>
    <row r="74">
      <c r="A74" s="154" t="s">
        <v>919</v>
      </c>
      <c r="B74" s="154" t="s">
        <v>920</v>
      </c>
      <c r="D74" s="154">
        <v>2.0</v>
      </c>
      <c r="E74" s="154" t="s">
        <v>761</v>
      </c>
      <c r="F74" s="154" t="s">
        <v>921</v>
      </c>
      <c r="G74" s="154" t="s">
        <v>922</v>
      </c>
      <c r="H74" s="156">
        <v>0.0</v>
      </c>
      <c r="I74" s="154">
        <v>9.71504486581E11</v>
      </c>
      <c r="J74" s="156">
        <v>0.0</v>
      </c>
      <c r="K74" s="154" t="s">
        <v>923</v>
      </c>
    </row>
    <row r="75">
      <c r="A75" s="154" t="s">
        <v>919</v>
      </c>
      <c r="B75" s="155"/>
      <c r="C75" s="154" t="s">
        <v>920</v>
      </c>
      <c r="D75" s="155"/>
      <c r="E75" s="155"/>
      <c r="F75" s="154" t="s">
        <v>921</v>
      </c>
      <c r="G75" s="154" t="s">
        <v>922</v>
      </c>
      <c r="H75" s="156">
        <v>0.0</v>
      </c>
      <c r="I75" s="154">
        <v>9.71504486581E11</v>
      </c>
      <c r="J75" s="156">
        <v>0.0</v>
      </c>
      <c r="K75" s="154" t="s">
        <v>923</v>
      </c>
    </row>
    <row r="76">
      <c r="A76" s="154" t="s">
        <v>924</v>
      </c>
      <c r="B76" s="155"/>
      <c r="C76" s="154" t="s">
        <v>925</v>
      </c>
      <c r="D76" s="155"/>
      <c r="E76" s="155"/>
      <c r="F76" s="154" t="s">
        <v>926</v>
      </c>
      <c r="G76" s="154" t="s">
        <v>927</v>
      </c>
      <c r="H76" s="156">
        <v>0.0</v>
      </c>
      <c r="I76" s="154">
        <v>9.71504525889E11</v>
      </c>
      <c r="J76" s="156">
        <v>0.0</v>
      </c>
      <c r="K76" s="154" t="s">
        <v>776</v>
      </c>
    </row>
    <row r="77">
      <c r="A77" s="154" t="s">
        <v>924</v>
      </c>
      <c r="B77" s="154" t="s">
        <v>925</v>
      </c>
      <c r="D77" s="154">
        <v>2.0</v>
      </c>
      <c r="E77" s="154" t="s">
        <v>761</v>
      </c>
      <c r="F77" s="154" t="s">
        <v>926</v>
      </c>
      <c r="G77" s="154" t="s">
        <v>927</v>
      </c>
      <c r="H77" s="156">
        <v>0.0</v>
      </c>
      <c r="I77" s="154">
        <v>9.71504525889E11</v>
      </c>
      <c r="J77" s="156">
        <v>0.0</v>
      </c>
      <c r="K77" s="154" t="s">
        <v>776</v>
      </c>
    </row>
    <row r="78">
      <c r="A78" s="154" t="s">
        <v>928</v>
      </c>
      <c r="B78" s="154" t="s">
        <v>929</v>
      </c>
      <c r="D78" s="154">
        <v>2.0</v>
      </c>
      <c r="E78" s="154" t="s">
        <v>761</v>
      </c>
      <c r="F78" s="154" t="s">
        <v>930</v>
      </c>
      <c r="G78" s="156">
        <v>0.0</v>
      </c>
      <c r="H78" s="156">
        <v>0.0</v>
      </c>
      <c r="I78" s="154" t="s">
        <v>931</v>
      </c>
      <c r="J78" s="154" t="s">
        <v>932</v>
      </c>
      <c r="K78" s="154" t="s">
        <v>207</v>
      </c>
    </row>
    <row r="79">
      <c r="A79" s="154" t="s">
        <v>928</v>
      </c>
      <c r="B79" s="155"/>
      <c r="C79" s="154" t="s">
        <v>929</v>
      </c>
      <c r="D79" s="155"/>
      <c r="E79" s="155"/>
      <c r="F79" s="154" t="s">
        <v>930</v>
      </c>
      <c r="G79" s="156">
        <v>0.0</v>
      </c>
      <c r="H79" s="156">
        <v>0.0</v>
      </c>
      <c r="I79" s="154" t="s">
        <v>931</v>
      </c>
      <c r="J79" s="154" t="s">
        <v>932</v>
      </c>
      <c r="K79" s="154" t="s">
        <v>207</v>
      </c>
    </row>
    <row r="80">
      <c r="A80" s="154" t="s">
        <v>933</v>
      </c>
      <c r="B80" s="155"/>
      <c r="C80" s="154" t="s">
        <v>934</v>
      </c>
      <c r="D80" s="155"/>
      <c r="E80" s="155"/>
      <c r="F80" s="154" t="s">
        <v>935</v>
      </c>
      <c r="G80" s="154" t="s">
        <v>936</v>
      </c>
      <c r="H80" s="154" t="s">
        <v>937</v>
      </c>
      <c r="I80" s="154" t="s">
        <v>938</v>
      </c>
      <c r="J80" s="154" t="s">
        <v>936</v>
      </c>
      <c r="K80" s="154" t="s">
        <v>939</v>
      </c>
    </row>
    <row r="81">
      <c r="A81" s="154" t="s">
        <v>933</v>
      </c>
      <c r="B81" s="154" t="s">
        <v>934</v>
      </c>
      <c r="D81" s="154">
        <v>2.0</v>
      </c>
      <c r="E81" s="154" t="s">
        <v>761</v>
      </c>
      <c r="F81" s="154" t="s">
        <v>935</v>
      </c>
      <c r="G81" s="154" t="s">
        <v>936</v>
      </c>
      <c r="H81" s="154" t="s">
        <v>937</v>
      </c>
      <c r="I81" s="154" t="s">
        <v>938</v>
      </c>
      <c r="J81" s="154" t="s">
        <v>936</v>
      </c>
      <c r="K81" s="154" t="s">
        <v>939</v>
      </c>
    </row>
    <row r="82">
      <c r="A82" s="154" t="s">
        <v>940</v>
      </c>
      <c r="B82" s="155"/>
      <c r="C82" s="154" t="s">
        <v>941</v>
      </c>
      <c r="D82" s="155"/>
      <c r="E82" s="155"/>
      <c r="F82" s="154" t="s">
        <v>942</v>
      </c>
      <c r="G82" s="156">
        <v>0.0</v>
      </c>
      <c r="H82" s="156">
        <v>0.0</v>
      </c>
      <c r="I82" s="154" t="s">
        <v>943</v>
      </c>
      <c r="J82" s="154" t="s">
        <v>944</v>
      </c>
      <c r="K82" s="154" t="s">
        <v>259</v>
      </c>
    </row>
    <row r="83">
      <c r="A83" s="154" t="s">
        <v>940</v>
      </c>
      <c r="B83" s="154" t="s">
        <v>945</v>
      </c>
      <c r="D83" s="154">
        <v>2.0</v>
      </c>
      <c r="E83" s="154" t="s">
        <v>761</v>
      </c>
      <c r="F83" s="154" t="s">
        <v>942</v>
      </c>
      <c r="G83" s="156">
        <v>0.0</v>
      </c>
      <c r="H83" s="156">
        <v>0.0</v>
      </c>
      <c r="I83" s="154" t="s">
        <v>943</v>
      </c>
      <c r="J83" s="154" t="s">
        <v>944</v>
      </c>
      <c r="K83" s="154" t="s">
        <v>259</v>
      </c>
    </row>
    <row r="84">
      <c r="A84" s="154" t="s">
        <v>946</v>
      </c>
      <c r="B84" s="154" t="s">
        <v>947</v>
      </c>
      <c r="D84" s="154">
        <v>2.0</v>
      </c>
      <c r="E84" s="154" t="s">
        <v>761</v>
      </c>
      <c r="F84" s="154" t="s">
        <v>948</v>
      </c>
      <c r="G84" s="154">
        <v>1.0</v>
      </c>
      <c r="H84" s="154" t="s">
        <v>949</v>
      </c>
      <c r="I84" s="156">
        <v>0.0</v>
      </c>
      <c r="J84" s="156">
        <v>0.0</v>
      </c>
      <c r="K84" s="156">
        <v>0.0</v>
      </c>
    </row>
    <row r="85">
      <c r="A85" s="154" t="s">
        <v>946</v>
      </c>
      <c r="B85" s="155"/>
      <c r="C85" s="154" t="s">
        <v>947</v>
      </c>
      <c r="D85" s="155"/>
      <c r="E85" s="155"/>
      <c r="F85" s="154" t="s">
        <v>948</v>
      </c>
      <c r="G85" s="154">
        <v>1.0</v>
      </c>
      <c r="H85" s="154" t="s">
        <v>949</v>
      </c>
      <c r="I85" s="156">
        <v>0.0</v>
      </c>
      <c r="J85" s="156">
        <v>0.0</v>
      </c>
      <c r="K85" s="156">
        <v>0.0</v>
      </c>
    </row>
    <row r="86">
      <c r="A86" s="154" t="s">
        <v>950</v>
      </c>
      <c r="B86" s="155"/>
      <c r="C86" s="154" t="s">
        <v>951</v>
      </c>
      <c r="D86" s="155"/>
      <c r="E86" s="155"/>
      <c r="F86" s="154" t="s">
        <v>952</v>
      </c>
      <c r="G86" s="154">
        <v>5.05598851E8</v>
      </c>
      <c r="H86" s="156">
        <v>0.0</v>
      </c>
      <c r="I86" s="156">
        <v>0.0</v>
      </c>
      <c r="J86" s="156">
        <v>0.0</v>
      </c>
      <c r="K86" s="154" t="s">
        <v>301</v>
      </c>
    </row>
    <row r="87">
      <c r="A87" s="154" t="s">
        <v>950</v>
      </c>
      <c r="B87" s="154" t="s">
        <v>951</v>
      </c>
      <c r="D87" s="154">
        <v>2.0</v>
      </c>
      <c r="E87" s="154" t="s">
        <v>761</v>
      </c>
      <c r="F87" s="154" t="s">
        <v>952</v>
      </c>
      <c r="G87" s="154">
        <v>5.05598851E8</v>
      </c>
      <c r="H87" s="156">
        <v>0.0</v>
      </c>
      <c r="I87" s="156">
        <v>0.0</v>
      </c>
      <c r="J87" s="156">
        <v>0.0</v>
      </c>
      <c r="K87" s="154" t="s">
        <v>301</v>
      </c>
    </row>
    <row r="88">
      <c r="A88" s="154" t="s">
        <v>953</v>
      </c>
      <c r="B88" s="154" t="s">
        <v>954</v>
      </c>
      <c r="D88" s="154">
        <v>2.0</v>
      </c>
      <c r="E88" s="154" t="s">
        <v>897</v>
      </c>
      <c r="F88" s="154" t="s">
        <v>792</v>
      </c>
      <c r="G88" s="154" t="s">
        <v>793</v>
      </c>
      <c r="H88" s="154" t="s">
        <v>794</v>
      </c>
      <c r="I88" s="156">
        <v>0.0</v>
      </c>
      <c r="J88" s="156">
        <v>0.0</v>
      </c>
      <c r="K88" s="156">
        <v>0.0</v>
      </c>
    </row>
    <row r="89">
      <c r="A89" s="154" t="s">
        <v>953</v>
      </c>
      <c r="B89" s="155"/>
      <c r="C89" s="154" t="s">
        <v>954</v>
      </c>
      <c r="D89" s="155"/>
      <c r="E89" s="155"/>
      <c r="F89" s="154" t="s">
        <v>955</v>
      </c>
      <c r="G89" s="154">
        <v>4.3911111E7</v>
      </c>
      <c r="H89" s="156">
        <v>0.0</v>
      </c>
      <c r="I89" s="154">
        <v>5.03164535E8</v>
      </c>
      <c r="J89" s="156">
        <v>0.0</v>
      </c>
      <c r="K89" s="154" t="s">
        <v>846</v>
      </c>
    </row>
    <row r="90">
      <c r="A90" s="154" t="s">
        <v>956</v>
      </c>
      <c r="B90" s="154" t="s">
        <v>957</v>
      </c>
      <c r="D90" s="154">
        <v>2.0</v>
      </c>
      <c r="E90" s="154" t="s">
        <v>761</v>
      </c>
      <c r="F90" s="154" t="s">
        <v>958</v>
      </c>
      <c r="G90" s="156">
        <v>0.0</v>
      </c>
      <c r="H90" s="154" t="s">
        <v>650</v>
      </c>
      <c r="I90" s="154" t="s">
        <v>959</v>
      </c>
      <c r="J90" s="154" t="s">
        <v>960</v>
      </c>
      <c r="K90" s="154" t="s">
        <v>207</v>
      </c>
    </row>
    <row r="91">
      <c r="A91" s="154" t="s">
        <v>956</v>
      </c>
      <c r="B91" s="155"/>
      <c r="C91" s="154" t="s">
        <v>961</v>
      </c>
      <c r="D91" s="155"/>
      <c r="E91" s="155"/>
      <c r="F91" s="154" t="s">
        <v>962</v>
      </c>
      <c r="G91" s="156">
        <v>0.0</v>
      </c>
      <c r="H91" s="154" t="s">
        <v>650</v>
      </c>
      <c r="I91" s="154" t="s">
        <v>959</v>
      </c>
      <c r="J91" s="156">
        <v>0.0</v>
      </c>
      <c r="K91" s="154" t="s">
        <v>207</v>
      </c>
    </row>
    <row r="92">
      <c r="A92" s="154" t="s">
        <v>963</v>
      </c>
      <c r="B92" s="154" t="s">
        <v>964</v>
      </c>
      <c r="D92" s="154">
        <v>2.0</v>
      </c>
      <c r="E92" s="154" t="s">
        <v>761</v>
      </c>
      <c r="F92" s="154" t="s">
        <v>965</v>
      </c>
      <c r="G92" s="156">
        <v>0.0</v>
      </c>
      <c r="H92" s="154" t="s">
        <v>966</v>
      </c>
      <c r="I92" s="154">
        <v>5.06421166E8</v>
      </c>
      <c r="J92" s="156">
        <v>0.0</v>
      </c>
      <c r="K92" s="154" t="s">
        <v>207</v>
      </c>
    </row>
    <row r="93">
      <c r="A93" s="154" t="s">
        <v>963</v>
      </c>
      <c r="B93" s="155"/>
      <c r="C93" s="154" t="s">
        <v>967</v>
      </c>
      <c r="D93" s="155"/>
      <c r="E93" s="155"/>
      <c r="F93" s="154" t="s">
        <v>965</v>
      </c>
      <c r="G93" s="156">
        <v>0.0</v>
      </c>
      <c r="H93" s="154" t="s">
        <v>966</v>
      </c>
      <c r="I93" s="154">
        <v>5.06421166E8</v>
      </c>
      <c r="J93" s="156">
        <v>0.0</v>
      </c>
      <c r="K93" s="154" t="s">
        <v>207</v>
      </c>
    </row>
    <row r="94">
      <c r="A94" s="154" t="s">
        <v>968</v>
      </c>
      <c r="B94" s="154" t="s">
        <v>969</v>
      </c>
      <c r="D94" s="154">
        <v>2.0</v>
      </c>
      <c r="E94" s="154" t="s">
        <v>761</v>
      </c>
      <c r="F94" s="154" t="s">
        <v>970</v>
      </c>
      <c r="G94" s="156">
        <v>0.0</v>
      </c>
      <c r="H94" s="156">
        <v>0.0</v>
      </c>
      <c r="I94" s="154" t="s">
        <v>971</v>
      </c>
      <c r="J94" s="154" t="s">
        <v>809</v>
      </c>
      <c r="K94" s="154" t="s">
        <v>361</v>
      </c>
    </row>
    <row r="95">
      <c r="A95" s="154" t="s">
        <v>968</v>
      </c>
      <c r="B95" s="155"/>
      <c r="C95" s="154" t="s">
        <v>972</v>
      </c>
      <c r="D95" s="155"/>
      <c r="E95" s="155"/>
      <c r="F95" s="154" t="s">
        <v>970</v>
      </c>
      <c r="G95" s="156">
        <v>0.0</v>
      </c>
      <c r="H95" s="156">
        <v>0.0</v>
      </c>
      <c r="I95" s="154" t="s">
        <v>971</v>
      </c>
      <c r="J95" s="154" t="s">
        <v>809</v>
      </c>
      <c r="K95" s="154" t="s">
        <v>361</v>
      </c>
    </row>
    <row r="96">
      <c r="A96" s="154" t="s">
        <v>973</v>
      </c>
      <c r="B96" s="154" t="s">
        <v>974</v>
      </c>
      <c r="D96" s="154">
        <v>2.0</v>
      </c>
      <c r="E96" s="154" t="s">
        <v>761</v>
      </c>
      <c r="F96" s="154" t="s">
        <v>975</v>
      </c>
      <c r="G96" s="155">
        <f t="shared" ref="G96:G99" si="1">+97144478101</f>
        <v>97144478101</v>
      </c>
      <c r="H96" s="154" t="s">
        <v>976</v>
      </c>
      <c r="I96" s="156">
        <v>0.0</v>
      </c>
      <c r="J96" s="156">
        <v>0.0</v>
      </c>
      <c r="K96" s="156">
        <v>0.0</v>
      </c>
    </row>
    <row r="97">
      <c r="A97" s="154" t="s">
        <v>973</v>
      </c>
      <c r="B97" s="155"/>
      <c r="C97" s="154" t="s">
        <v>977</v>
      </c>
      <c r="D97" s="155"/>
      <c r="E97" s="155"/>
      <c r="F97" s="154" t="s">
        <v>975</v>
      </c>
      <c r="G97" s="155">
        <f t="shared" si="1"/>
        <v>97144478101</v>
      </c>
      <c r="H97" s="154" t="s">
        <v>976</v>
      </c>
      <c r="I97" s="156">
        <v>0.0</v>
      </c>
      <c r="J97" s="156">
        <v>0.0</v>
      </c>
      <c r="K97" s="156">
        <v>0.0</v>
      </c>
    </row>
    <row r="98">
      <c r="A98" s="154" t="s">
        <v>978</v>
      </c>
      <c r="B98" s="155"/>
      <c r="C98" s="154" t="s">
        <v>979</v>
      </c>
      <c r="D98" s="155"/>
      <c r="E98" s="155"/>
      <c r="F98" s="154" t="s">
        <v>975</v>
      </c>
      <c r="G98" s="155">
        <f t="shared" si="1"/>
        <v>97144478101</v>
      </c>
      <c r="H98" s="154" t="s">
        <v>976</v>
      </c>
      <c r="I98" s="156">
        <v>0.0</v>
      </c>
      <c r="J98" s="156">
        <v>0.0</v>
      </c>
      <c r="K98" s="156">
        <v>0.0</v>
      </c>
    </row>
    <row r="99">
      <c r="A99" s="154" t="s">
        <v>978</v>
      </c>
      <c r="B99" s="154" t="s">
        <v>980</v>
      </c>
      <c r="D99" s="154">
        <v>2.0</v>
      </c>
      <c r="E99" s="154" t="s">
        <v>761</v>
      </c>
      <c r="F99" s="154" t="s">
        <v>975</v>
      </c>
      <c r="G99" s="155">
        <f t="shared" si="1"/>
        <v>97144478101</v>
      </c>
      <c r="H99" s="154" t="s">
        <v>976</v>
      </c>
      <c r="I99" s="156">
        <v>0.0</v>
      </c>
      <c r="J99" s="156">
        <v>0.0</v>
      </c>
      <c r="K99" s="156">
        <v>0.0</v>
      </c>
    </row>
    <row r="100">
      <c r="A100" s="154" t="s">
        <v>981</v>
      </c>
      <c r="B100" s="154" t="s">
        <v>982</v>
      </c>
      <c r="D100" s="154">
        <v>2.0</v>
      </c>
      <c r="E100" s="154" t="s">
        <v>761</v>
      </c>
      <c r="F100" s="154" t="s">
        <v>983</v>
      </c>
      <c r="G100" s="156">
        <v>0.0</v>
      </c>
      <c r="H100" s="154" t="s">
        <v>984</v>
      </c>
      <c r="I100" s="154" t="s">
        <v>985</v>
      </c>
      <c r="J100" s="154" t="s">
        <v>986</v>
      </c>
      <c r="K100" s="154" t="s">
        <v>259</v>
      </c>
    </row>
    <row r="101">
      <c r="A101" s="154" t="s">
        <v>981</v>
      </c>
      <c r="B101" s="155"/>
      <c r="C101" s="154" t="s">
        <v>987</v>
      </c>
      <c r="D101" s="155"/>
      <c r="E101" s="155"/>
      <c r="F101" s="154" t="s">
        <v>983</v>
      </c>
      <c r="G101" s="156">
        <v>0.0</v>
      </c>
      <c r="H101" s="154" t="s">
        <v>984</v>
      </c>
      <c r="I101" s="154" t="s">
        <v>985</v>
      </c>
      <c r="J101" s="154" t="s">
        <v>986</v>
      </c>
      <c r="K101" s="154" t="s">
        <v>259</v>
      </c>
    </row>
    <row r="102">
      <c r="A102" s="154" t="s">
        <v>988</v>
      </c>
      <c r="B102" s="154" t="s">
        <v>989</v>
      </c>
      <c r="D102" s="154">
        <v>2.0</v>
      </c>
      <c r="E102" s="154" t="s">
        <v>761</v>
      </c>
      <c r="F102" s="154" t="s">
        <v>990</v>
      </c>
      <c r="G102" s="156">
        <v>0.0</v>
      </c>
      <c r="H102" s="156">
        <v>0.0</v>
      </c>
      <c r="I102" s="154" t="s">
        <v>991</v>
      </c>
      <c r="J102" s="156">
        <v>0.0</v>
      </c>
      <c r="K102" s="154" t="s">
        <v>914</v>
      </c>
    </row>
    <row r="103">
      <c r="A103" s="154" t="s">
        <v>988</v>
      </c>
      <c r="B103" s="155"/>
      <c r="C103" s="154" t="s">
        <v>989</v>
      </c>
      <c r="D103" s="155"/>
      <c r="E103" s="155"/>
      <c r="F103" s="154" t="s">
        <v>990</v>
      </c>
      <c r="G103" s="156">
        <v>0.0</v>
      </c>
      <c r="H103" s="156">
        <v>0.0</v>
      </c>
      <c r="I103" s="154" t="s">
        <v>991</v>
      </c>
      <c r="J103" s="156">
        <v>0.0</v>
      </c>
      <c r="K103" s="154" t="s">
        <v>914</v>
      </c>
    </row>
    <row r="104">
      <c r="A104" s="154" t="s">
        <v>992</v>
      </c>
      <c r="B104" s="154" t="s">
        <v>993</v>
      </c>
      <c r="D104" s="154">
        <v>2.0</v>
      </c>
      <c r="E104" s="154" t="s">
        <v>761</v>
      </c>
      <c r="F104" s="154" t="s">
        <v>994</v>
      </c>
      <c r="G104" s="154">
        <v>5.0979726E8</v>
      </c>
      <c r="H104" s="154" t="s">
        <v>995</v>
      </c>
      <c r="I104" s="156">
        <v>0.0</v>
      </c>
      <c r="J104" s="156">
        <v>0.0</v>
      </c>
      <c r="K104" s="156">
        <v>0.0</v>
      </c>
    </row>
    <row r="105">
      <c r="A105" s="154" t="s">
        <v>992</v>
      </c>
      <c r="B105" s="155"/>
      <c r="C105" s="154" t="s">
        <v>993</v>
      </c>
      <c r="D105" s="155"/>
      <c r="E105" s="155"/>
      <c r="F105" s="154" t="s">
        <v>996</v>
      </c>
      <c r="G105" s="154">
        <v>7.2068666E7</v>
      </c>
      <c r="H105" s="156">
        <v>0.0</v>
      </c>
      <c r="I105" s="154">
        <v>9.71507992575E11</v>
      </c>
      <c r="J105" s="156">
        <v>0.0</v>
      </c>
      <c r="K105" s="154" t="s">
        <v>997</v>
      </c>
    </row>
    <row r="106">
      <c r="A106" s="154" t="s">
        <v>998</v>
      </c>
      <c r="B106" s="155"/>
      <c r="C106" s="154" t="s">
        <v>999</v>
      </c>
      <c r="D106" s="155"/>
      <c r="E106" s="155"/>
      <c r="F106" s="154" t="s">
        <v>1000</v>
      </c>
      <c r="G106" s="156">
        <v>0.0</v>
      </c>
      <c r="H106" s="156">
        <v>0.0</v>
      </c>
      <c r="I106" s="154" t="s">
        <v>1001</v>
      </c>
      <c r="J106" s="156">
        <v>0.0</v>
      </c>
      <c r="K106" s="154" t="s">
        <v>240</v>
      </c>
    </row>
    <row r="107">
      <c r="A107" s="154" t="s">
        <v>998</v>
      </c>
      <c r="B107" s="154" t="s">
        <v>999</v>
      </c>
      <c r="D107" s="154">
        <v>2.0</v>
      </c>
      <c r="E107" s="154" t="s">
        <v>761</v>
      </c>
      <c r="F107" s="154" t="s">
        <v>1000</v>
      </c>
      <c r="G107" s="156">
        <v>0.0</v>
      </c>
      <c r="H107" s="156">
        <v>0.0</v>
      </c>
      <c r="I107" s="154" t="s">
        <v>1001</v>
      </c>
      <c r="J107" s="156">
        <v>0.0</v>
      </c>
      <c r="K107" s="154" t="s">
        <v>240</v>
      </c>
    </row>
    <row r="108">
      <c r="A108" s="154" t="s">
        <v>1002</v>
      </c>
      <c r="B108" s="154" t="s">
        <v>1003</v>
      </c>
      <c r="D108" s="154">
        <v>2.0</v>
      </c>
      <c r="E108" s="154" t="s">
        <v>761</v>
      </c>
      <c r="F108" s="154" t="s">
        <v>1004</v>
      </c>
      <c r="G108" s="156">
        <v>0.0</v>
      </c>
      <c r="H108" s="156">
        <v>0.0</v>
      </c>
      <c r="I108" s="154">
        <v>0.0</v>
      </c>
      <c r="J108" s="156">
        <v>0.0</v>
      </c>
      <c r="K108" s="154" t="s">
        <v>207</v>
      </c>
    </row>
    <row r="109">
      <c r="A109" s="154" t="s">
        <v>1002</v>
      </c>
      <c r="B109" s="155"/>
      <c r="C109" s="154" t="s">
        <v>1003</v>
      </c>
      <c r="D109" s="155"/>
      <c r="E109" s="155"/>
      <c r="F109" s="154" t="s">
        <v>1004</v>
      </c>
      <c r="G109" s="156">
        <v>0.0</v>
      </c>
      <c r="H109" s="156">
        <v>0.0</v>
      </c>
      <c r="I109" s="154">
        <v>0.0</v>
      </c>
      <c r="J109" s="156">
        <v>0.0</v>
      </c>
      <c r="K109" s="154" t="s">
        <v>207</v>
      </c>
    </row>
    <row r="110">
      <c r="A110" s="154" t="s">
        <v>1005</v>
      </c>
      <c r="B110" s="154" t="s">
        <v>1006</v>
      </c>
      <c r="D110" s="154">
        <v>2.0</v>
      </c>
      <c r="E110" s="154" t="s">
        <v>761</v>
      </c>
      <c r="F110" s="154" t="s">
        <v>1007</v>
      </c>
      <c r="G110" s="156">
        <v>0.0</v>
      </c>
      <c r="H110" s="154" t="s">
        <v>1008</v>
      </c>
      <c r="I110" s="154" t="s">
        <v>853</v>
      </c>
      <c r="J110" s="154" t="s">
        <v>960</v>
      </c>
      <c r="K110" s="154" t="s">
        <v>361</v>
      </c>
    </row>
    <row r="111">
      <c r="A111" s="154" t="s">
        <v>1005</v>
      </c>
      <c r="B111" s="155"/>
      <c r="C111" s="154" t="s">
        <v>1006</v>
      </c>
      <c r="D111" s="155"/>
      <c r="E111" s="155"/>
      <c r="F111" s="154" t="s">
        <v>1009</v>
      </c>
      <c r="G111" s="156">
        <v>0.0</v>
      </c>
      <c r="H111" s="154" t="s">
        <v>1008</v>
      </c>
      <c r="I111" s="154" t="s">
        <v>853</v>
      </c>
      <c r="J111" s="154" t="s">
        <v>809</v>
      </c>
      <c r="K111" s="154" t="s">
        <v>361</v>
      </c>
    </row>
    <row r="112">
      <c r="A112" s="154" t="s">
        <v>1010</v>
      </c>
      <c r="B112" s="155"/>
      <c r="C112" s="154" t="s">
        <v>1011</v>
      </c>
      <c r="D112" s="155"/>
      <c r="E112" s="155"/>
      <c r="F112" s="154" t="s">
        <v>1012</v>
      </c>
      <c r="G112" s="156">
        <v>0.0</v>
      </c>
      <c r="H112" s="156">
        <v>0.0</v>
      </c>
      <c r="I112" s="154" t="s">
        <v>1013</v>
      </c>
      <c r="J112" s="154" t="s">
        <v>1014</v>
      </c>
      <c r="K112" s="154" t="s">
        <v>760</v>
      </c>
    </row>
    <row r="113">
      <c r="A113" s="154" t="s">
        <v>1010</v>
      </c>
      <c r="B113" s="154" t="s">
        <v>1011</v>
      </c>
      <c r="D113" s="154">
        <v>2.0</v>
      </c>
      <c r="E113" s="154" t="s">
        <v>897</v>
      </c>
      <c r="F113" s="154" t="s">
        <v>1012</v>
      </c>
      <c r="G113" s="156">
        <v>0.0</v>
      </c>
      <c r="H113" s="156">
        <v>0.0</v>
      </c>
      <c r="I113" s="154" t="s">
        <v>1013</v>
      </c>
      <c r="J113" s="154" t="s">
        <v>1014</v>
      </c>
      <c r="K113" s="154" t="s">
        <v>760</v>
      </c>
    </row>
    <row r="114">
      <c r="A114" s="154" t="s">
        <v>1015</v>
      </c>
      <c r="B114" s="155"/>
      <c r="C114" s="154" t="s">
        <v>1016</v>
      </c>
      <c r="D114" s="155"/>
      <c r="E114" s="155"/>
      <c r="F114" s="154" t="s">
        <v>1017</v>
      </c>
      <c r="G114" s="156">
        <v>0.0</v>
      </c>
      <c r="H114" s="156">
        <v>0.0</v>
      </c>
      <c r="I114" s="154" t="s">
        <v>1018</v>
      </c>
      <c r="J114" s="156">
        <v>0.0</v>
      </c>
      <c r="K114" s="154" t="s">
        <v>207</v>
      </c>
    </row>
    <row r="115">
      <c r="A115" s="154" t="s">
        <v>1015</v>
      </c>
      <c r="B115" s="154" t="s">
        <v>1016</v>
      </c>
      <c r="D115" s="154">
        <v>2.0</v>
      </c>
      <c r="E115" s="154" t="s">
        <v>897</v>
      </c>
      <c r="F115" s="154" t="s">
        <v>792</v>
      </c>
      <c r="G115" s="154" t="s">
        <v>793</v>
      </c>
      <c r="H115" s="154" t="s">
        <v>794</v>
      </c>
      <c r="I115" s="156">
        <v>0.0</v>
      </c>
      <c r="J115" s="156">
        <v>0.0</v>
      </c>
      <c r="K115" s="156">
        <v>0.0</v>
      </c>
    </row>
    <row r="116">
      <c r="A116" s="154" t="s">
        <v>1019</v>
      </c>
      <c r="B116" s="155"/>
      <c r="C116" s="154" t="s">
        <v>1020</v>
      </c>
      <c r="D116" s="155"/>
      <c r="E116" s="155"/>
      <c r="F116" s="154" t="s">
        <v>1021</v>
      </c>
      <c r="G116" s="154">
        <v>5.06462781E8</v>
      </c>
      <c r="H116" s="156">
        <v>0.0</v>
      </c>
      <c r="I116" s="154" t="s">
        <v>1022</v>
      </c>
      <c r="J116" s="156">
        <v>0.0</v>
      </c>
      <c r="K116" s="154" t="s">
        <v>361</v>
      </c>
    </row>
    <row r="117">
      <c r="A117" s="154" t="s">
        <v>1019</v>
      </c>
      <c r="B117" s="154" t="s">
        <v>1020</v>
      </c>
      <c r="D117" s="154">
        <v>2.0</v>
      </c>
      <c r="E117" s="154" t="s">
        <v>897</v>
      </c>
      <c r="F117" s="154" t="s">
        <v>1021</v>
      </c>
      <c r="G117" s="154">
        <v>5.06462781E8</v>
      </c>
      <c r="H117" s="156">
        <v>0.0</v>
      </c>
      <c r="I117" s="154" t="s">
        <v>1022</v>
      </c>
      <c r="J117" s="156">
        <v>0.0</v>
      </c>
      <c r="K117" s="154" t="s">
        <v>361</v>
      </c>
    </row>
    <row r="118">
      <c r="A118" s="154" t="s">
        <v>1023</v>
      </c>
      <c r="B118" s="154" t="s">
        <v>1024</v>
      </c>
      <c r="D118" s="154">
        <v>2.0</v>
      </c>
      <c r="E118" s="154" t="s">
        <v>897</v>
      </c>
      <c r="F118" s="154" t="s">
        <v>1025</v>
      </c>
      <c r="G118" s="156">
        <v>0.0</v>
      </c>
      <c r="H118" s="156">
        <v>0.0</v>
      </c>
      <c r="I118" s="154">
        <v>9.71505515499E11</v>
      </c>
      <c r="J118" s="156">
        <v>0.0</v>
      </c>
      <c r="K118" s="154" t="s">
        <v>206</v>
      </c>
    </row>
    <row r="119">
      <c r="A119" s="154" t="s">
        <v>1023</v>
      </c>
      <c r="B119" s="155"/>
      <c r="C119" s="154" t="s">
        <v>1024</v>
      </c>
      <c r="D119" s="155"/>
      <c r="E119" s="155"/>
      <c r="F119" s="154" t="s">
        <v>1025</v>
      </c>
      <c r="G119" s="156">
        <v>0.0</v>
      </c>
      <c r="H119" s="156">
        <v>0.0</v>
      </c>
      <c r="I119" s="154">
        <v>9.71505515499E11</v>
      </c>
      <c r="J119" s="156">
        <v>0.0</v>
      </c>
      <c r="K119" s="154" t="s">
        <v>206</v>
      </c>
    </row>
    <row r="120">
      <c r="A120" s="154" t="s">
        <v>1026</v>
      </c>
      <c r="B120" s="155"/>
      <c r="C120" s="154" t="s">
        <v>1027</v>
      </c>
      <c r="D120" s="155"/>
      <c r="E120" s="155"/>
      <c r="F120" s="154" t="s">
        <v>1028</v>
      </c>
      <c r="G120" s="154">
        <v>4.0</v>
      </c>
      <c r="H120" s="156">
        <v>0.0</v>
      </c>
      <c r="I120" s="154" t="s">
        <v>1029</v>
      </c>
      <c r="J120" s="156">
        <v>0.0</v>
      </c>
      <c r="K120" s="154" t="s">
        <v>301</v>
      </c>
    </row>
    <row r="121">
      <c r="A121" s="154" t="s">
        <v>1026</v>
      </c>
      <c r="B121" s="154" t="s">
        <v>1027</v>
      </c>
      <c r="D121" s="154">
        <v>2.0</v>
      </c>
      <c r="E121" s="154" t="s">
        <v>761</v>
      </c>
      <c r="F121" s="154" t="s">
        <v>1028</v>
      </c>
      <c r="G121" s="154">
        <v>4.0</v>
      </c>
      <c r="H121" s="156">
        <v>0.0</v>
      </c>
      <c r="I121" s="154" t="s">
        <v>1029</v>
      </c>
      <c r="J121" s="156">
        <v>0.0</v>
      </c>
      <c r="K121" s="154" t="s">
        <v>301</v>
      </c>
    </row>
    <row r="122">
      <c r="A122" s="154" t="s">
        <v>1030</v>
      </c>
      <c r="B122" s="155"/>
      <c r="C122" s="154" t="s">
        <v>1031</v>
      </c>
      <c r="D122" s="155"/>
      <c r="E122" s="155"/>
      <c r="F122" s="154" t="s">
        <v>1032</v>
      </c>
      <c r="G122" s="154">
        <v>4.2261E7</v>
      </c>
      <c r="H122" s="156">
        <v>0.0</v>
      </c>
      <c r="I122" s="156">
        <v>0.0</v>
      </c>
      <c r="J122" s="156">
        <v>0.0</v>
      </c>
      <c r="K122" s="156">
        <v>0.0</v>
      </c>
    </row>
    <row r="123">
      <c r="A123" s="154" t="s">
        <v>1030</v>
      </c>
      <c r="B123" s="154" t="s">
        <v>1031</v>
      </c>
      <c r="D123" s="154">
        <v>2.0</v>
      </c>
      <c r="E123" s="154" t="s">
        <v>761</v>
      </c>
      <c r="F123" s="154" t="s">
        <v>1032</v>
      </c>
      <c r="G123" s="154">
        <v>4.2261E7</v>
      </c>
      <c r="H123" s="156">
        <v>0.0</v>
      </c>
      <c r="I123" s="156">
        <v>0.0</v>
      </c>
      <c r="J123" s="156">
        <v>0.0</v>
      </c>
      <c r="K123" s="156">
        <v>0.0</v>
      </c>
    </row>
    <row r="124">
      <c r="A124" s="154" t="s">
        <v>1033</v>
      </c>
      <c r="B124" s="154" t="s">
        <v>1034</v>
      </c>
      <c r="D124" s="154">
        <v>2.0</v>
      </c>
      <c r="E124" s="154" t="s">
        <v>761</v>
      </c>
      <c r="F124" s="154" t="s">
        <v>1035</v>
      </c>
      <c r="G124" s="156">
        <v>0.0</v>
      </c>
      <c r="H124" s="154" t="s">
        <v>1036</v>
      </c>
      <c r="I124" s="154" t="s">
        <v>1037</v>
      </c>
      <c r="J124" s="154" t="s">
        <v>1038</v>
      </c>
      <c r="K124" s="154" t="s">
        <v>361</v>
      </c>
    </row>
    <row r="125">
      <c r="A125" s="154" t="s">
        <v>1033</v>
      </c>
      <c r="B125" s="155"/>
      <c r="C125" s="154" t="s">
        <v>1034</v>
      </c>
      <c r="D125" s="155"/>
      <c r="E125" s="155"/>
      <c r="F125" s="154" t="s">
        <v>1039</v>
      </c>
      <c r="G125" s="156">
        <v>0.0</v>
      </c>
      <c r="H125" s="156">
        <v>0.0</v>
      </c>
      <c r="I125" s="154" t="s">
        <v>1037</v>
      </c>
      <c r="J125" s="154" t="s">
        <v>1038</v>
      </c>
      <c r="K125" s="154" t="s">
        <v>361</v>
      </c>
    </row>
    <row r="126">
      <c r="A126" s="154" t="s">
        <v>1040</v>
      </c>
      <c r="B126" s="155"/>
      <c r="C126" s="154" t="s">
        <v>1041</v>
      </c>
      <c r="D126" s="155"/>
      <c r="E126" s="155"/>
      <c r="F126" s="154" t="s">
        <v>1042</v>
      </c>
      <c r="G126" s="156">
        <v>0.0</v>
      </c>
      <c r="H126" s="156">
        <v>0.0</v>
      </c>
      <c r="I126" s="154" t="s">
        <v>1043</v>
      </c>
      <c r="J126" s="156">
        <v>0.0</v>
      </c>
      <c r="K126" s="154" t="s">
        <v>197</v>
      </c>
    </row>
    <row r="127">
      <c r="A127" s="154" t="s">
        <v>1040</v>
      </c>
      <c r="B127" s="154" t="s">
        <v>1041</v>
      </c>
      <c r="D127" s="154">
        <v>2.0</v>
      </c>
      <c r="E127" s="154" t="s">
        <v>761</v>
      </c>
      <c r="F127" s="154" t="s">
        <v>1044</v>
      </c>
      <c r="G127" s="156">
        <v>0.0</v>
      </c>
      <c r="H127" s="156">
        <v>0.0</v>
      </c>
      <c r="I127" s="154" t="s">
        <v>1045</v>
      </c>
      <c r="J127" s="156">
        <v>0.0</v>
      </c>
      <c r="K127" s="154" t="s">
        <v>240</v>
      </c>
    </row>
    <row r="128">
      <c r="A128" s="154" t="s">
        <v>1046</v>
      </c>
      <c r="B128" s="154" t="s">
        <v>1047</v>
      </c>
      <c r="D128" s="154">
        <v>2.0</v>
      </c>
      <c r="E128" s="154" t="s">
        <v>761</v>
      </c>
      <c r="F128" s="154" t="s">
        <v>1048</v>
      </c>
      <c r="G128" s="156">
        <v>0.0</v>
      </c>
      <c r="H128" s="156">
        <v>0.0</v>
      </c>
      <c r="I128" s="154" t="s">
        <v>1049</v>
      </c>
      <c r="J128" s="156">
        <v>0.0</v>
      </c>
      <c r="K128" s="154" t="s">
        <v>760</v>
      </c>
    </row>
    <row r="129">
      <c r="A129" s="154" t="s">
        <v>1046</v>
      </c>
      <c r="B129" s="155"/>
      <c r="C129" s="154" t="s">
        <v>1047</v>
      </c>
      <c r="D129" s="155"/>
      <c r="E129" s="155"/>
      <c r="F129" s="154" t="s">
        <v>1048</v>
      </c>
      <c r="G129" s="156">
        <v>0.0</v>
      </c>
      <c r="H129" s="156">
        <v>0.0</v>
      </c>
      <c r="I129" s="154" t="s">
        <v>1049</v>
      </c>
      <c r="J129" s="156">
        <v>0.0</v>
      </c>
      <c r="K129" s="154" t="s">
        <v>760</v>
      </c>
    </row>
    <row r="130">
      <c r="A130" s="154" t="s">
        <v>1050</v>
      </c>
      <c r="B130" s="154" t="s">
        <v>1051</v>
      </c>
      <c r="D130" s="154">
        <v>2.0</v>
      </c>
      <c r="E130" s="154" t="s">
        <v>761</v>
      </c>
      <c r="F130" s="154" t="s">
        <v>1052</v>
      </c>
      <c r="G130" s="156">
        <v>0.0</v>
      </c>
      <c r="H130" s="156">
        <v>0.0</v>
      </c>
      <c r="I130" s="154">
        <v>5.01591578E8</v>
      </c>
      <c r="J130" s="156">
        <v>0.0</v>
      </c>
      <c r="K130" s="154" t="s">
        <v>259</v>
      </c>
    </row>
    <row r="131">
      <c r="A131" s="154" t="s">
        <v>1050</v>
      </c>
      <c r="B131" s="155"/>
      <c r="C131" s="154" t="s">
        <v>1051</v>
      </c>
      <c r="D131" s="155"/>
      <c r="E131" s="155"/>
      <c r="F131" s="154" t="s">
        <v>1052</v>
      </c>
      <c r="G131" s="156">
        <v>0.0</v>
      </c>
      <c r="H131" s="156">
        <v>0.0</v>
      </c>
      <c r="I131" s="154">
        <v>5.01591578E8</v>
      </c>
      <c r="J131" s="156">
        <v>0.0</v>
      </c>
      <c r="K131" s="154" t="s">
        <v>259</v>
      </c>
    </row>
    <row r="132">
      <c r="A132" s="154" t="s">
        <v>1053</v>
      </c>
      <c r="B132" s="154" t="s">
        <v>1054</v>
      </c>
      <c r="D132" s="154">
        <v>2.0</v>
      </c>
      <c r="E132" s="154" t="s">
        <v>761</v>
      </c>
      <c r="F132" s="154" t="s">
        <v>1055</v>
      </c>
      <c r="G132" s="154">
        <v>0.0</v>
      </c>
      <c r="H132" s="156">
        <v>0.0</v>
      </c>
      <c r="I132" s="154">
        <v>7.956298629E9</v>
      </c>
      <c r="J132" s="156">
        <v>0.0</v>
      </c>
      <c r="K132" s="154" t="s">
        <v>259</v>
      </c>
    </row>
    <row r="133">
      <c r="A133" s="154" t="s">
        <v>1053</v>
      </c>
      <c r="B133" s="155"/>
      <c r="C133" s="154" t="s">
        <v>1054</v>
      </c>
      <c r="D133" s="155"/>
      <c r="E133" s="155"/>
      <c r="F133" s="154" t="s">
        <v>1055</v>
      </c>
      <c r="G133" s="154">
        <v>0.0</v>
      </c>
      <c r="H133" s="156">
        <v>0.0</v>
      </c>
      <c r="I133" s="154">
        <v>7.956298629E9</v>
      </c>
      <c r="J133" s="156">
        <v>0.0</v>
      </c>
      <c r="K133" s="154" t="s">
        <v>259</v>
      </c>
    </row>
    <row r="134">
      <c r="A134" s="154" t="s">
        <v>1056</v>
      </c>
      <c r="B134" s="154" t="s">
        <v>1057</v>
      </c>
      <c r="D134" s="154">
        <v>2.0</v>
      </c>
      <c r="E134" s="154" t="s">
        <v>761</v>
      </c>
      <c r="F134" s="154" t="s">
        <v>1058</v>
      </c>
      <c r="G134" s="154">
        <v>1.5122580216E10</v>
      </c>
      <c r="H134" s="156">
        <v>0.0</v>
      </c>
      <c r="I134" s="154">
        <v>4.91727968045E11</v>
      </c>
      <c r="J134" s="156">
        <v>0.0</v>
      </c>
      <c r="K134" s="154" t="s">
        <v>1059</v>
      </c>
    </row>
    <row r="135">
      <c r="A135" s="154" t="s">
        <v>1056</v>
      </c>
      <c r="B135" s="155"/>
      <c r="C135" s="154" t="s">
        <v>1057</v>
      </c>
      <c r="D135" s="155"/>
      <c r="E135" s="155"/>
      <c r="F135" s="154" t="s">
        <v>1060</v>
      </c>
      <c r="G135" s="154">
        <v>1.55122580216E11</v>
      </c>
      <c r="H135" s="156">
        <v>0.0</v>
      </c>
      <c r="I135" s="154">
        <v>4.91727968045E11</v>
      </c>
      <c r="J135" s="156">
        <v>0.0</v>
      </c>
      <c r="K135" s="154" t="s">
        <v>361</v>
      </c>
    </row>
    <row r="136">
      <c r="A136" s="154" t="s">
        <v>1061</v>
      </c>
      <c r="B136" s="155"/>
      <c r="C136" s="154" t="s">
        <v>1062</v>
      </c>
      <c r="D136" s="155"/>
      <c r="E136" s="155"/>
      <c r="F136" s="154" t="s">
        <v>1063</v>
      </c>
      <c r="G136" s="154">
        <v>2995555.0</v>
      </c>
      <c r="H136" s="154" t="s">
        <v>1064</v>
      </c>
      <c r="I136" s="154">
        <v>5.06506828E8</v>
      </c>
      <c r="J136" s="156">
        <v>0.0</v>
      </c>
      <c r="K136" s="154" t="s">
        <v>361</v>
      </c>
    </row>
    <row r="137">
      <c r="A137" s="154" t="s">
        <v>1061</v>
      </c>
      <c r="B137" s="154" t="s">
        <v>1062</v>
      </c>
      <c r="D137" s="154">
        <v>2.0</v>
      </c>
      <c r="E137" s="154" t="s">
        <v>761</v>
      </c>
      <c r="F137" s="154" t="s">
        <v>1063</v>
      </c>
      <c r="G137" s="154">
        <v>2995555.0</v>
      </c>
      <c r="H137" s="154" t="s">
        <v>1064</v>
      </c>
      <c r="I137" s="154">
        <v>5.06506828E8</v>
      </c>
      <c r="J137" s="156">
        <v>0.0</v>
      </c>
      <c r="K137" s="154" t="s">
        <v>361</v>
      </c>
    </row>
    <row r="138">
      <c r="A138" s="154" t="s">
        <v>1065</v>
      </c>
      <c r="B138" s="154" t="s">
        <v>1066</v>
      </c>
      <c r="D138" s="154">
        <v>2.0</v>
      </c>
      <c r="E138" s="154" t="s">
        <v>761</v>
      </c>
      <c r="F138" s="154" t="s">
        <v>1067</v>
      </c>
      <c r="G138" s="154">
        <v>9.71404037777E11</v>
      </c>
      <c r="H138" s="154" t="s">
        <v>1068</v>
      </c>
      <c r="I138" s="154">
        <v>9.71507840754E11</v>
      </c>
      <c r="J138" s="156">
        <v>0.0</v>
      </c>
      <c r="K138" s="154" t="s">
        <v>1069</v>
      </c>
    </row>
    <row r="139">
      <c r="A139" s="154" t="s">
        <v>1065</v>
      </c>
      <c r="B139" s="155"/>
      <c r="C139" s="154" t="s">
        <v>1066</v>
      </c>
      <c r="D139" s="155"/>
      <c r="E139" s="155"/>
      <c r="F139" s="154" t="s">
        <v>1070</v>
      </c>
      <c r="G139" s="154">
        <v>0.0</v>
      </c>
      <c r="H139" s="156">
        <v>0.0</v>
      </c>
      <c r="I139" s="154">
        <v>9.71509554518E11</v>
      </c>
      <c r="J139" s="156">
        <v>0.0</v>
      </c>
      <c r="K139" s="154" t="s">
        <v>818</v>
      </c>
    </row>
    <row r="140">
      <c r="A140" s="154" t="s">
        <v>1071</v>
      </c>
      <c r="B140" s="155"/>
      <c r="C140" s="154" t="s">
        <v>1072</v>
      </c>
      <c r="D140" s="155"/>
      <c r="E140" s="155"/>
      <c r="F140" s="154" t="s">
        <v>1073</v>
      </c>
      <c r="G140" s="156">
        <v>0.0</v>
      </c>
      <c r="H140" s="156">
        <v>0.0</v>
      </c>
      <c r="I140" s="154" t="s">
        <v>1074</v>
      </c>
      <c r="J140" s="154" t="s">
        <v>1075</v>
      </c>
      <c r="K140" s="154" t="s">
        <v>361</v>
      </c>
    </row>
    <row r="141">
      <c r="A141" s="154" t="s">
        <v>1071</v>
      </c>
      <c r="B141" s="154" t="s">
        <v>1072</v>
      </c>
      <c r="D141" s="154">
        <v>2.0</v>
      </c>
      <c r="E141" s="154" t="s">
        <v>761</v>
      </c>
      <c r="F141" s="154" t="s">
        <v>1073</v>
      </c>
      <c r="G141" s="156">
        <v>0.0</v>
      </c>
      <c r="H141" s="156">
        <v>0.0</v>
      </c>
      <c r="I141" s="154" t="s">
        <v>1074</v>
      </c>
      <c r="J141" s="154" t="s">
        <v>1075</v>
      </c>
      <c r="K141" s="154" t="s">
        <v>361</v>
      </c>
    </row>
    <row r="142">
      <c r="A142" s="154" t="s">
        <v>1076</v>
      </c>
      <c r="B142" s="155"/>
      <c r="C142" s="154" t="s">
        <v>1077</v>
      </c>
      <c r="D142" s="155"/>
      <c r="E142" s="155"/>
      <c r="F142" s="154" t="s">
        <v>1078</v>
      </c>
      <c r="G142" s="156">
        <v>0.0</v>
      </c>
      <c r="H142" s="154" t="s">
        <v>1079</v>
      </c>
      <c r="I142" s="154" t="s">
        <v>1080</v>
      </c>
      <c r="J142" s="154" t="s">
        <v>1081</v>
      </c>
      <c r="K142" s="154" t="s">
        <v>259</v>
      </c>
    </row>
    <row r="143">
      <c r="A143" s="154" t="s">
        <v>1076</v>
      </c>
      <c r="B143" s="154" t="s">
        <v>1077</v>
      </c>
      <c r="D143" s="154">
        <v>2.0</v>
      </c>
      <c r="E143" s="154" t="s">
        <v>761</v>
      </c>
      <c r="F143" s="154" t="s">
        <v>1078</v>
      </c>
      <c r="G143" s="156">
        <v>0.0</v>
      </c>
      <c r="H143" s="154" t="s">
        <v>1079</v>
      </c>
      <c r="I143" s="154" t="s">
        <v>1080</v>
      </c>
      <c r="J143" s="154" t="s">
        <v>1081</v>
      </c>
      <c r="K143" s="154" t="s">
        <v>259</v>
      </c>
    </row>
    <row r="144">
      <c r="A144" s="154" t="s">
        <v>1082</v>
      </c>
      <c r="B144" s="154" t="s">
        <v>1083</v>
      </c>
      <c r="D144" s="154">
        <v>2.0</v>
      </c>
      <c r="E144" s="154" t="s">
        <v>761</v>
      </c>
      <c r="F144" s="154" t="s">
        <v>1084</v>
      </c>
      <c r="G144" s="154" t="s">
        <v>1085</v>
      </c>
      <c r="H144" s="154" t="s">
        <v>1086</v>
      </c>
      <c r="I144" s="154">
        <v>5.06446229E8</v>
      </c>
      <c r="J144" s="156">
        <v>0.0</v>
      </c>
      <c r="K144" s="154" t="s">
        <v>207</v>
      </c>
    </row>
    <row r="145">
      <c r="A145" s="154" t="s">
        <v>1082</v>
      </c>
      <c r="B145" s="155"/>
      <c r="C145" s="154" t="s">
        <v>1083</v>
      </c>
      <c r="D145" s="155"/>
      <c r="E145" s="155"/>
      <c r="F145" s="154" t="s">
        <v>1084</v>
      </c>
      <c r="G145" s="154" t="s">
        <v>1085</v>
      </c>
      <c r="H145" s="154" t="s">
        <v>1086</v>
      </c>
      <c r="I145" s="154">
        <v>5.06446229E8</v>
      </c>
      <c r="J145" s="156">
        <v>0.0</v>
      </c>
      <c r="K145" s="154" t="s">
        <v>207</v>
      </c>
    </row>
    <row r="146">
      <c r="A146" s="154" t="s">
        <v>1087</v>
      </c>
      <c r="B146" s="155"/>
      <c r="C146" s="154" t="s">
        <v>1088</v>
      </c>
      <c r="D146" s="155"/>
      <c r="E146" s="155"/>
      <c r="F146" s="154" t="s">
        <v>1089</v>
      </c>
      <c r="G146" s="154" t="s">
        <v>1090</v>
      </c>
      <c r="H146" s="154" t="s">
        <v>1091</v>
      </c>
      <c r="I146" s="154" t="s">
        <v>1092</v>
      </c>
      <c r="J146" s="154" t="s">
        <v>1090</v>
      </c>
      <c r="K146" s="154" t="s">
        <v>361</v>
      </c>
    </row>
    <row r="147">
      <c r="A147" s="154" t="s">
        <v>1087</v>
      </c>
      <c r="B147" s="154" t="s">
        <v>1088</v>
      </c>
      <c r="D147" s="154">
        <v>2.0</v>
      </c>
      <c r="E147" s="154" t="s">
        <v>761</v>
      </c>
      <c r="F147" s="154" t="s">
        <v>1089</v>
      </c>
      <c r="G147" s="154" t="s">
        <v>1090</v>
      </c>
      <c r="H147" s="154" t="s">
        <v>1091</v>
      </c>
      <c r="I147" s="154" t="s">
        <v>1092</v>
      </c>
      <c r="J147" s="154" t="s">
        <v>1090</v>
      </c>
      <c r="K147" s="154" t="s">
        <v>361</v>
      </c>
    </row>
    <row r="148">
      <c r="A148" s="154" t="s">
        <v>1093</v>
      </c>
      <c r="B148" s="154" t="s">
        <v>1094</v>
      </c>
      <c r="D148" s="154">
        <v>2.0</v>
      </c>
      <c r="E148" s="154" t="s">
        <v>897</v>
      </c>
      <c r="F148" s="154" t="s">
        <v>1095</v>
      </c>
      <c r="G148" s="154">
        <v>4.3714977E7</v>
      </c>
      <c r="H148" s="156">
        <v>0.0</v>
      </c>
      <c r="I148" s="154" t="s">
        <v>1096</v>
      </c>
      <c r="J148" s="156">
        <v>0.0</v>
      </c>
      <c r="K148" s="154" t="s">
        <v>361</v>
      </c>
    </row>
    <row r="149">
      <c r="A149" s="154" t="s">
        <v>1093</v>
      </c>
      <c r="B149" s="155"/>
      <c r="C149" s="154" t="s">
        <v>1094</v>
      </c>
      <c r="D149" s="155"/>
      <c r="E149" s="155"/>
      <c r="F149" s="154" t="s">
        <v>1097</v>
      </c>
      <c r="G149" s="154" t="s">
        <v>1098</v>
      </c>
      <c r="H149" s="156">
        <v>0.0</v>
      </c>
      <c r="I149" s="154">
        <v>9.71506514259E11</v>
      </c>
      <c r="J149" s="156">
        <v>0.0</v>
      </c>
      <c r="K149" s="154" t="s">
        <v>361</v>
      </c>
    </row>
    <row r="150">
      <c r="A150" s="154" t="s">
        <v>1099</v>
      </c>
      <c r="B150" s="154" t="s">
        <v>1100</v>
      </c>
      <c r="D150" s="154">
        <v>2.0</v>
      </c>
      <c r="E150" s="154" t="s">
        <v>761</v>
      </c>
      <c r="F150" s="154" t="s">
        <v>1101</v>
      </c>
      <c r="G150" s="154">
        <v>5.03555343E8</v>
      </c>
      <c r="H150" s="156">
        <v>0.0</v>
      </c>
      <c r="I150" s="156">
        <v>0.0</v>
      </c>
      <c r="J150" s="156">
        <v>0.0</v>
      </c>
      <c r="K150" s="154" t="s">
        <v>207</v>
      </c>
    </row>
    <row r="151">
      <c r="A151" s="154" t="s">
        <v>1099</v>
      </c>
      <c r="B151" s="155"/>
      <c r="C151" s="154" t="s">
        <v>1100</v>
      </c>
      <c r="D151" s="155"/>
      <c r="E151" s="155"/>
      <c r="F151" s="154" t="s">
        <v>1102</v>
      </c>
      <c r="G151" s="154">
        <v>5.04666669E8</v>
      </c>
      <c r="H151" s="156">
        <v>0.0</v>
      </c>
      <c r="I151" s="156">
        <v>0.0</v>
      </c>
      <c r="J151" s="156">
        <v>0.0</v>
      </c>
      <c r="K151" s="154" t="s">
        <v>207</v>
      </c>
    </row>
    <row r="152">
      <c r="A152" s="154" t="s">
        <v>1103</v>
      </c>
      <c r="B152" s="154" t="s">
        <v>1104</v>
      </c>
      <c r="D152" s="154">
        <v>2.0</v>
      </c>
      <c r="E152" s="154" t="s">
        <v>761</v>
      </c>
      <c r="F152" s="154" t="s">
        <v>1105</v>
      </c>
      <c r="G152" s="154">
        <v>4.2282592E7</v>
      </c>
      <c r="H152" s="156">
        <v>0.0</v>
      </c>
      <c r="I152" s="154">
        <v>9.71508874771E11</v>
      </c>
      <c r="J152" s="156">
        <v>0.0</v>
      </c>
      <c r="K152" s="154" t="s">
        <v>361</v>
      </c>
    </row>
    <row r="153">
      <c r="A153" s="154" t="s">
        <v>1103</v>
      </c>
      <c r="B153" s="155"/>
      <c r="C153" s="154" t="s">
        <v>1104</v>
      </c>
      <c r="D153" s="155"/>
      <c r="E153" s="155"/>
      <c r="F153" s="154" t="s">
        <v>1105</v>
      </c>
      <c r="G153" s="154">
        <v>4.2282592E7</v>
      </c>
      <c r="H153" s="156">
        <v>0.0</v>
      </c>
      <c r="I153" s="154">
        <v>9.71508874771E11</v>
      </c>
      <c r="J153" s="156">
        <v>0.0</v>
      </c>
      <c r="K153" s="154" t="s">
        <v>361</v>
      </c>
    </row>
    <row r="154">
      <c r="A154" s="154" t="s">
        <v>1106</v>
      </c>
      <c r="B154" s="154" t="s">
        <v>1107</v>
      </c>
      <c r="D154" s="154">
        <v>2.0</v>
      </c>
      <c r="E154" s="154" t="s">
        <v>761</v>
      </c>
      <c r="F154" s="154" t="s">
        <v>1108</v>
      </c>
      <c r="G154" s="156">
        <v>0.0</v>
      </c>
      <c r="H154" s="156">
        <v>0.0</v>
      </c>
      <c r="I154" s="156">
        <v>0.0</v>
      </c>
      <c r="J154" s="154" t="s">
        <v>1109</v>
      </c>
      <c r="K154" s="154" t="s">
        <v>1110</v>
      </c>
    </row>
    <row r="155">
      <c r="A155" s="154" t="s">
        <v>1106</v>
      </c>
      <c r="B155" s="155"/>
      <c r="C155" s="154" t="s">
        <v>1107</v>
      </c>
      <c r="D155" s="155"/>
      <c r="E155" s="155"/>
      <c r="F155" s="154" t="s">
        <v>1108</v>
      </c>
      <c r="G155" s="156">
        <v>0.0</v>
      </c>
      <c r="H155" s="156">
        <v>0.0</v>
      </c>
      <c r="I155" s="156">
        <v>0.0</v>
      </c>
      <c r="J155" s="154" t="s">
        <v>1109</v>
      </c>
      <c r="K155" s="154" t="s">
        <v>1110</v>
      </c>
    </row>
    <row r="156">
      <c r="A156" s="154" t="s">
        <v>1111</v>
      </c>
      <c r="B156" s="155"/>
      <c r="C156" s="154" t="s">
        <v>1112</v>
      </c>
      <c r="D156" s="155"/>
      <c r="E156" s="155"/>
      <c r="F156" s="154" t="s">
        <v>1113</v>
      </c>
      <c r="G156" s="154">
        <v>0.0</v>
      </c>
      <c r="H156" s="156">
        <v>0.0</v>
      </c>
      <c r="I156" s="156">
        <v>0.0</v>
      </c>
      <c r="J156" s="156">
        <v>0.0</v>
      </c>
      <c r="K156" s="156">
        <v>0.0</v>
      </c>
    </row>
    <row r="157">
      <c r="A157" s="154" t="s">
        <v>1111</v>
      </c>
      <c r="B157" s="154" t="s">
        <v>1112</v>
      </c>
      <c r="D157" s="154">
        <v>2.0</v>
      </c>
      <c r="E157" s="154" t="s">
        <v>761</v>
      </c>
      <c r="F157" s="154" t="s">
        <v>1113</v>
      </c>
      <c r="G157" s="154">
        <v>0.0</v>
      </c>
      <c r="H157" s="156">
        <v>0.0</v>
      </c>
      <c r="I157" s="156">
        <v>0.0</v>
      </c>
      <c r="J157" s="156">
        <v>0.0</v>
      </c>
      <c r="K157" s="156">
        <v>0.0</v>
      </c>
    </row>
    <row r="158">
      <c r="A158" s="154" t="s">
        <v>1114</v>
      </c>
      <c r="B158" s="154" t="s">
        <v>1115</v>
      </c>
      <c r="D158" s="154">
        <v>2.0</v>
      </c>
      <c r="E158" s="154" t="s">
        <v>761</v>
      </c>
      <c r="F158" s="154" t="s">
        <v>1116</v>
      </c>
      <c r="G158" s="156">
        <v>0.0</v>
      </c>
      <c r="H158" s="156">
        <v>0.0</v>
      </c>
      <c r="I158" s="154" t="s">
        <v>1117</v>
      </c>
      <c r="J158" s="156">
        <v>0.0</v>
      </c>
      <c r="K158" s="154" t="s">
        <v>361</v>
      </c>
    </row>
    <row r="159">
      <c r="A159" s="154" t="s">
        <v>1114</v>
      </c>
      <c r="B159" s="155"/>
      <c r="C159" s="154" t="s">
        <v>1115</v>
      </c>
      <c r="D159" s="155"/>
      <c r="E159" s="155"/>
      <c r="F159" s="154" t="s">
        <v>1118</v>
      </c>
      <c r="G159" s="156">
        <v>0.0</v>
      </c>
      <c r="H159" s="156">
        <v>0.0</v>
      </c>
      <c r="I159" s="154">
        <v>5.03156623E8</v>
      </c>
      <c r="J159" s="156">
        <v>0.0</v>
      </c>
      <c r="K159" s="154" t="s">
        <v>361</v>
      </c>
    </row>
    <row r="160">
      <c r="A160" s="154" t="s">
        <v>1119</v>
      </c>
      <c r="B160" s="155"/>
      <c r="C160" s="154" t="s">
        <v>1120</v>
      </c>
      <c r="D160" s="155"/>
      <c r="E160" s="155"/>
      <c r="F160" s="154" t="s">
        <v>1121</v>
      </c>
      <c r="G160" s="154">
        <v>4.265304E7</v>
      </c>
      <c r="H160" s="156">
        <v>0.0</v>
      </c>
      <c r="I160" s="156">
        <v>0.0</v>
      </c>
      <c r="J160" s="156">
        <v>0.0</v>
      </c>
      <c r="K160" s="154" t="s">
        <v>361</v>
      </c>
    </row>
    <row r="161">
      <c r="A161" s="154" t="s">
        <v>1119</v>
      </c>
      <c r="B161" s="154" t="s">
        <v>1120</v>
      </c>
      <c r="D161" s="154">
        <v>2.0</v>
      </c>
      <c r="E161" s="154" t="s">
        <v>761</v>
      </c>
      <c r="F161" s="154" t="s">
        <v>1121</v>
      </c>
      <c r="G161" s="154">
        <v>4.265304E7</v>
      </c>
      <c r="H161" s="156">
        <v>0.0</v>
      </c>
      <c r="I161" s="156">
        <v>0.0</v>
      </c>
      <c r="J161" s="156">
        <v>0.0</v>
      </c>
      <c r="K161" s="154" t="s">
        <v>361</v>
      </c>
    </row>
    <row r="162">
      <c r="A162" s="154" t="s">
        <v>1122</v>
      </c>
      <c r="B162" s="155"/>
      <c r="C162" s="154" t="s">
        <v>1123</v>
      </c>
      <c r="D162" s="155"/>
      <c r="E162" s="155"/>
      <c r="F162" s="154" t="s">
        <v>1124</v>
      </c>
      <c r="G162" s="154">
        <v>4.4816574E7</v>
      </c>
      <c r="H162" s="156">
        <v>0.0</v>
      </c>
      <c r="I162" s="154">
        <v>0.0</v>
      </c>
      <c r="J162" s="156">
        <v>0.0</v>
      </c>
      <c r="K162" s="154" t="s">
        <v>361</v>
      </c>
    </row>
    <row r="163">
      <c r="A163" s="154" t="s">
        <v>1122</v>
      </c>
      <c r="B163" s="154" t="s">
        <v>1123</v>
      </c>
      <c r="D163" s="154">
        <v>2.0</v>
      </c>
      <c r="E163" s="154" t="s">
        <v>761</v>
      </c>
      <c r="F163" s="154" t="s">
        <v>1124</v>
      </c>
      <c r="G163" s="154">
        <v>4.4816574E7</v>
      </c>
      <c r="H163" s="156">
        <v>0.0</v>
      </c>
      <c r="I163" s="154">
        <v>0.0</v>
      </c>
      <c r="J163" s="156">
        <v>0.0</v>
      </c>
      <c r="K163" s="154" t="s">
        <v>361</v>
      </c>
    </row>
    <row r="164">
      <c r="A164" s="154" t="s">
        <v>1125</v>
      </c>
      <c r="B164" s="154" t="s">
        <v>1126</v>
      </c>
      <c r="D164" s="154">
        <v>2.0</v>
      </c>
      <c r="E164" s="154" t="s">
        <v>761</v>
      </c>
      <c r="F164" s="154" t="s">
        <v>1127</v>
      </c>
      <c r="G164" s="154">
        <v>5.06446045E8</v>
      </c>
      <c r="H164" s="156">
        <v>0.0</v>
      </c>
      <c r="I164" s="154" t="s">
        <v>1128</v>
      </c>
      <c r="J164" s="154" t="s">
        <v>1129</v>
      </c>
      <c r="K164" s="154" t="s">
        <v>197</v>
      </c>
    </row>
    <row r="165">
      <c r="A165" s="154" t="s">
        <v>1125</v>
      </c>
      <c r="B165" s="155"/>
      <c r="C165" s="154" t="s">
        <v>1126</v>
      </c>
      <c r="D165" s="155"/>
      <c r="E165" s="155"/>
      <c r="F165" s="154" t="s">
        <v>1127</v>
      </c>
      <c r="G165" s="154">
        <v>5.06446045E8</v>
      </c>
      <c r="H165" s="156">
        <v>0.0</v>
      </c>
      <c r="I165" s="154" t="s">
        <v>1128</v>
      </c>
      <c r="J165" s="154" t="s">
        <v>1129</v>
      </c>
      <c r="K165" s="154" t="s">
        <v>197</v>
      </c>
    </row>
    <row r="166">
      <c r="A166" s="154" t="s">
        <v>1130</v>
      </c>
      <c r="B166" s="154" t="s">
        <v>1131</v>
      </c>
      <c r="D166" s="154">
        <v>2.0</v>
      </c>
      <c r="E166" s="154" t="s">
        <v>761</v>
      </c>
      <c r="F166" s="154" t="s">
        <v>1132</v>
      </c>
      <c r="G166" s="156">
        <v>0.0</v>
      </c>
      <c r="H166" s="156">
        <v>0.0</v>
      </c>
      <c r="I166" s="154" t="s">
        <v>853</v>
      </c>
      <c r="J166" s="154" t="s">
        <v>1133</v>
      </c>
      <c r="K166" s="154" t="s">
        <v>259</v>
      </c>
    </row>
    <row r="167">
      <c r="A167" s="154" t="s">
        <v>1130</v>
      </c>
      <c r="B167" s="155"/>
      <c r="C167" s="154" t="s">
        <v>1131</v>
      </c>
      <c r="D167" s="155"/>
      <c r="E167" s="155"/>
      <c r="F167" s="154" t="s">
        <v>1134</v>
      </c>
      <c r="G167" s="154">
        <v>5.06507596E8</v>
      </c>
      <c r="H167" s="156">
        <v>0.0</v>
      </c>
      <c r="I167" s="154">
        <v>50.0</v>
      </c>
      <c r="J167" s="156">
        <v>0.0</v>
      </c>
      <c r="K167" s="154" t="s">
        <v>259</v>
      </c>
    </row>
    <row r="168">
      <c r="A168" s="154" t="s">
        <v>1135</v>
      </c>
      <c r="B168" s="155"/>
      <c r="C168" s="154" t="s">
        <v>1136</v>
      </c>
      <c r="D168" s="155"/>
      <c r="E168" s="155"/>
      <c r="F168" s="154" t="s">
        <v>1137</v>
      </c>
      <c r="G168" s="154">
        <v>5.55520073E8</v>
      </c>
      <c r="H168" s="156">
        <v>0.0</v>
      </c>
      <c r="I168" s="154">
        <v>5.55520073E8</v>
      </c>
      <c r="J168" s="156">
        <v>0.0</v>
      </c>
      <c r="K168" s="154" t="s">
        <v>259</v>
      </c>
    </row>
    <row r="169">
      <c r="A169" s="154" t="s">
        <v>1135</v>
      </c>
      <c r="B169" s="154" t="s">
        <v>1136</v>
      </c>
      <c r="D169" s="154">
        <v>2.0</v>
      </c>
      <c r="E169" s="154" t="s">
        <v>761</v>
      </c>
      <c r="F169" s="154" t="s">
        <v>1137</v>
      </c>
      <c r="G169" s="154">
        <v>5.55520073E8</v>
      </c>
      <c r="H169" s="156">
        <v>0.0</v>
      </c>
      <c r="I169" s="154">
        <v>5.55520073E8</v>
      </c>
      <c r="J169" s="156">
        <v>0.0</v>
      </c>
      <c r="K169" s="154" t="s">
        <v>259</v>
      </c>
    </row>
    <row r="170">
      <c r="A170" s="154" t="s">
        <v>1138</v>
      </c>
      <c r="B170" s="155"/>
      <c r="C170" s="154" t="s">
        <v>1139</v>
      </c>
      <c r="D170" s="155"/>
      <c r="E170" s="155"/>
      <c r="F170" s="154" t="s">
        <v>1140</v>
      </c>
      <c r="G170" s="156">
        <v>0.0</v>
      </c>
      <c r="H170" s="156">
        <v>0.0</v>
      </c>
      <c r="I170" s="154" t="s">
        <v>1141</v>
      </c>
      <c r="J170" s="156">
        <v>0.0</v>
      </c>
      <c r="K170" s="154" t="s">
        <v>361</v>
      </c>
    </row>
    <row r="171">
      <c r="A171" s="154" t="s">
        <v>1138</v>
      </c>
      <c r="B171" s="154" t="s">
        <v>1139</v>
      </c>
      <c r="D171" s="154">
        <v>2.0</v>
      </c>
      <c r="E171" s="154" t="s">
        <v>761</v>
      </c>
      <c r="F171" s="154" t="s">
        <v>1140</v>
      </c>
      <c r="G171" s="156">
        <v>0.0</v>
      </c>
      <c r="H171" s="156">
        <v>0.0</v>
      </c>
      <c r="I171" s="154" t="s">
        <v>1141</v>
      </c>
      <c r="J171" s="156">
        <v>0.0</v>
      </c>
      <c r="K171" s="154" t="s">
        <v>361</v>
      </c>
    </row>
    <row r="172">
      <c r="A172" s="154" t="s">
        <v>1142</v>
      </c>
      <c r="B172" s="155"/>
      <c r="C172" s="154" t="s">
        <v>1143</v>
      </c>
      <c r="D172" s="155"/>
      <c r="E172" s="155"/>
      <c r="F172" s="154" t="s">
        <v>1144</v>
      </c>
      <c r="G172" s="154">
        <v>9.7150559796E11</v>
      </c>
      <c r="H172" s="156">
        <v>0.0</v>
      </c>
      <c r="I172" s="154">
        <v>9.71507845933E11</v>
      </c>
      <c r="J172" s="156">
        <v>0.0</v>
      </c>
      <c r="K172" s="154" t="s">
        <v>259</v>
      </c>
    </row>
    <row r="173">
      <c r="A173" s="154" t="s">
        <v>1142</v>
      </c>
      <c r="B173" s="154" t="s">
        <v>1143</v>
      </c>
      <c r="D173" s="154">
        <v>2.0</v>
      </c>
      <c r="E173" s="154" t="s">
        <v>897</v>
      </c>
      <c r="F173" s="154" t="s">
        <v>1145</v>
      </c>
      <c r="G173" s="154">
        <v>0.0</v>
      </c>
      <c r="H173" s="156">
        <v>0.0</v>
      </c>
      <c r="I173" s="154">
        <v>9.7150559796E11</v>
      </c>
      <c r="J173" s="156">
        <v>0.0</v>
      </c>
      <c r="K173" s="154" t="s">
        <v>259</v>
      </c>
    </row>
    <row r="174">
      <c r="A174" s="154" t="s">
        <v>1146</v>
      </c>
      <c r="B174" s="155"/>
      <c r="C174" s="154" t="s">
        <v>1147</v>
      </c>
      <c r="D174" s="155"/>
      <c r="E174" s="155"/>
      <c r="F174" s="154" t="s">
        <v>1148</v>
      </c>
      <c r="G174" s="156">
        <v>0.0</v>
      </c>
      <c r="H174" s="156">
        <v>0.0</v>
      </c>
      <c r="I174" s="154" t="s">
        <v>1149</v>
      </c>
      <c r="J174" s="154" t="s">
        <v>1150</v>
      </c>
      <c r="K174" s="154" t="s">
        <v>1151</v>
      </c>
    </row>
    <row r="175">
      <c r="A175" s="154" t="s">
        <v>1146</v>
      </c>
      <c r="B175" s="154" t="s">
        <v>1147</v>
      </c>
      <c r="D175" s="154">
        <v>2.0</v>
      </c>
      <c r="E175" s="154" t="s">
        <v>897</v>
      </c>
      <c r="F175" s="154" t="s">
        <v>1148</v>
      </c>
      <c r="G175" s="156">
        <v>0.0</v>
      </c>
      <c r="H175" s="156">
        <v>0.0</v>
      </c>
      <c r="I175" s="154" t="s">
        <v>1149</v>
      </c>
      <c r="J175" s="154" t="s">
        <v>1150</v>
      </c>
      <c r="K175" s="154" t="s">
        <v>1151</v>
      </c>
    </row>
    <row r="176">
      <c r="A176" s="154" t="s">
        <v>1152</v>
      </c>
      <c r="B176" s="155"/>
      <c r="C176" s="154" t="s">
        <v>1153</v>
      </c>
      <c r="D176" s="155"/>
      <c r="E176" s="155"/>
      <c r="F176" s="154" t="s">
        <v>1154</v>
      </c>
      <c r="G176" s="154">
        <v>9.7143409796E10</v>
      </c>
      <c r="H176" s="156">
        <v>0.0</v>
      </c>
      <c r="I176" s="154">
        <v>9.7150624756E11</v>
      </c>
      <c r="J176" s="156">
        <v>0.0</v>
      </c>
      <c r="K176" s="154" t="s">
        <v>361</v>
      </c>
    </row>
    <row r="177">
      <c r="A177" s="154" t="s">
        <v>1152</v>
      </c>
      <c r="B177" s="154" t="s">
        <v>1153</v>
      </c>
      <c r="D177" s="154">
        <v>2.0</v>
      </c>
      <c r="E177" s="154" t="s">
        <v>897</v>
      </c>
      <c r="F177" s="154" t="s">
        <v>1154</v>
      </c>
      <c r="G177" s="154">
        <v>9.7143409796E10</v>
      </c>
      <c r="H177" s="156">
        <v>0.0</v>
      </c>
      <c r="I177" s="154">
        <v>9.7150624756E11</v>
      </c>
      <c r="J177" s="156">
        <v>0.0</v>
      </c>
      <c r="K177" s="154" t="s">
        <v>361</v>
      </c>
    </row>
    <row r="178">
      <c r="A178" s="154" t="s">
        <v>1155</v>
      </c>
      <c r="B178" s="154" t="s">
        <v>1156</v>
      </c>
      <c r="D178" s="154">
        <v>2.0</v>
      </c>
      <c r="E178" s="154" t="s">
        <v>897</v>
      </c>
      <c r="F178" s="154" t="s">
        <v>1157</v>
      </c>
      <c r="G178" s="154" t="s">
        <v>1158</v>
      </c>
      <c r="H178" s="154" t="s">
        <v>1159</v>
      </c>
      <c r="I178" s="156">
        <v>0.0</v>
      </c>
      <c r="J178" s="156">
        <v>0.0</v>
      </c>
      <c r="K178" s="156">
        <v>0.0</v>
      </c>
    </row>
    <row r="179">
      <c r="A179" s="154" t="s">
        <v>1155</v>
      </c>
      <c r="B179" s="155"/>
      <c r="C179" s="154" t="s">
        <v>1156</v>
      </c>
      <c r="D179" s="155"/>
      <c r="E179" s="155"/>
      <c r="F179" s="154" t="s">
        <v>1160</v>
      </c>
      <c r="G179" s="154">
        <v>0.0</v>
      </c>
      <c r="H179" s="156">
        <v>0.0</v>
      </c>
      <c r="I179" s="154">
        <v>5.05529869E8</v>
      </c>
      <c r="J179" s="156">
        <v>0.0</v>
      </c>
      <c r="K179" s="154" t="s">
        <v>207</v>
      </c>
    </row>
    <row r="180">
      <c r="A180" s="154" t="s">
        <v>1161</v>
      </c>
      <c r="B180" s="155"/>
      <c r="C180" s="154" t="s">
        <v>1162</v>
      </c>
      <c r="D180" s="155"/>
      <c r="E180" s="155"/>
      <c r="F180" s="154" t="s">
        <v>1163</v>
      </c>
      <c r="G180" s="154">
        <v>4.3740521E7</v>
      </c>
      <c r="H180" s="154" t="s">
        <v>1164</v>
      </c>
      <c r="I180" s="154">
        <v>9.7150625788E11</v>
      </c>
      <c r="J180" s="156">
        <v>0.0</v>
      </c>
      <c r="K180" s="154" t="s">
        <v>206</v>
      </c>
    </row>
    <row r="181">
      <c r="A181" s="154" t="s">
        <v>1161</v>
      </c>
      <c r="B181" s="154" t="s">
        <v>1162</v>
      </c>
      <c r="D181" s="154">
        <v>2.0</v>
      </c>
      <c r="E181" s="154" t="s">
        <v>897</v>
      </c>
      <c r="F181" s="154" t="s">
        <v>1163</v>
      </c>
      <c r="G181" s="154">
        <v>4.3740521E7</v>
      </c>
      <c r="H181" s="154" t="s">
        <v>1164</v>
      </c>
      <c r="I181" s="154">
        <v>9.7150625788E11</v>
      </c>
      <c r="J181" s="156">
        <v>0.0</v>
      </c>
      <c r="K181" s="154" t="s">
        <v>206</v>
      </c>
    </row>
    <row r="182">
      <c r="A182" s="154" t="s">
        <v>1165</v>
      </c>
      <c r="B182" s="155"/>
      <c r="C182" s="154" t="s">
        <v>1166</v>
      </c>
      <c r="D182" s="155"/>
      <c r="E182" s="155"/>
      <c r="F182" s="154" t="s">
        <v>1167</v>
      </c>
      <c r="G182" s="154">
        <v>9.7144312519E10</v>
      </c>
      <c r="H182" s="156">
        <v>0.0</v>
      </c>
      <c r="I182" s="154" t="s">
        <v>1168</v>
      </c>
      <c r="J182" s="156">
        <v>0.0</v>
      </c>
      <c r="K182" s="154" t="s">
        <v>361</v>
      </c>
    </row>
    <row r="183">
      <c r="A183" s="154" t="s">
        <v>1165</v>
      </c>
      <c r="B183" s="154" t="s">
        <v>1166</v>
      </c>
      <c r="D183" s="154">
        <v>2.0</v>
      </c>
      <c r="E183" s="154" t="s">
        <v>897</v>
      </c>
      <c r="F183" s="154" t="s">
        <v>1167</v>
      </c>
      <c r="G183" s="154">
        <v>9.7144312519E10</v>
      </c>
      <c r="H183" s="156">
        <v>0.0</v>
      </c>
      <c r="I183" s="154" t="s">
        <v>1168</v>
      </c>
      <c r="J183" s="156">
        <v>0.0</v>
      </c>
      <c r="K183" s="154" t="s">
        <v>361</v>
      </c>
    </row>
    <row r="184">
      <c r="A184" s="154" t="s">
        <v>1169</v>
      </c>
      <c r="B184" s="154" t="s">
        <v>1170</v>
      </c>
      <c r="D184" s="154">
        <v>2.0</v>
      </c>
      <c r="E184" s="154" t="s">
        <v>897</v>
      </c>
      <c r="F184" s="154" t="s">
        <v>1171</v>
      </c>
      <c r="G184" s="154">
        <v>4.3670843E7</v>
      </c>
      <c r="H184" s="156">
        <v>0.0</v>
      </c>
      <c r="I184" s="154">
        <v>5.04589863E8</v>
      </c>
      <c r="J184" s="156">
        <v>0.0</v>
      </c>
      <c r="K184" s="154" t="s">
        <v>361</v>
      </c>
    </row>
    <row r="185">
      <c r="A185" s="154" t="s">
        <v>1169</v>
      </c>
      <c r="B185" s="155"/>
      <c r="C185" s="154" t="s">
        <v>1170</v>
      </c>
      <c r="D185" s="155"/>
      <c r="E185" s="155"/>
      <c r="F185" s="154" t="s">
        <v>1171</v>
      </c>
      <c r="G185" s="154">
        <v>4.3670843E7</v>
      </c>
      <c r="H185" s="156">
        <v>0.0</v>
      </c>
      <c r="I185" s="154">
        <v>5.04589863E8</v>
      </c>
      <c r="J185" s="156">
        <v>0.0</v>
      </c>
      <c r="K185" s="154" t="s">
        <v>361</v>
      </c>
    </row>
    <row r="186">
      <c r="A186" s="154" t="s">
        <v>1172</v>
      </c>
      <c r="B186" s="155"/>
      <c r="C186" s="154" t="s">
        <v>1173</v>
      </c>
      <c r="D186" s="155"/>
      <c r="E186" s="155"/>
      <c r="F186" s="154" t="s">
        <v>1174</v>
      </c>
      <c r="G186" s="154" t="s">
        <v>1175</v>
      </c>
      <c r="H186" s="156">
        <v>0.0</v>
      </c>
      <c r="I186" s="154" t="s">
        <v>1176</v>
      </c>
      <c r="J186" s="156">
        <v>0.0</v>
      </c>
      <c r="K186" s="154" t="s">
        <v>914</v>
      </c>
    </row>
    <row r="187">
      <c r="A187" s="154" t="s">
        <v>1172</v>
      </c>
      <c r="B187" s="154" t="s">
        <v>1173</v>
      </c>
      <c r="D187" s="154">
        <v>2.0</v>
      </c>
      <c r="E187" s="154" t="s">
        <v>897</v>
      </c>
      <c r="F187" s="154" t="s">
        <v>1174</v>
      </c>
      <c r="G187" s="154" t="s">
        <v>1175</v>
      </c>
      <c r="H187" s="156">
        <v>0.0</v>
      </c>
      <c r="I187" s="154" t="s">
        <v>1176</v>
      </c>
      <c r="J187" s="156">
        <v>0.0</v>
      </c>
      <c r="K187" s="154" t="s">
        <v>914</v>
      </c>
    </row>
    <row r="188">
      <c r="A188" s="154" t="s">
        <v>1177</v>
      </c>
      <c r="B188" s="154" t="s">
        <v>1178</v>
      </c>
      <c r="D188" s="154">
        <v>2.0</v>
      </c>
      <c r="E188" s="154" t="s">
        <v>897</v>
      </c>
      <c r="F188" s="154" t="s">
        <v>1179</v>
      </c>
      <c r="G188" s="154" t="s">
        <v>1180</v>
      </c>
      <c r="H188" s="156">
        <v>0.0</v>
      </c>
      <c r="I188" s="154">
        <v>9.71506456045E11</v>
      </c>
      <c r="J188" s="156">
        <v>0.0</v>
      </c>
      <c r="K188" s="154" t="s">
        <v>361</v>
      </c>
    </row>
    <row r="189">
      <c r="A189" s="154" t="s">
        <v>1177</v>
      </c>
      <c r="B189" s="155"/>
      <c r="C189" s="154" t="s">
        <v>1178</v>
      </c>
      <c r="D189" s="155"/>
      <c r="E189" s="155"/>
      <c r="F189" s="154" t="s">
        <v>1181</v>
      </c>
      <c r="G189" s="156">
        <v>0.0</v>
      </c>
      <c r="H189" s="156">
        <v>0.0</v>
      </c>
      <c r="I189" s="154">
        <v>1.0501800775E10</v>
      </c>
      <c r="J189" s="156">
        <v>0.0</v>
      </c>
      <c r="K189" s="154" t="s">
        <v>361</v>
      </c>
    </row>
    <row r="190">
      <c r="A190" s="154" t="s">
        <v>1182</v>
      </c>
      <c r="B190" s="154" t="s">
        <v>1183</v>
      </c>
      <c r="D190" s="154">
        <v>2.0</v>
      </c>
      <c r="E190" s="154" t="s">
        <v>897</v>
      </c>
      <c r="F190" s="154" t="s">
        <v>1184</v>
      </c>
      <c r="G190" s="156">
        <v>0.0</v>
      </c>
      <c r="H190" s="154" t="s">
        <v>1185</v>
      </c>
      <c r="I190" s="154" t="s">
        <v>1186</v>
      </c>
      <c r="J190" s="154" t="s">
        <v>1187</v>
      </c>
      <c r="K190" s="154" t="s">
        <v>207</v>
      </c>
    </row>
    <row r="191">
      <c r="A191" s="154" t="s">
        <v>1182</v>
      </c>
      <c r="B191" s="155"/>
      <c r="C191" s="154" t="s">
        <v>1183</v>
      </c>
      <c r="D191" s="155"/>
      <c r="E191" s="155"/>
      <c r="F191" s="154" t="s">
        <v>1184</v>
      </c>
      <c r="G191" s="156">
        <v>0.0</v>
      </c>
      <c r="H191" s="154" t="s">
        <v>1185</v>
      </c>
      <c r="I191" s="154" t="s">
        <v>1186</v>
      </c>
      <c r="J191" s="154" t="s">
        <v>1187</v>
      </c>
      <c r="K191" s="154" t="s">
        <v>207</v>
      </c>
    </row>
    <row r="192">
      <c r="A192" s="154" t="s">
        <v>1188</v>
      </c>
      <c r="B192" s="154" t="s">
        <v>1189</v>
      </c>
      <c r="D192" s="154">
        <v>2.0</v>
      </c>
      <c r="E192" s="154" t="s">
        <v>897</v>
      </c>
      <c r="F192" s="154" t="s">
        <v>1190</v>
      </c>
      <c r="G192" s="154">
        <v>5.0851975E8</v>
      </c>
      <c r="H192" s="154" t="s">
        <v>1191</v>
      </c>
      <c r="I192" s="156">
        <v>0.0</v>
      </c>
      <c r="J192" s="156">
        <v>0.0</v>
      </c>
      <c r="K192" s="156">
        <v>0.0</v>
      </c>
    </row>
    <row r="193">
      <c r="A193" s="154" t="s">
        <v>1188</v>
      </c>
      <c r="B193" s="155"/>
      <c r="C193" s="154" t="s">
        <v>1189</v>
      </c>
      <c r="D193" s="155"/>
      <c r="E193" s="155"/>
      <c r="F193" s="154" t="s">
        <v>1192</v>
      </c>
      <c r="G193" s="156">
        <v>0.0</v>
      </c>
      <c r="H193" s="154" t="s">
        <v>1193</v>
      </c>
      <c r="I193" s="154" t="s">
        <v>1194</v>
      </c>
      <c r="J193" s="154" t="s">
        <v>1195</v>
      </c>
      <c r="K193" s="154" t="s">
        <v>1196</v>
      </c>
    </row>
    <row r="194">
      <c r="A194" s="154" t="s">
        <v>1197</v>
      </c>
      <c r="B194" s="154" t="s">
        <v>1198</v>
      </c>
      <c r="D194" s="154">
        <v>2.0</v>
      </c>
      <c r="E194" s="154" t="s">
        <v>897</v>
      </c>
      <c r="F194" s="154" t="s">
        <v>1199</v>
      </c>
      <c r="G194" s="154">
        <v>4.1245441E7</v>
      </c>
      <c r="H194" s="156">
        <v>0.0</v>
      </c>
      <c r="I194" s="154">
        <v>2.34802355064E12</v>
      </c>
      <c r="J194" s="156">
        <v>0.0</v>
      </c>
      <c r="K194" s="154" t="s">
        <v>1200</v>
      </c>
    </row>
    <row r="195">
      <c r="A195" s="154" t="s">
        <v>1197</v>
      </c>
      <c r="B195" s="155"/>
      <c r="C195" s="154" t="s">
        <v>1198</v>
      </c>
      <c r="D195" s="155"/>
      <c r="E195" s="155"/>
      <c r="F195" s="154" t="s">
        <v>1199</v>
      </c>
      <c r="G195" s="154">
        <v>4.1245441E7</v>
      </c>
      <c r="H195" s="156">
        <v>0.0</v>
      </c>
      <c r="I195" s="154">
        <v>2.34802355064E12</v>
      </c>
      <c r="J195" s="156">
        <v>0.0</v>
      </c>
      <c r="K195" s="154" t="s">
        <v>1200</v>
      </c>
    </row>
    <row r="196">
      <c r="A196" s="154" t="s">
        <v>1201</v>
      </c>
      <c r="B196" s="155"/>
      <c r="C196" s="154" t="s">
        <v>1202</v>
      </c>
      <c r="D196" s="155"/>
      <c r="E196" s="155"/>
      <c r="F196" s="154" t="s">
        <v>1203</v>
      </c>
      <c r="G196" s="154">
        <v>4.3380065E7</v>
      </c>
      <c r="H196" s="156">
        <v>0.0</v>
      </c>
      <c r="I196" s="154">
        <v>9.71506599865E11</v>
      </c>
      <c r="J196" s="156">
        <v>0.0</v>
      </c>
      <c r="K196" s="154" t="s">
        <v>361</v>
      </c>
    </row>
    <row r="197">
      <c r="A197" s="154" t="s">
        <v>1201</v>
      </c>
      <c r="B197" s="154" t="s">
        <v>1202</v>
      </c>
      <c r="D197" s="154">
        <v>2.0</v>
      </c>
      <c r="E197" s="154" t="s">
        <v>897</v>
      </c>
      <c r="F197" s="154" t="s">
        <v>1203</v>
      </c>
      <c r="G197" s="154">
        <v>4.3380065E7</v>
      </c>
      <c r="H197" s="156">
        <v>0.0</v>
      </c>
      <c r="I197" s="154">
        <v>9.71506599865E11</v>
      </c>
      <c r="J197" s="156">
        <v>0.0</v>
      </c>
      <c r="K197" s="154" t="s">
        <v>361</v>
      </c>
    </row>
    <row r="198">
      <c r="A198" s="154" t="s">
        <v>1204</v>
      </c>
      <c r="B198" s="155"/>
      <c r="C198" s="154" t="s">
        <v>1205</v>
      </c>
      <c r="D198" s="155"/>
      <c r="E198" s="155"/>
      <c r="F198" s="154" t="s">
        <v>1206</v>
      </c>
      <c r="G198" s="154" t="s">
        <v>1207</v>
      </c>
      <c r="H198" s="154" t="s">
        <v>1208</v>
      </c>
      <c r="I198" s="156">
        <v>0.0</v>
      </c>
      <c r="J198" s="156">
        <v>0.0</v>
      </c>
      <c r="K198" s="156">
        <v>0.0</v>
      </c>
    </row>
    <row r="199">
      <c r="A199" s="154" t="s">
        <v>1204</v>
      </c>
      <c r="B199" s="154" t="s">
        <v>1205</v>
      </c>
      <c r="D199" s="154">
        <v>2.0</v>
      </c>
      <c r="E199" s="154" t="s">
        <v>897</v>
      </c>
      <c r="F199" s="154" t="s">
        <v>1206</v>
      </c>
      <c r="G199" s="154" t="s">
        <v>1207</v>
      </c>
      <c r="H199" s="154" t="s">
        <v>1208</v>
      </c>
      <c r="I199" s="156">
        <v>0.0</v>
      </c>
      <c r="J199" s="156">
        <v>0.0</v>
      </c>
      <c r="K199" s="156">
        <v>0.0</v>
      </c>
    </row>
    <row r="200">
      <c r="A200" s="154" t="s">
        <v>1209</v>
      </c>
      <c r="B200" s="154" t="s">
        <v>1210</v>
      </c>
      <c r="D200" s="154">
        <v>2.0</v>
      </c>
      <c r="E200" s="154" t="s">
        <v>897</v>
      </c>
      <c r="F200" s="154" t="s">
        <v>1211</v>
      </c>
      <c r="G200" s="154">
        <v>5.06442051E8</v>
      </c>
      <c r="H200" s="156">
        <v>0.0</v>
      </c>
      <c r="I200" s="154">
        <v>5.06442051E8</v>
      </c>
      <c r="J200" s="156">
        <v>0.0</v>
      </c>
      <c r="K200" s="154" t="s">
        <v>361</v>
      </c>
    </row>
    <row r="201">
      <c r="A201" s="154" t="s">
        <v>1209</v>
      </c>
      <c r="B201" s="155"/>
      <c r="C201" s="154" t="s">
        <v>1210</v>
      </c>
      <c r="D201" s="155"/>
      <c r="E201" s="155"/>
      <c r="F201" s="154" t="s">
        <v>1211</v>
      </c>
      <c r="G201" s="154">
        <v>5.06442051E8</v>
      </c>
      <c r="H201" s="156">
        <v>0.0</v>
      </c>
      <c r="I201" s="154">
        <v>5.06442051E8</v>
      </c>
      <c r="J201" s="156">
        <v>0.0</v>
      </c>
      <c r="K201" s="154" t="s">
        <v>361</v>
      </c>
    </row>
    <row r="202">
      <c r="A202" s="154" t="s">
        <v>1212</v>
      </c>
      <c r="B202" s="155"/>
      <c r="C202" s="154" t="s">
        <v>1213</v>
      </c>
      <c r="D202" s="155"/>
      <c r="E202" s="155"/>
      <c r="F202" s="154" t="s">
        <v>1214</v>
      </c>
      <c r="G202" s="154">
        <v>4.42089074035E11</v>
      </c>
      <c r="H202" s="156">
        <v>0.0</v>
      </c>
      <c r="I202" s="154">
        <v>5.62341686E8</v>
      </c>
      <c r="J202" s="156">
        <v>0.0</v>
      </c>
      <c r="K202" s="154" t="s">
        <v>259</v>
      </c>
    </row>
    <row r="203">
      <c r="A203" s="154" t="s">
        <v>1212</v>
      </c>
      <c r="B203" s="154" t="s">
        <v>1213</v>
      </c>
      <c r="D203" s="154">
        <v>2.0</v>
      </c>
      <c r="E203" s="154" t="s">
        <v>897</v>
      </c>
      <c r="F203" s="154" t="s">
        <v>1215</v>
      </c>
      <c r="G203" s="154">
        <v>4.42089074035E11</v>
      </c>
      <c r="H203" s="156">
        <v>0.0</v>
      </c>
      <c r="I203" s="154">
        <v>5.62341686E8</v>
      </c>
      <c r="J203" s="156">
        <v>0.0</v>
      </c>
      <c r="K203" s="154" t="s">
        <v>760</v>
      </c>
    </row>
    <row r="204">
      <c r="A204" s="154" t="s">
        <v>1216</v>
      </c>
      <c r="B204" s="154" t="s">
        <v>1217</v>
      </c>
      <c r="D204" s="154">
        <v>2.0</v>
      </c>
      <c r="E204" s="154" t="s">
        <v>897</v>
      </c>
      <c r="F204" s="154" t="s">
        <v>1218</v>
      </c>
      <c r="G204" s="154">
        <v>4.3916191E7</v>
      </c>
      <c r="H204" s="156">
        <v>0.0</v>
      </c>
      <c r="I204" s="154">
        <v>9.71504587541E11</v>
      </c>
      <c r="J204" s="156">
        <v>0.0</v>
      </c>
      <c r="K204" s="154" t="s">
        <v>361</v>
      </c>
    </row>
    <row r="205">
      <c r="A205" s="154" t="s">
        <v>1216</v>
      </c>
      <c r="B205" s="155"/>
      <c r="C205" s="154" t="s">
        <v>1217</v>
      </c>
      <c r="D205" s="155"/>
      <c r="E205" s="155"/>
      <c r="F205" s="154" t="s">
        <v>1218</v>
      </c>
      <c r="G205" s="154">
        <v>4.3916191E7</v>
      </c>
      <c r="H205" s="156">
        <v>0.0</v>
      </c>
      <c r="I205" s="154">
        <v>9.71504587541E11</v>
      </c>
      <c r="J205" s="156">
        <v>0.0</v>
      </c>
      <c r="K205" s="154" t="s">
        <v>361</v>
      </c>
    </row>
    <row r="206">
      <c r="A206" s="154" t="s">
        <v>1219</v>
      </c>
      <c r="B206" s="154" t="s">
        <v>1220</v>
      </c>
      <c r="D206" s="154">
        <v>2.0</v>
      </c>
      <c r="E206" s="154" t="s">
        <v>897</v>
      </c>
      <c r="F206" s="154" t="s">
        <v>1221</v>
      </c>
      <c r="G206" s="156">
        <v>0.0</v>
      </c>
      <c r="H206" s="156">
        <v>0.0</v>
      </c>
      <c r="I206" s="154">
        <v>5.57730033E8</v>
      </c>
      <c r="J206" s="156">
        <v>0.0</v>
      </c>
      <c r="K206" s="154" t="s">
        <v>361</v>
      </c>
    </row>
    <row r="207">
      <c r="A207" s="154" t="s">
        <v>1219</v>
      </c>
      <c r="B207" s="155"/>
      <c r="C207" s="154" t="s">
        <v>1220</v>
      </c>
      <c r="D207" s="155"/>
      <c r="E207" s="155"/>
      <c r="F207" s="154" t="s">
        <v>1221</v>
      </c>
      <c r="G207" s="156">
        <v>0.0</v>
      </c>
      <c r="H207" s="156">
        <v>0.0</v>
      </c>
      <c r="I207" s="154">
        <v>5.57730033E8</v>
      </c>
      <c r="J207" s="156">
        <v>0.0</v>
      </c>
      <c r="K207" s="154" t="s">
        <v>361</v>
      </c>
    </row>
    <row r="208">
      <c r="A208" s="154" t="s">
        <v>1222</v>
      </c>
      <c r="B208" s="154" t="s">
        <v>1223</v>
      </c>
      <c r="D208" s="154">
        <v>2.0</v>
      </c>
      <c r="E208" s="154" t="s">
        <v>897</v>
      </c>
      <c r="F208" s="154" t="s">
        <v>1224</v>
      </c>
      <c r="G208" s="154" t="s">
        <v>1225</v>
      </c>
      <c r="H208" s="154" t="s">
        <v>1226</v>
      </c>
      <c r="I208" s="154" t="s">
        <v>1227</v>
      </c>
      <c r="J208" s="154" t="s">
        <v>1225</v>
      </c>
      <c r="K208" s="154" t="s">
        <v>361</v>
      </c>
    </row>
    <row r="209">
      <c r="A209" s="154" t="s">
        <v>1222</v>
      </c>
      <c r="B209" s="155"/>
      <c r="C209" s="154" t="s">
        <v>1223</v>
      </c>
      <c r="D209" s="155"/>
      <c r="E209" s="155"/>
      <c r="F209" s="154" t="s">
        <v>1228</v>
      </c>
      <c r="G209" s="156">
        <v>0.0</v>
      </c>
      <c r="H209" s="154" t="s">
        <v>1229</v>
      </c>
      <c r="I209" s="154">
        <v>9.71506504106E11</v>
      </c>
      <c r="J209" s="156">
        <v>0.0</v>
      </c>
      <c r="K209" s="154" t="s">
        <v>361</v>
      </c>
    </row>
    <row r="210">
      <c r="A210" s="154" t="s">
        <v>1230</v>
      </c>
      <c r="B210" s="154" t="s">
        <v>1231</v>
      </c>
      <c r="D210" s="154">
        <v>2.0</v>
      </c>
      <c r="E210" s="154" t="s">
        <v>897</v>
      </c>
      <c r="F210" s="154" t="s">
        <v>1232</v>
      </c>
      <c r="G210" s="156">
        <v>0.0</v>
      </c>
      <c r="H210" s="156">
        <v>0.0</v>
      </c>
      <c r="I210" s="154" t="s">
        <v>1233</v>
      </c>
      <c r="J210" s="156">
        <v>0.0</v>
      </c>
      <c r="K210" s="154" t="s">
        <v>361</v>
      </c>
    </row>
    <row r="211">
      <c r="A211" s="154" t="s">
        <v>1230</v>
      </c>
      <c r="B211" s="155"/>
      <c r="C211" s="154" t="s">
        <v>1231</v>
      </c>
      <c r="D211" s="155"/>
      <c r="E211" s="155"/>
      <c r="F211" s="154" t="s">
        <v>1234</v>
      </c>
      <c r="G211" s="156">
        <v>0.0</v>
      </c>
      <c r="H211" s="156">
        <v>0.0</v>
      </c>
      <c r="I211" s="154">
        <v>9.7156231E9</v>
      </c>
      <c r="J211" s="156">
        <v>0.0</v>
      </c>
      <c r="K211" s="154" t="s">
        <v>361</v>
      </c>
    </row>
    <row r="212">
      <c r="A212" s="154" t="s">
        <v>1235</v>
      </c>
      <c r="B212" s="154" t="s">
        <v>1236</v>
      </c>
      <c r="C212" s="155"/>
      <c r="D212" s="154">
        <v>2.0</v>
      </c>
      <c r="E212" s="154" t="s">
        <v>1237</v>
      </c>
      <c r="F212" s="154" t="s">
        <v>1238</v>
      </c>
      <c r="G212" s="154">
        <v>4.7018111E7</v>
      </c>
      <c r="H212" s="154" t="s">
        <v>1239</v>
      </c>
      <c r="I212" s="156">
        <v>0.0</v>
      </c>
      <c r="J212" s="156">
        <v>0.0</v>
      </c>
      <c r="K212" s="156">
        <v>0.0</v>
      </c>
    </row>
    <row r="213">
      <c r="A213" s="154" t="s">
        <v>1235</v>
      </c>
      <c r="B213" s="155"/>
      <c r="C213" s="154" t="s">
        <v>1236</v>
      </c>
      <c r="D213" s="155"/>
      <c r="E213" s="155"/>
      <c r="F213" s="154" t="s">
        <v>1238</v>
      </c>
      <c r="G213" s="154">
        <v>4.7018111E7</v>
      </c>
      <c r="H213" s="154" t="s">
        <v>1239</v>
      </c>
      <c r="I213" s="156">
        <v>0.0</v>
      </c>
      <c r="J213" s="156">
        <v>0.0</v>
      </c>
      <c r="K213" s="156">
        <v>0.0</v>
      </c>
    </row>
    <row r="214">
      <c r="A214" s="154" t="s">
        <v>1240</v>
      </c>
      <c r="B214" s="154" t="s">
        <v>1241</v>
      </c>
      <c r="C214" s="155"/>
      <c r="D214" s="154">
        <v>2.0</v>
      </c>
      <c r="E214" s="154" t="s">
        <v>1237</v>
      </c>
      <c r="F214" s="154" t="s">
        <v>1242</v>
      </c>
      <c r="G214" s="156">
        <v>0.0</v>
      </c>
      <c r="H214" s="154" t="s">
        <v>1243</v>
      </c>
      <c r="I214" s="154" t="s">
        <v>1244</v>
      </c>
      <c r="J214" s="154" t="s">
        <v>1245</v>
      </c>
      <c r="K214" s="154" t="s">
        <v>301</v>
      </c>
    </row>
    <row r="215">
      <c r="A215" s="154" t="s">
        <v>1240</v>
      </c>
      <c r="B215" s="155"/>
      <c r="C215" s="154" t="s">
        <v>1241</v>
      </c>
      <c r="D215" s="155"/>
      <c r="E215" s="155"/>
      <c r="F215" s="154" t="s">
        <v>1242</v>
      </c>
      <c r="G215" s="156">
        <v>0.0</v>
      </c>
      <c r="H215" s="154" t="s">
        <v>1243</v>
      </c>
      <c r="I215" s="154" t="s">
        <v>1244</v>
      </c>
      <c r="J215" s="154" t="s">
        <v>1245</v>
      </c>
      <c r="K215" s="154" t="s">
        <v>301</v>
      </c>
      <c r="L215" s="88" t="s">
        <v>1246</v>
      </c>
    </row>
    <row r="216">
      <c r="A216" s="154" t="s">
        <v>1247</v>
      </c>
      <c r="B216" s="154" t="s">
        <v>1248</v>
      </c>
      <c r="C216" s="155"/>
      <c r="D216" s="154">
        <v>2.0</v>
      </c>
      <c r="E216" s="154" t="s">
        <v>1237</v>
      </c>
      <c r="F216" s="154" t="s">
        <v>1249</v>
      </c>
      <c r="G216" s="156">
        <v>0.0</v>
      </c>
      <c r="H216" s="154" t="s">
        <v>1250</v>
      </c>
      <c r="I216" s="154" t="s">
        <v>1251</v>
      </c>
      <c r="J216" s="154" t="s">
        <v>1252</v>
      </c>
      <c r="K216" s="154" t="s">
        <v>197</v>
      </c>
      <c r="L216" s="88" t="s">
        <v>1253</v>
      </c>
    </row>
    <row r="217">
      <c r="A217" s="154" t="s">
        <v>1247</v>
      </c>
      <c r="B217" s="155"/>
      <c r="C217" s="154" t="s">
        <v>1248</v>
      </c>
      <c r="D217" s="155"/>
      <c r="E217" s="155"/>
      <c r="F217" s="154" t="s">
        <v>1249</v>
      </c>
      <c r="G217" s="156">
        <v>0.0</v>
      </c>
      <c r="H217" s="154" t="s">
        <v>1250</v>
      </c>
      <c r="I217" s="154" t="s">
        <v>1251</v>
      </c>
      <c r="J217" s="154" t="s">
        <v>1252</v>
      </c>
      <c r="K217" s="154" t="s">
        <v>197</v>
      </c>
    </row>
    <row r="218">
      <c r="A218" s="154" t="s">
        <v>1254</v>
      </c>
      <c r="B218" s="154" t="s">
        <v>1255</v>
      </c>
      <c r="C218" s="155"/>
      <c r="D218" s="154">
        <v>2.0</v>
      </c>
      <c r="E218" s="154" t="s">
        <v>1237</v>
      </c>
      <c r="F218" s="154" t="s">
        <v>1256</v>
      </c>
      <c r="G218" s="154">
        <v>0.0</v>
      </c>
      <c r="H218" s="156">
        <v>0.0</v>
      </c>
      <c r="I218" s="154">
        <v>9.71504519394E11</v>
      </c>
      <c r="J218" s="156">
        <v>0.0</v>
      </c>
      <c r="K218" s="154" t="s">
        <v>776</v>
      </c>
    </row>
    <row r="219">
      <c r="A219" s="154" t="s">
        <v>1254</v>
      </c>
      <c r="B219" s="155"/>
      <c r="C219" s="154" t="s">
        <v>1255</v>
      </c>
      <c r="D219" s="155"/>
      <c r="E219" s="155"/>
      <c r="F219" s="154" t="s">
        <v>1256</v>
      </c>
      <c r="G219" s="154">
        <v>0.0</v>
      </c>
      <c r="H219" s="156">
        <v>0.0</v>
      </c>
      <c r="I219" s="154">
        <v>9.71504519394E11</v>
      </c>
      <c r="J219" s="156">
        <v>0.0</v>
      </c>
      <c r="K219" s="154" t="s">
        <v>776</v>
      </c>
    </row>
    <row r="220">
      <c r="A220" s="154" t="s">
        <v>1257</v>
      </c>
      <c r="B220" s="154" t="s">
        <v>1258</v>
      </c>
      <c r="C220" s="155"/>
      <c r="D220" s="154">
        <v>2.0</v>
      </c>
      <c r="E220" s="154" t="s">
        <v>1237</v>
      </c>
      <c r="F220" s="154" t="s">
        <v>1238</v>
      </c>
      <c r="G220" s="154">
        <v>4.7018111E7</v>
      </c>
      <c r="H220" s="154" t="s">
        <v>1239</v>
      </c>
      <c r="I220" s="156">
        <v>0.0</v>
      </c>
      <c r="J220" s="156">
        <v>0.0</v>
      </c>
      <c r="K220" s="156">
        <v>0.0</v>
      </c>
    </row>
    <row r="221">
      <c r="A221" s="154" t="s">
        <v>1257</v>
      </c>
      <c r="B221" s="155"/>
      <c r="C221" s="154" t="s">
        <v>1258</v>
      </c>
      <c r="D221" s="155"/>
      <c r="E221" s="155"/>
      <c r="F221" s="154" t="s">
        <v>1238</v>
      </c>
      <c r="G221" s="154">
        <v>4.7018111E7</v>
      </c>
      <c r="H221" s="154" t="s">
        <v>1239</v>
      </c>
      <c r="I221" s="156">
        <v>0.0</v>
      </c>
      <c r="J221" s="156">
        <v>0.0</v>
      </c>
      <c r="K221" s="156">
        <v>0.0</v>
      </c>
    </row>
    <row r="222">
      <c r="A222" s="154" t="s">
        <v>1259</v>
      </c>
      <c r="B222" s="155"/>
      <c r="C222" s="154" t="s">
        <v>1260</v>
      </c>
      <c r="D222" s="155"/>
      <c r="E222" s="155"/>
      <c r="F222" s="154" t="s">
        <v>1238</v>
      </c>
      <c r="G222" s="154">
        <v>4.7018111E7</v>
      </c>
      <c r="H222" s="154" t="s">
        <v>1239</v>
      </c>
      <c r="I222" s="156">
        <v>0.0</v>
      </c>
      <c r="J222" s="156">
        <v>0.0</v>
      </c>
      <c r="K222" s="156">
        <v>0.0</v>
      </c>
    </row>
    <row r="223">
      <c r="A223" s="154" t="s">
        <v>1259</v>
      </c>
      <c r="B223" s="154" t="s">
        <v>1260</v>
      </c>
      <c r="C223" s="155"/>
      <c r="D223" s="154">
        <v>2.0</v>
      </c>
      <c r="E223" s="154" t="s">
        <v>1237</v>
      </c>
      <c r="F223" s="154" t="s">
        <v>1238</v>
      </c>
      <c r="G223" s="154">
        <v>4.7018111E7</v>
      </c>
      <c r="H223" s="154" t="s">
        <v>1239</v>
      </c>
      <c r="I223" s="156">
        <v>0.0</v>
      </c>
      <c r="J223" s="156">
        <v>0.0</v>
      </c>
      <c r="K223" s="156">
        <v>0.0</v>
      </c>
    </row>
    <row r="224">
      <c r="A224" s="154" t="s">
        <v>1261</v>
      </c>
      <c r="B224" s="154" t="s">
        <v>1262</v>
      </c>
      <c r="C224" s="155"/>
      <c r="D224" s="154">
        <v>2.0</v>
      </c>
      <c r="E224" s="154" t="s">
        <v>1237</v>
      </c>
      <c r="F224" s="154" t="s">
        <v>1263</v>
      </c>
      <c r="G224" s="154">
        <v>5.06349956E8</v>
      </c>
      <c r="H224" s="156">
        <v>0.0</v>
      </c>
      <c r="I224" s="154">
        <v>5.06349956E8</v>
      </c>
      <c r="J224" s="156">
        <v>0.0</v>
      </c>
      <c r="K224" s="154" t="s">
        <v>776</v>
      </c>
    </row>
    <row r="225">
      <c r="A225" s="154" t="s">
        <v>1261</v>
      </c>
      <c r="B225" s="155"/>
      <c r="C225" s="154" t="s">
        <v>1262</v>
      </c>
      <c r="D225" s="155"/>
      <c r="E225" s="155"/>
      <c r="F225" s="154" t="s">
        <v>994</v>
      </c>
      <c r="G225" s="154">
        <v>5.0979726E8</v>
      </c>
      <c r="H225" s="154" t="s">
        <v>995</v>
      </c>
      <c r="I225" s="156">
        <v>0.0</v>
      </c>
      <c r="J225" s="156">
        <v>0.0</v>
      </c>
      <c r="K225" s="156">
        <v>0.0</v>
      </c>
    </row>
    <row r="226">
      <c r="A226" s="154" t="s">
        <v>1264</v>
      </c>
      <c r="B226" s="154" t="s">
        <v>1265</v>
      </c>
      <c r="C226" s="155"/>
      <c r="D226" s="154">
        <v>2.0</v>
      </c>
      <c r="E226" s="154" t="s">
        <v>1237</v>
      </c>
      <c r="F226" s="154" t="s">
        <v>1266</v>
      </c>
      <c r="G226" s="154">
        <v>5.06343134E8</v>
      </c>
      <c r="H226" s="156">
        <v>0.0</v>
      </c>
      <c r="I226" s="154">
        <v>5.06343134E8</v>
      </c>
      <c r="J226" s="156">
        <v>0.0</v>
      </c>
      <c r="K226" s="154" t="s">
        <v>247</v>
      </c>
    </row>
    <row r="227">
      <c r="A227" s="154" t="s">
        <v>1264</v>
      </c>
      <c r="B227" s="155"/>
      <c r="C227" s="154" t="s">
        <v>1265</v>
      </c>
      <c r="D227" s="155"/>
      <c r="E227" s="155"/>
      <c r="F227" s="154" t="s">
        <v>1267</v>
      </c>
      <c r="G227" s="154">
        <v>5.06343134E8</v>
      </c>
      <c r="H227" s="156">
        <v>0.0</v>
      </c>
      <c r="I227" s="154">
        <v>5.06343134E8</v>
      </c>
      <c r="J227" s="156">
        <v>0.0</v>
      </c>
      <c r="K227" s="154" t="s">
        <v>247</v>
      </c>
    </row>
    <row r="228">
      <c r="A228" s="154" t="s">
        <v>1268</v>
      </c>
      <c r="B228" s="154" t="s">
        <v>1269</v>
      </c>
      <c r="C228" s="155"/>
      <c r="D228" s="154">
        <v>2.0</v>
      </c>
      <c r="E228" s="154" t="s">
        <v>1237</v>
      </c>
      <c r="F228" s="154" t="s">
        <v>1270</v>
      </c>
      <c r="G228" s="156">
        <v>0.0</v>
      </c>
      <c r="H228" s="154" t="s">
        <v>1271</v>
      </c>
      <c r="I228" s="154" t="s">
        <v>1272</v>
      </c>
      <c r="J228" s="154" t="s">
        <v>1273</v>
      </c>
      <c r="K228" s="154" t="s">
        <v>846</v>
      </c>
    </row>
    <row r="229">
      <c r="A229" s="154" t="s">
        <v>1268</v>
      </c>
      <c r="B229" s="155"/>
      <c r="C229" s="154" t="s">
        <v>1269</v>
      </c>
      <c r="D229" s="155"/>
      <c r="E229" s="155"/>
      <c r="F229" s="154" t="s">
        <v>1270</v>
      </c>
      <c r="G229" s="156">
        <v>0.0</v>
      </c>
      <c r="H229" s="154" t="s">
        <v>1271</v>
      </c>
      <c r="I229" s="154" t="s">
        <v>1272</v>
      </c>
      <c r="J229" s="154" t="s">
        <v>1273</v>
      </c>
      <c r="K229" s="154" t="s">
        <v>846</v>
      </c>
    </row>
    <row r="230">
      <c r="A230" s="154" t="s">
        <v>1274</v>
      </c>
      <c r="B230" s="155"/>
      <c r="C230" s="154" t="s">
        <v>1275</v>
      </c>
      <c r="D230" s="155"/>
      <c r="E230" s="155"/>
      <c r="F230" s="154" t="s">
        <v>1270</v>
      </c>
      <c r="G230" s="156">
        <v>0.0</v>
      </c>
      <c r="H230" s="154" t="s">
        <v>1271</v>
      </c>
      <c r="I230" s="154" t="s">
        <v>1272</v>
      </c>
      <c r="J230" s="154" t="s">
        <v>1273</v>
      </c>
      <c r="K230" s="154" t="s">
        <v>846</v>
      </c>
    </row>
    <row r="231">
      <c r="A231" s="154" t="s">
        <v>1274</v>
      </c>
      <c r="B231" s="154" t="s">
        <v>1275</v>
      </c>
      <c r="C231" s="155"/>
      <c r="D231" s="154">
        <v>2.0</v>
      </c>
      <c r="E231" s="154" t="s">
        <v>1237</v>
      </c>
      <c r="F231" s="154" t="s">
        <v>1270</v>
      </c>
      <c r="G231" s="156">
        <v>0.0</v>
      </c>
      <c r="H231" s="154" t="s">
        <v>1271</v>
      </c>
      <c r="I231" s="154" t="s">
        <v>1272</v>
      </c>
      <c r="J231" s="154" t="s">
        <v>1273</v>
      </c>
      <c r="K231" s="154" t="s">
        <v>846</v>
      </c>
    </row>
    <row r="232">
      <c r="A232" s="154" t="s">
        <v>1276</v>
      </c>
      <c r="B232" s="155"/>
      <c r="C232" s="154" t="s">
        <v>1277</v>
      </c>
      <c r="D232" s="155"/>
      <c r="E232" s="155"/>
      <c r="F232" s="154" t="s">
        <v>1238</v>
      </c>
      <c r="G232" s="154">
        <v>4.7018111E7</v>
      </c>
      <c r="H232" s="154" t="s">
        <v>1239</v>
      </c>
      <c r="I232" s="156">
        <v>0.0</v>
      </c>
      <c r="J232" s="156">
        <v>0.0</v>
      </c>
      <c r="K232" s="156">
        <v>0.0</v>
      </c>
    </row>
    <row r="233">
      <c r="A233" s="154" t="s">
        <v>1276</v>
      </c>
      <c r="B233" s="154" t="s">
        <v>1277</v>
      </c>
      <c r="C233" s="155"/>
      <c r="D233" s="154">
        <v>2.0</v>
      </c>
      <c r="E233" s="154" t="s">
        <v>1237</v>
      </c>
      <c r="F233" s="154" t="s">
        <v>1238</v>
      </c>
      <c r="G233" s="154">
        <v>4.7018111E7</v>
      </c>
      <c r="H233" s="154" t="s">
        <v>1239</v>
      </c>
      <c r="I233" s="156">
        <v>0.0</v>
      </c>
      <c r="J233" s="156">
        <v>0.0</v>
      </c>
      <c r="K233" s="156">
        <v>0.0</v>
      </c>
    </row>
    <row r="234">
      <c r="A234" s="154" t="s">
        <v>1278</v>
      </c>
      <c r="B234" s="155"/>
      <c r="C234" s="154" t="s">
        <v>1279</v>
      </c>
      <c r="D234" s="155"/>
      <c r="E234" s="155"/>
      <c r="F234" s="154" t="s">
        <v>1238</v>
      </c>
      <c r="G234" s="154">
        <v>4.7018111E7</v>
      </c>
      <c r="H234" s="154" t="s">
        <v>1239</v>
      </c>
      <c r="I234" s="156">
        <v>0.0</v>
      </c>
      <c r="J234" s="156">
        <v>0.0</v>
      </c>
      <c r="K234" s="156">
        <v>0.0</v>
      </c>
    </row>
    <row r="235">
      <c r="A235" s="154" t="s">
        <v>1278</v>
      </c>
      <c r="B235" s="154" t="s">
        <v>1279</v>
      </c>
      <c r="C235" s="155"/>
      <c r="D235" s="154">
        <v>2.0</v>
      </c>
      <c r="E235" s="154" t="s">
        <v>1237</v>
      </c>
      <c r="F235" s="154" t="s">
        <v>1238</v>
      </c>
      <c r="G235" s="154">
        <v>4.7018111E7</v>
      </c>
      <c r="H235" s="154" t="s">
        <v>1239</v>
      </c>
      <c r="I235" s="156">
        <v>0.0</v>
      </c>
      <c r="J235" s="156">
        <v>0.0</v>
      </c>
      <c r="K235" s="156">
        <v>0.0</v>
      </c>
    </row>
    <row r="236">
      <c r="A236" s="154" t="s">
        <v>1280</v>
      </c>
      <c r="B236" s="154" t="s">
        <v>1281</v>
      </c>
      <c r="C236" s="155"/>
      <c r="D236" s="154">
        <v>2.0</v>
      </c>
      <c r="E236" s="154" t="s">
        <v>897</v>
      </c>
      <c r="F236" s="154" t="s">
        <v>1282</v>
      </c>
      <c r="G236" s="154">
        <v>1.0</v>
      </c>
      <c r="H236" s="156">
        <v>0.0</v>
      </c>
      <c r="I236" s="156">
        <v>0.0</v>
      </c>
      <c r="J236" s="156">
        <v>0.0</v>
      </c>
      <c r="K236" s="154" t="s">
        <v>1283</v>
      </c>
    </row>
    <row r="237">
      <c r="A237" s="154" t="s">
        <v>1280</v>
      </c>
      <c r="B237" s="155"/>
      <c r="C237" s="154" t="s">
        <v>1281</v>
      </c>
      <c r="D237" s="155"/>
      <c r="E237" s="155"/>
      <c r="F237" s="154" t="s">
        <v>1282</v>
      </c>
      <c r="G237" s="154">
        <v>1.0</v>
      </c>
      <c r="H237" s="156">
        <v>0.0</v>
      </c>
      <c r="I237" s="156">
        <v>0.0</v>
      </c>
      <c r="J237" s="156">
        <v>0.0</v>
      </c>
      <c r="K237" s="154" t="s">
        <v>1283</v>
      </c>
    </row>
    <row r="238">
      <c r="A238" s="154" t="s">
        <v>1284</v>
      </c>
      <c r="B238" s="154" t="s">
        <v>1285</v>
      </c>
      <c r="C238" s="155"/>
      <c r="D238" s="154">
        <v>2.0</v>
      </c>
      <c r="E238" s="154" t="s">
        <v>897</v>
      </c>
      <c r="F238" s="154" t="s">
        <v>1286</v>
      </c>
      <c r="G238" s="154">
        <v>5.51032444E8</v>
      </c>
      <c r="H238" s="156">
        <v>0.0</v>
      </c>
      <c r="I238" s="154">
        <v>5.51032444E8</v>
      </c>
      <c r="J238" s="156">
        <v>0.0</v>
      </c>
      <c r="K238" s="154" t="s">
        <v>206</v>
      </c>
    </row>
    <row r="239">
      <c r="A239" s="154" t="s">
        <v>1284</v>
      </c>
      <c r="B239" s="155"/>
      <c r="C239" s="154" t="s">
        <v>1285</v>
      </c>
      <c r="D239" s="155"/>
      <c r="E239" s="155"/>
      <c r="F239" s="154" t="s">
        <v>1286</v>
      </c>
      <c r="G239" s="154">
        <v>5.51032444E8</v>
      </c>
      <c r="H239" s="156">
        <v>0.0</v>
      </c>
      <c r="I239" s="154">
        <v>5.51032444E8</v>
      </c>
      <c r="J239" s="156">
        <v>0.0</v>
      </c>
      <c r="K239" s="154" t="s">
        <v>206</v>
      </c>
    </row>
    <row r="240">
      <c r="A240" s="154" t="s">
        <v>1287</v>
      </c>
      <c r="B240" s="154" t="s">
        <v>1288</v>
      </c>
      <c r="C240" s="155"/>
      <c r="D240" s="154">
        <v>2.0</v>
      </c>
      <c r="E240" s="154" t="s">
        <v>897</v>
      </c>
      <c r="F240" s="154" t="s">
        <v>1289</v>
      </c>
      <c r="G240" s="156">
        <v>0.0</v>
      </c>
      <c r="H240" s="154" t="s">
        <v>1290</v>
      </c>
      <c r="I240" s="154" t="s">
        <v>1291</v>
      </c>
      <c r="J240" s="156">
        <v>0.0</v>
      </c>
      <c r="K240" s="154" t="s">
        <v>207</v>
      </c>
    </row>
    <row r="241">
      <c r="A241" s="154" t="s">
        <v>1287</v>
      </c>
      <c r="B241" s="155"/>
      <c r="C241" s="154" t="s">
        <v>1288</v>
      </c>
      <c r="D241" s="155"/>
      <c r="E241" s="155"/>
      <c r="F241" s="154" t="s">
        <v>1289</v>
      </c>
      <c r="G241" s="156">
        <v>0.0</v>
      </c>
      <c r="H241" s="154" t="s">
        <v>1290</v>
      </c>
      <c r="I241" s="154" t="s">
        <v>1291</v>
      </c>
      <c r="J241" s="156">
        <v>0.0</v>
      </c>
      <c r="K241" s="154" t="s">
        <v>207</v>
      </c>
    </row>
    <row r="242">
      <c r="A242" s="154" t="s">
        <v>1292</v>
      </c>
      <c r="B242" s="154" t="s">
        <v>1293</v>
      </c>
      <c r="C242" s="155"/>
      <c r="D242" s="154">
        <v>2.0</v>
      </c>
      <c r="E242" s="154" t="s">
        <v>897</v>
      </c>
      <c r="F242" s="154" t="s">
        <v>1289</v>
      </c>
      <c r="G242" s="156">
        <v>0.0</v>
      </c>
      <c r="H242" s="154" t="s">
        <v>1290</v>
      </c>
      <c r="I242" s="154" t="s">
        <v>1291</v>
      </c>
      <c r="J242" s="156">
        <v>0.0</v>
      </c>
      <c r="K242" s="154" t="s">
        <v>207</v>
      </c>
    </row>
    <row r="243">
      <c r="A243" s="154" t="s">
        <v>1292</v>
      </c>
      <c r="B243" s="155"/>
      <c r="C243" s="154" t="s">
        <v>1293</v>
      </c>
      <c r="D243" s="155"/>
      <c r="E243" s="155"/>
      <c r="F243" s="154" t="s">
        <v>1289</v>
      </c>
      <c r="G243" s="156">
        <v>0.0</v>
      </c>
      <c r="H243" s="154" t="s">
        <v>1290</v>
      </c>
      <c r="I243" s="154" t="s">
        <v>1291</v>
      </c>
      <c r="J243" s="156">
        <v>0.0</v>
      </c>
      <c r="K243" s="154" t="s">
        <v>207</v>
      </c>
    </row>
    <row r="244">
      <c r="A244" s="154" t="s">
        <v>1294</v>
      </c>
      <c r="B244" s="155"/>
      <c r="C244" s="154" t="s">
        <v>1295</v>
      </c>
      <c r="D244" s="155"/>
      <c r="E244" s="155"/>
      <c r="F244" s="154" t="s">
        <v>1296</v>
      </c>
      <c r="G244" s="154">
        <v>5.6759053E8</v>
      </c>
      <c r="H244" s="156">
        <v>0.0</v>
      </c>
      <c r="I244" s="154">
        <v>5.6759053E8</v>
      </c>
      <c r="J244" s="156">
        <v>0.0</v>
      </c>
      <c r="K244" s="154" t="s">
        <v>361</v>
      </c>
    </row>
    <row r="245">
      <c r="A245" s="154" t="s">
        <v>1294</v>
      </c>
      <c r="B245" s="154" t="s">
        <v>1295</v>
      </c>
      <c r="C245" s="155"/>
      <c r="D245" s="154">
        <v>2.0</v>
      </c>
      <c r="E245" s="154" t="s">
        <v>897</v>
      </c>
      <c r="F245" s="154" t="s">
        <v>1296</v>
      </c>
      <c r="G245" s="154">
        <v>5.6759053E8</v>
      </c>
      <c r="H245" s="156">
        <v>0.0</v>
      </c>
      <c r="I245" s="154">
        <v>5.6759053E8</v>
      </c>
      <c r="J245" s="156">
        <v>0.0</v>
      </c>
      <c r="K245" s="154" t="s">
        <v>361</v>
      </c>
    </row>
    <row r="246">
      <c r="A246" s="154" t="s">
        <v>1297</v>
      </c>
      <c r="B246" s="154" t="s">
        <v>1298</v>
      </c>
      <c r="C246" s="155"/>
      <c r="D246" s="154">
        <v>2.0</v>
      </c>
      <c r="E246" s="154" t="s">
        <v>897</v>
      </c>
      <c r="F246" s="154" t="s">
        <v>1299</v>
      </c>
      <c r="G246" s="156">
        <v>0.0</v>
      </c>
      <c r="H246" s="156">
        <v>0.0</v>
      </c>
      <c r="I246" s="154" t="s">
        <v>1300</v>
      </c>
      <c r="J246" s="154" t="s">
        <v>809</v>
      </c>
      <c r="K246" s="154" t="s">
        <v>301</v>
      </c>
    </row>
    <row r="247">
      <c r="A247" s="154" t="s">
        <v>1297</v>
      </c>
      <c r="B247" s="155"/>
      <c r="C247" s="154" t="s">
        <v>1298</v>
      </c>
      <c r="D247" s="155"/>
      <c r="E247" s="155"/>
      <c r="F247" s="154" t="s">
        <v>1299</v>
      </c>
      <c r="G247" s="156">
        <v>0.0</v>
      </c>
      <c r="H247" s="156">
        <v>0.0</v>
      </c>
      <c r="I247" s="154" t="s">
        <v>1300</v>
      </c>
      <c r="J247" s="154" t="s">
        <v>809</v>
      </c>
      <c r="K247" s="154" t="s">
        <v>301</v>
      </c>
    </row>
    <row r="248">
      <c r="A248" s="154" t="s">
        <v>1301</v>
      </c>
      <c r="B248" s="155"/>
      <c r="C248" s="154" t="s">
        <v>1302</v>
      </c>
      <c r="D248" s="155"/>
      <c r="E248" s="155"/>
      <c r="F248" s="154" t="s">
        <v>1303</v>
      </c>
      <c r="G248" s="156">
        <v>0.0</v>
      </c>
      <c r="H248" s="156">
        <v>0.0</v>
      </c>
      <c r="I248" s="154" t="s">
        <v>1304</v>
      </c>
      <c r="J248" s="154" t="s">
        <v>1305</v>
      </c>
      <c r="K248" s="154" t="s">
        <v>923</v>
      </c>
    </row>
    <row r="249">
      <c r="A249" s="154" t="s">
        <v>1301</v>
      </c>
      <c r="B249" s="154" t="s">
        <v>1302</v>
      </c>
      <c r="C249" s="155"/>
      <c r="D249" s="154">
        <v>2.0</v>
      </c>
      <c r="E249" s="154" t="s">
        <v>897</v>
      </c>
      <c r="F249" s="154" t="s">
        <v>1303</v>
      </c>
      <c r="G249" s="156">
        <v>0.0</v>
      </c>
      <c r="H249" s="156">
        <v>0.0</v>
      </c>
      <c r="I249" s="154" t="s">
        <v>1304</v>
      </c>
      <c r="J249" s="154" t="s">
        <v>1305</v>
      </c>
      <c r="K249" s="154" t="s">
        <v>923</v>
      </c>
    </row>
    <row r="250">
      <c r="A250" s="154" t="s">
        <v>1306</v>
      </c>
      <c r="B250" s="155"/>
      <c r="C250" s="154" t="s">
        <v>1307</v>
      </c>
      <c r="D250" s="155"/>
      <c r="E250" s="155"/>
      <c r="F250" s="154" t="s">
        <v>1308</v>
      </c>
      <c r="G250" s="154">
        <v>4.340974E7</v>
      </c>
      <c r="H250" s="156">
        <v>0.0</v>
      </c>
      <c r="I250" s="154">
        <v>5.53083947E8</v>
      </c>
      <c r="J250" s="156">
        <v>0.0</v>
      </c>
      <c r="K250" s="154" t="s">
        <v>259</v>
      </c>
    </row>
    <row r="251">
      <c r="A251" s="154" t="s">
        <v>1306</v>
      </c>
      <c r="B251" s="154" t="s">
        <v>1307</v>
      </c>
      <c r="C251" s="155"/>
      <c r="D251" s="154">
        <v>2.0</v>
      </c>
      <c r="E251" s="154" t="s">
        <v>897</v>
      </c>
      <c r="F251" s="154" t="s">
        <v>1309</v>
      </c>
      <c r="G251" s="154">
        <v>4.340974E7</v>
      </c>
      <c r="H251" s="156">
        <v>0.0</v>
      </c>
      <c r="I251" s="154">
        <v>5.53083947E8</v>
      </c>
      <c r="J251" s="156">
        <v>0.0</v>
      </c>
      <c r="K251" s="154" t="s">
        <v>259</v>
      </c>
    </row>
    <row r="252">
      <c r="A252" s="154" t="s">
        <v>1310</v>
      </c>
      <c r="B252" s="155"/>
      <c r="C252" s="154" t="s">
        <v>1311</v>
      </c>
      <c r="D252" s="155"/>
      <c r="E252" s="155"/>
      <c r="F252" s="154" t="s">
        <v>1312</v>
      </c>
      <c r="G252" s="156">
        <v>0.0</v>
      </c>
      <c r="H252" s="154" t="s">
        <v>1313</v>
      </c>
      <c r="I252" s="154" t="s">
        <v>1314</v>
      </c>
      <c r="J252" s="156">
        <v>0.0</v>
      </c>
      <c r="K252" s="154" t="s">
        <v>206</v>
      </c>
    </row>
    <row r="253">
      <c r="A253" s="154" t="s">
        <v>1310</v>
      </c>
      <c r="B253" s="154" t="s">
        <v>1311</v>
      </c>
      <c r="C253" s="155"/>
      <c r="D253" s="154">
        <v>2.0</v>
      </c>
      <c r="E253" s="154" t="s">
        <v>897</v>
      </c>
      <c r="F253" s="154" t="s">
        <v>1312</v>
      </c>
      <c r="G253" s="156">
        <v>0.0</v>
      </c>
      <c r="H253" s="154" t="s">
        <v>1313</v>
      </c>
      <c r="I253" s="154" t="s">
        <v>1314</v>
      </c>
      <c r="J253" s="156">
        <v>0.0</v>
      </c>
      <c r="K253" s="154" t="s">
        <v>206</v>
      </c>
    </row>
    <row r="254">
      <c r="A254" s="154" t="s">
        <v>1315</v>
      </c>
      <c r="B254" s="155"/>
      <c r="C254" s="154" t="s">
        <v>1316</v>
      </c>
      <c r="D254" s="155"/>
      <c r="E254" s="155"/>
      <c r="F254" s="154" t="s">
        <v>1317</v>
      </c>
      <c r="G254" s="156">
        <v>0.0</v>
      </c>
      <c r="H254" s="156">
        <v>0.0</v>
      </c>
      <c r="I254" s="154" t="s">
        <v>1318</v>
      </c>
      <c r="J254" s="156">
        <v>0.0</v>
      </c>
      <c r="K254" s="154" t="s">
        <v>361</v>
      </c>
    </row>
    <row r="255">
      <c r="A255" s="154" t="s">
        <v>1315</v>
      </c>
      <c r="B255" s="154" t="s">
        <v>1316</v>
      </c>
      <c r="C255" s="155"/>
      <c r="D255" s="154">
        <v>2.0</v>
      </c>
      <c r="E255" s="154" t="s">
        <v>897</v>
      </c>
      <c r="F255" s="154" t="s">
        <v>1317</v>
      </c>
      <c r="G255" s="156">
        <v>0.0</v>
      </c>
      <c r="H255" s="156">
        <v>0.0</v>
      </c>
      <c r="I255" s="154" t="s">
        <v>1318</v>
      </c>
      <c r="J255" s="156">
        <v>0.0</v>
      </c>
      <c r="K255" s="154" t="s">
        <v>361</v>
      </c>
    </row>
    <row r="256">
      <c r="A256" s="154" t="s">
        <v>1319</v>
      </c>
      <c r="B256" s="155"/>
      <c r="C256" s="154" t="s">
        <v>1320</v>
      </c>
      <c r="D256" s="155"/>
      <c r="E256" s="155"/>
      <c r="F256" s="154" t="s">
        <v>1321</v>
      </c>
      <c r="G256" s="156">
        <v>0.0</v>
      </c>
      <c r="H256" s="154" t="s">
        <v>1322</v>
      </c>
      <c r="I256" s="154" t="s">
        <v>1323</v>
      </c>
      <c r="J256" s="156">
        <v>0.0</v>
      </c>
      <c r="K256" s="154" t="s">
        <v>776</v>
      </c>
    </row>
    <row r="257">
      <c r="A257" s="154" t="s">
        <v>1319</v>
      </c>
      <c r="B257" s="154" t="s">
        <v>1320</v>
      </c>
      <c r="C257" s="155"/>
      <c r="D257" s="154">
        <v>2.0</v>
      </c>
      <c r="E257" s="154" t="s">
        <v>897</v>
      </c>
      <c r="F257" s="154" t="s">
        <v>1321</v>
      </c>
      <c r="G257" s="156">
        <v>0.0</v>
      </c>
      <c r="H257" s="154" t="s">
        <v>1322</v>
      </c>
      <c r="I257" s="154" t="s">
        <v>1323</v>
      </c>
      <c r="J257" s="156">
        <v>0.0</v>
      </c>
      <c r="K257" s="154" t="s">
        <v>776</v>
      </c>
    </row>
    <row r="258">
      <c r="A258" s="154" t="s">
        <v>1324</v>
      </c>
      <c r="B258" s="155"/>
      <c r="C258" s="154" t="s">
        <v>1325</v>
      </c>
      <c r="D258" s="155"/>
      <c r="E258" s="155"/>
      <c r="F258" s="154" t="s">
        <v>1326</v>
      </c>
      <c r="G258" s="154">
        <v>5.27777866E8</v>
      </c>
      <c r="H258" s="156">
        <v>0.0</v>
      </c>
      <c r="I258" s="156">
        <v>0.0</v>
      </c>
      <c r="J258" s="156">
        <v>0.0</v>
      </c>
      <c r="K258" s="154" t="s">
        <v>361</v>
      </c>
    </row>
    <row r="259">
      <c r="A259" s="154" t="s">
        <v>1324</v>
      </c>
      <c r="B259" s="154" t="s">
        <v>1325</v>
      </c>
      <c r="C259" s="155"/>
      <c r="D259" s="154">
        <v>2.0</v>
      </c>
      <c r="E259" s="154" t="s">
        <v>897</v>
      </c>
      <c r="F259" s="154" t="s">
        <v>1326</v>
      </c>
      <c r="G259" s="154">
        <v>5.27777866E8</v>
      </c>
      <c r="H259" s="156">
        <v>0.0</v>
      </c>
      <c r="I259" s="156">
        <v>0.0</v>
      </c>
      <c r="J259" s="156">
        <v>0.0</v>
      </c>
      <c r="K259" s="154" t="s">
        <v>361</v>
      </c>
    </row>
    <row r="260">
      <c r="A260" s="154" t="s">
        <v>1327</v>
      </c>
      <c r="B260" s="154" t="s">
        <v>1328</v>
      </c>
      <c r="C260" s="155"/>
      <c r="D260" s="154">
        <v>2.0</v>
      </c>
      <c r="E260" s="154" t="s">
        <v>897</v>
      </c>
      <c r="F260" s="154" t="s">
        <v>1329</v>
      </c>
      <c r="G260" s="154" t="s">
        <v>1330</v>
      </c>
      <c r="H260" s="154" t="s">
        <v>1331</v>
      </c>
      <c r="I260" s="154" t="s">
        <v>1332</v>
      </c>
      <c r="J260" s="156">
        <v>0.0</v>
      </c>
      <c r="K260" s="154" t="s">
        <v>1151</v>
      </c>
    </row>
    <row r="261">
      <c r="A261" s="154" t="s">
        <v>1327</v>
      </c>
      <c r="B261" s="155"/>
      <c r="C261" s="154" t="s">
        <v>1328</v>
      </c>
      <c r="D261" s="155"/>
      <c r="E261" s="155"/>
      <c r="F261" s="154" t="s">
        <v>1329</v>
      </c>
      <c r="G261" s="154" t="s">
        <v>1330</v>
      </c>
      <c r="H261" s="154" t="s">
        <v>1331</v>
      </c>
      <c r="I261" s="154" t="s">
        <v>1332</v>
      </c>
      <c r="J261" s="156">
        <v>0.0</v>
      </c>
      <c r="K261" s="154" t="s">
        <v>1151</v>
      </c>
    </row>
    <row r="262">
      <c r="A262" s="154" t="s">
        <v>1333</v>
      </c>
      <c r="B262" s="154" t="s">
        <v>1334</v>
      </c>
      <c r="C262" s="155"/>
      <c r="D262" s="154">
        <v>2.0</v>
      </c>
      <c r="E262" s="154" t="s">
        <v>897</v>
      </c>
      <c r="F262" s="154" t="s">
        <v>1335</v>
      </c>
      <c r="G262" s="154">
        <v>5.0639153E8</v>
      </c>
      <c r="H262" s="156">
        <v>0.0</v>
      </c>
      <c r="I262" s="154">
        <v>9.7150639153E11</v>
      </c>
      <c r="J262" s="156">
        <v>0.0</v>
      </c>
      <c r="K262" s="154" t="s">
        <v>760</v>
      </c>
    </row>
    <row r="263">
      <c r="A263" s="154" t="s">
        <v>1333</v>
      </c>
      <c r="B263" s="155"/>
      <c r="C263" s="154" t="s">
        <v>1334</v>
      </c>
      <c r="D263" s="155"/>
      <c r="E263" s="155"/>
      <c r="F263" s="154" t="s">
        <v>792</v>
      </c>
      <c r="G263" s="154" t="s">
        <v>793</v>
      </c>
      <c r="H263" s="154" t="s">
        <v>794</v>
      </c>
      <c r="I263" s="156">
        <v>0.0</v>
      </c>
      <c r="J263" s="156">
        <v>0.0</v>
      </c>
      <c r="K263" s="156">
        <v>0.0</v>
      </c>
    </row>
    <row r="264">
      <c r="A264" s="154" t="s">
        <v>1336</v>
      </c>
      <c r="B264" s="154" t="s">
        <v>1337</v>
      </c>
      <c r="C264" s="155"/>
      <c r="D264" s="154">
        <v>2.0</v>
      </c>
      <c r="E264" s="154" t="s">
        <v>897</v>
      </c>
      <c r="F264" s="154" t="s">
        <v>1338</v>
      </c>
      <c r="G264" s="156">
        <v>0.0</v>
      </c>
      <c r="H264" s="156">
        <v>0.0</v>
      </c>
      <c r="I264" s="154">
        <v>9.71504564819E11</v>
      </c>
      <c r="J264" s="156">
        <v>0.0</v>
      </c>
      <c r="K264" s="154" t="s">
        <v>361</v>
      </c>
    </row>
    <row r="265">
      <c r="A265" s="154" t="s">
        <v>1336</v>
      </c>
      <c r="B265" s="155"/>
      <c r="C265" s="154" t="s">
        <v>1337</v>
      </c>
      <c r="D265" s="155"/>
      <c r="E265" s="155"/>
      <c r="F265" s="154" t="s">
        <v>1338</v>
      </c>
      <c r="G265" s="156">
        <v>0.0</v>
      </c>
      <c r="H265" s="156">
        <v>0.0</v>
      </c>
      <c r="I265" s="154">
        <v>9.71504564819E11</v>
      </c>
      <c r="J265" s="156">
        <v>0.0</v>
      </c>
      <c r="K265" s="154" t="s">
        <v>361</v>
      </c>
    </row>
    <row r="266">
      <c r="A266" s="154" t="s">
        <v>1339</v>
      </c>
      <c r="B266" s="154" t="s">
        <v>1340</v>
      </c>
      <c r="C266" s="155"/>
      <c r="D266" s="154">
        <v>2.0</v>
      </c>
      <c r="E266" s="154" t="s">
        <v>897</v>
      </c>
      <c r="F266" s="154" t="s">
        <v>1341</v>
      </c>
      <c r="G266" s="156">
        <v>0.0</v>
      </c>
      <c r="H266" s="154" t="s">
        <v>1342</v>
      </c>
      <c r="I266" s="154" t="s">
        <v>1343</v>
      </c>
      <c r="J266" s="154" t="s">
        <v>1344</v>
      </c>
      <c r="K266" s="154" t="s">
        <v>776</v>
      </c>
    </row>
    <row r="267">
      <c r="A267" s="154" t="s">
        <v>1339</v>
      </c>
      <c r="B267" s="155"/>
      <c r="C267" s="154" t="s">
        <v>1340</v>
      </c>
      <c r="D267" s="155"/>
      <c r="E267" s="155"/>
      <c r="F267" s="154" t="s">
        <v>1341</v>
      </c>
      <c r="G267" s="156">
        <v>0.0</v>
      </c>
      <c r="H267" s="154" t="s">
        <v>1342</v>
      </c>
      <c r="I267" s="154" t="s">
        <v>1343</v>
      </c>
      <c r="J267" s="154" t="s">
        <v>1344</v>
      </c>
      <c r="K267" s="154" t="s">
        <v>776</v>
      </c>
    </row>
    <row r="268">
      <c r="A268" s="154" t="s">
        <v>1345</v>
      </c>
      <c r="B268" s="154" t="s">
        <v>1346</v>
      </c>
      <c r="C268" s="155"/>
      <c r="D268" s="154">
        <v>2.0</v>
      </c>
      <c r="E268" s="154" t="s">
        <v>897</v>
      </c>
      <c r="F268" s="154" t="s">
        <v>994</v>
      </c>
      <c r="G268" s="154">
        <v>5.0979726E8</v>
      </c>
      <c r="H268" s="154" t="s">
        <v>995</v>
      </c>
      <c r="I268" s="156">
        <v>0.0</v>
      </c>
      <c r="J268" s="156">
        <v>0.0</v>
      </c>
      <c r="K268" s="156">
        <v>0.0</v>
      </c>
    </row>
    <row r="269">
      <c r="A269" s="154" t="s">
        <v>1345</v>
      </c>
      <c r="B269" s="155"/>
      <c r="C269" s="154" t="s">
        <v>1346</v>
      </c>
      <c r="D269" s="155"/>
      <c r="E269" s="155"/>
      <c r="F269" s="154" t="s">
        <v>994</v>
      </c>
      <c r="G269" s="154">
        <v>5.0979726E8</v>
      </c>
      <c r="H269" s="154" t="s">
        <v>995</v>
      </c>
      <c r="I269" s="156">
        <v>0.0</v>
      </c>
      <c r="J269" s="156">
        <v>0.0</v>
      </c>
      <c r="K269" s="156">
        <v>0.0</v>
      </c>
    </row>
    <row r="270">
      <c r="A270" s="154" t="s">
        <v>1347</v>
      </c>
      <c r="B270" s="154" t="s">
        <v>1348</v>
      </c>
      <c r="C270" s="155"/>
      <c r="D270" s="154">
        <v>2.0</v>
      </c>
      <c r="E270" s="154" t="s">
        <v>897</v>
      </c>
      <c r="F270" s="154" t="s">
        <v>1349</v>
      </c>
      <c r="G270" s="156">
        <v>0.0</v>
      </c>
      <c r="H270" s="154" t="s">
        <v>1185</v>
      </c>
      <c r="I270" s="154" t="s">
        <v>1350</v>
      </c>
      <c r="J270" s="154" t="s">
        <v>1351</v>
      </c>
      <c r="K270" s="154" t="s">
        <v>846</v>
      </c>
    </row>
    <row r="271">
      <c r="A271" s="154" t="s">
        <v>1347</v>
      </c>
      <c r="B271" s="155"/>
      <c r="C271" s="154" t="s">
        <v>1348</v>
      </c>
      <c r="D271" s="155"/>
      <c r="E271" s="155"/>
      <c r="F271" s="154" t="s">
        <v>1352</v>
      </c>
      <c r="G271" s="154" t="s">
        <v>1353</v>
      </c>
      <c r="H271" s="154" t="s">
        <v>1354</v>
      </c>
      <c r="I271" s="154" t="s">
        <v>1355</v>
      </c>
      <c r="J271" s="154" t="s">
        <v>1356</v>
      </c>
      <c r="K271" s="154" t="s">
        <v>846</v>
      </c>
    </row>
    <row r="272">
      <c r="A272" s="154" t="s">
        <v>1357</v>
      </c>
      <c r="B272" s="155"/>
      <c r="C272" s="154" t="s">
        <v>1358</v>
      </c>
      <c r="D272" s="155"/>
      <c r="E272" s="155"/>
      <c r="F272" s="154" t="s">
        <v>1359</v>
      </c>
      <c r="G272" s="154">
        <v>9.744416949E10</v>
      </c>
      <c r="H272" s="156">
        <v>0.0</v>
      </c>
      <c r="I272" s="154">
        <v>9.7455808221E10</v>
      </c>
      <c r="J272" s="156">
        <v>0.0</v>
      </c>
      <c r="K272" s="154" t="s">
        <v>1196</v>
      </c>
    </row>
    <row r="273">
      <c r="A273" s="154" t="s">
        <v>1357</v>
      </c>
      <c r="B273" s="154" t="s">
        <v>1358</v>
      </c>
      <c r="C273" s="155"/>
      <c r="D273" s="154">
        <v>2.0</v>
      </c>
      <c r="E273" s="154" t="s">
        <v>897</v>
      </c>
      <c r="F273" s="154" t="s">
        <v>1359</v>
      </c>
      <c r="G273" s="154">
        <v>9.744416949E10</v>
      </c>
      <c r="H273" s="156">
        <v>0.0</v>
      </c>
      <c r="I273" s="154">
        <v>9.7455808221E10</v>
      </c>
      <c r="J273" s="156">
        <v>0.0</v>
      </c>
      <c r="K273" s="154" t="s">
        <v>1196</v>
      </c>
    </row>
    <row r="274">
      <c r="A274" s="154" t="s">
        <v>1360</v>
      </c>
      <c r="B274" s="155"/>
      <c r="C274" s="154" t="s">
        <v>1361</v>
      </c>
      <c r="D274" s="155"/>
      <c r="E274" s="155"/>
      <c r="F274" s="154" t="s">
        <v>1362</v>
      </c>
      <c r="G274" s="154">
        <v>5.02186009E8</v>
      </c>
      <c r="H274" s="156">
        <v>0.0</v>
      </c>
      <c r="I274" s="156">
        <v>0.0</v>
      </c>
      <c r="J274" s="156">
        <v>0.0</v>
      </c>
      <c r="K274" s="154" t="s">
        <v>776</v>
      </c>
    </row>
    <row r="275">
      <c r="A275" s="154" t="s">
        <v>1360</v>
      </c>
      <c r="B275" s="154" t="s">
        <v>1361</v>
      </c>
      <c r="C275" s="155"/>
      <c r="D275" s="154">
        <v>2.0</v>
      </c>
      <c r="E275" s="154" t="s">
        <v>897</v>
      </c>
      <c r="F275" s="154" t="s">
        <v>1362</v>
      </c>
      <c r="G275" s="154">
        <v>5.02186009E8</v>
      </c>
      <c r="H275" s="156">
        <v>0.0</v>
      </c>
      <c r="I275" s="156">
        <v>0.0</v>
      </c>
      <c r="J275" s="156">
        <v>0.0</v>
      </c>
      <c r="K275" s="154" t="s">
        <v>776</v>
      </c>
    </row>
    <row r="276">
      <c r="A276" s="154" t="s">
        <v>1363</v>
      </c>
      <c r="B276" s="154" t="s">
        <v>1364</v>
      </c>
      <c r="C276" s="155"/>
      <c r="D276" s="154">
        <v>2.0</v>
      </c>
      <c r="E276" s="154" t="s">
        <v>897</v>
      </c>
      <c r="F276" s="154" t="s">
        <v>1365</v>
      </c>
      <c r="G276" s="154">
        <v>4.3974464E7</v>
      </c>
      <c r="H276" s="156">
        <v>0.0</v>
      </c>
      <c r="I276" s="156">
        <v>0.0</v>
      </c>
      <c r="J276" s="156">
        <v>0.0</v>
      </c>
      <c r="K276" s="156">
        <v>0.0</v>
      </c>
    </row>
    <row r="277">
      <c r="A277" s="154" t="s">
        <v>1363</v>
      </c>
      <c r="B277" s="155"/>
      <c r="C277" s="154" t="s">
        <v>1364</v>
      </c>
      <c r="D277" s="155"/>
      <c r="E277" s="155"/>
      <c r="F277" s="154" t="s">
        <v>1365</v>
      </c>
      <c r="G277" s="154">
        <v>4.3974464E7</v>
      </c>
      <c r="H277" s="156">
        <v>0.0</v>
      </c>
      <c r="I277" s="156">
        <v>0.0</v>
      </c>
      <c r="J277" s="156">
        <v>0.0</v>
      </c>
      <c r="K277" s="156">
        <v>0.0</v>
      </c>
    </row>
    <row r="278">
      <c r="A278" s="154" t="s">
        <v>1366</v>
      </c>
      <c r="B278" s="155"/>
      <c r="C278" s="154" t="s">
        <v>1367</v>
      </c>
      <c r="D278" s="155"/>
      <c r="E278" s="155"/>
      <c r="F278" s="154" t="s">
        <v>1368</v>
      </c>
      <c r="G278" s="156">
        <v>0.0</v>
      </c>
      <c r="H278" s="156">
        <v>0.0</v>
      </c>
      <c r="I278" s="154" t="s">
        <v>879</v>
      </c>
      <c r="J278" s="154" t="s">
        <v>1369</v>
      </c>
      <c r="K278" s="154" t="s">
        <v>776</v>
      </c>
    </row>
    <row r="279">
      <c r="A279" s="154" t="s">
        <v>1366</v>
      </c>
      <c r="B279" s="154" t="s">
        <v>1367</v>
      </c>
      <c r="C279" s="155"/>
      <c r="D279" s="154">
        <v>2.0</v>
      </c>
      <c r="E279" s="154" t="s">
        <v>897</v>
      </c>
      <c r="F279" s="154" t="s">
        <v>1368</v>
      </c>
      <c r="G279" s="156">
        <v>0.0</v>
      </c>
      <c r="H279" s="156">
        <v>0.0</v>
      </c>
      <c r="I279" s="154" t="s">
        <v>879</v>
      </c>
      <c r="J279" s="154" t="s">
        <v>1369</v>
      </c>
      <c r="K279" s="154" t="s">
        <v>776</v>
      </c>
    </row>
    <row r="280">
      <c r="A280" s="154" t="s">
        <v>1370</v>
      </c>
      <c r="B280" s="155"/>
      <c r="C280" s="154" t="s">
        <v>1371</v>
      </c>
      <c r="D280" s="155"/>
      <c r="E280" s="155"/>
      <c r="F280" s="154" t="s">
        <v>1372</v>
      </c>
      <c r="G280" s="154">
        <v>9.66505223042E11</v>
      </c>
      <c r="H280" s="156">
        <v>0.0</v>
      </c>
      <c r="I280" s="154">
        <v>9.71506444218E11</v>
      </c>
      <c r="J280" s="156">
        <v>0.0</v>
      </c>
      <c r="K280" s="154" t="s">
        <v>914</v>
      </c>
    </row>
    <row r="281">
      <c r="A281" s="154" t="s">
        <v>1370</v>
      </c>
      <c r="B281" s="154" t="s">
        <v>1371</v>
      </c>
      <c r="C281" s="155"/>
      <c r="D281" s="154">
        <v>2.0</v>
      </c>
      <c r="E281" s="154" t="s">
        <v>897</v>
      </c>
      <c r="F281" s="154" t="s">
        <v>1372</v>
      </c>
      <c r="G281" s="154">
        <v>9.66505223042E11</v>
      </c>
      <c r="H281" s="156">
        <v>0.0</v>
      </c>
      <c r="I281" s="154">
        <v>9.71506444218E11</v>
      </c>
      <c r="J281" s="156">
        <v>0.0</v>
      </c>
      <c r="K281" s="154" t="s">
        <v>914</v>
      </c>
    </row>
    <row r="282">
      <c r="A282" s="154" t="s">
        <v>1373</v>
      </c>
      <c r="B282" s="154" t="s">
        <v>1374</v>
      </c>
      <c r="C282" s="155"/>
      <c r="D282" s="154">
        <v>2.0</v>
      </c>
      <c r="E282" s="154" t="s">
        <v>897</v>
      </c>
      <c r="F282" s="154" t="s">
        <v>1375</v>
      </c>
      <c r="G282" s="154">
        <v>0.0</v>
      </c>
      <c r="H282" s="156">
        <v>0.0</v>
      </c>
      <c r="I282" s="154">
        <v>9.71555572182E11</v>
      </c>
      <c r="J282" s="156">
        <v>0.0</v>
      </c>
      <c r="K282" s="154" t="s">
        <v>361</v>
      </c>
    </row>
    <row r="283">
      <c r="A283" s="154" t="s">
        <v>1373</v>
      </c>
      <c r="B283" s="155"/>
      <c r="C283" s="154" t="s">
        <v>1374</v>
      </c>
      <c r="D283" s="155"/>
      <c r="E283" s="155"/>
      <c r="F283" s="154" t="s">
        <v>1376</v>
      </c>
      <c r="G283" s="154">
        <v>0.0</v>
      </c>
      <c r="H283" s="156">
        <v>0.0</v>
      </c>
      <c r="I283" s="154">
        <v>9.71506581944E11</v>
      </c>
      <c r="J283" s="156">
        <v>0.0</v>
      </c>
      <c r="K283" s="154" t="s">
        <v>361</v>
      </c>
    </row>
    <row r="284">
      <c r="A284" s="154" t="s">
        <v>1377</v>
      </c>
      <c r="B284" s="154" t="s">
        <v>1378</v>
      </c>
      <c r="C284" s="155"/>
      <c r="D284" s="154">
        <v>2.0</v>
      </c>
      <c r="E284" s="154" t="s">
        <v>897</v>
      </c>
      <c r="F284" s="154" t="s">
        <v>1379</v>
      </c>
      <c r="G284" s="156">
        <v>0.0</v>
      </c>
      <c r="H284" s="156">
        <v>0.0</v>
      </c>
      <c r="I284" s="154">
        <v>9.71506166173E11</v>
      </c>
      <c r="J284" s="156">
        <v>0.0</v>
      </c>
      <c r="K284" s="154" t="s">
        <v>240</v>
      </c>
    </row>
    <row r="285">
      <c r="A285" s="154" t="s">
        <v>1377</v>
      </c>
      <c r="B285" s="155"/>
      <c r="C285" s="154" t="s">
        <v>1378</v>
      </c>
      <c r="D285" s="155"/>
      <c r="E285" s="155"/>
      <c r="F285" s="154" t="s">
        <v>1379</v>
      </c>
      <c r="G285" s="156">
        <v>0.0</v>
      </c>
      <c r="H285" s="156">
        <v>0.0</v>
      </c>
      <c r="I285" s="154">
        <v>9.71506166173E11</v>
      </c>
      <c r="J285" s="156">
        <v>0.0</v>
      </c>
      <c r="K285" s="154" t="s">
        <v>240</v>
      </c>
    </row>
    <row r="286">
      <c r="A286" s="154" t="s">
        <v>1380</v>
      </c>
      <c r="B286" s="155"/>
      <c r="C286" s="154" t="s">
        <v>1381</v>
      </c>
      <c r="D286" s="155"/>
      <c r="E286" s="155"/>
      <c r="F286" s="154" t="s">
        <v>1382</v>
      </c>
      <c r="G286" s="156">
        <v>0.0</v>
      </c>
      <c r="H286" s="154" t="s">
        <v>1383</v>
      </c>
      <c r="I286" s="154" t="s">
        <v>1384</v>
      </c>
      <c r="J286" s="156">
        <v>0.0</v>
      </c>
      <c r="K286" s="154" t="s">
        <v>259</v>
      </c>
    </row>
    <row r="287">
      <c r="A287" s="154" t="s">
        <v>1380</v>
      </c>
      <c r="B287" s="154" t="s">
        <v>1381</v>
      </c>
      <c r="C287" s="155"/>
      <c r="D287" s="154">
        <v>2.0</v>
      </c>
      <c r="E287" s="154" t="s">
        <v>897</v>
      </c>
      <c r="F287" s="154" t="s">
        <v>1382</v>
      </c>
      <c r="G287" s="156">
        <v>0.0</v>
      </c>
      <c r="H287" s="154" t="s">
        <v>1383</v>
      </c>
      <c r="I287" s="154" t="s">
        <v>1384</v>
      </c>
      <c r="J287" s="156">
        <v>0.0</v>
      </c>
      <c r="K287" s="154" t="s">
        <v>259</v>
      </c>
      <c r="L287" s="88" t="s">
        <v>1385</v>
      </c>
    </row>
    <row r="288">
      <c r="A288" s="154" t="s">
        <v>1386</v>
      </c>
      <c r="B288" s="154" t="s">
        <v>1387</v>
      </c>
      <c r="C288" s="155"/>
      <c r="D288" s="154">
        <v>2.0</v>
      </c>
      <c r="E288" s="154" t="s">
        <v>897</v>
      </c>
      <c r="F288" s="154" t="s">
        <v>1388</v>
      </c>
      <c r="G288" s="156">
        <v>0.0</v>
      </c>
      <c r="H288" s="156">
        <v>0.0</v>
      </c>
      <c r="I288" s="154" t="s">
        <v>1389</v>
      </c>
      <c r="J288" s="156">
        <v>0.0</v>
      </c>
      <c r="K288" s="154" t="s">
        <v>361</v>
      </c>
    </row>
    <row r="289">
      <c r="A289" s="154" t="s">
        <v>1386</v>
      </c>
      <c r="B289" s="155"/>
      <c r="C289" s="154" t="s">
        <v>1387</v>
      </c>
      <c r="D289" s="155"/>
      <c r="E289" s="155"/>
      <c r="F289" s="154" t="s">
        <v>1388</v>
      </c>
      <c r="G289" s="156">
        <v>0.0</v>
      </c>
      <c r="H289" s="156">
        <v>0.0</v>
      </c>
      <c r="I289" s="154" t="s">
        <v>1389</v>
      </c>
      <c r="J289" s="156">
        <v>0.0</v>
      </c>
      <c r="K289" s="154" t="s">
        <v>361</v>
      </c>
    </row>
    <row r="290">
      <c r="A290" s="154" t="s">
        <v>1390</v>
      </c>
      <c r="B290" s="155"/>
      <c r="C290" s="154" t="s">
        <v>1391</v>
      </c>
      <c r="D290" s="155"/>
      <c r="E290" s="155"/>
      <c r="F290" s="154" t="s">
        <v>1392</v>
      </c>
      <c r="G290" s="156">
        <v>0.0</v>
      </c>
      <c r="H290" s="156">
        <v>0.0</v>
      </c>
      <c r="I290" s="154" t="s">
        <v>1393</v>
      </c>
      <c r="J290" s="154" t="s">
        <v>1394</v>
      </c>
      <c r="K290" s="154" t="s">
        <v>207</v>
      </c>
    </row>
    <row r="291">
      <c r="A291" s="154" t="s">
        <v>1390</v>
      </c>
      <c r="B291" s="154" t="s">
        <v>1391</v>
      </c>
      <c r="C291" s="155"/>
      <c r="D291" s="154">
        <v>2.0</v>
      </c>
      <c r="E291" s="154" t="s">
        <v>897</v>
      </c>
      <c r="F291" s="154" t="s">
        <v>1392</v>
      </c>
      <c r="G291" s="156">
        <v>0.0</v>
      </c>
      <c r="H291" s="156">
        <v>0.0</v>
      </c>
      <c r="I291" s="154" t="s">
        <v>1393</v>
      </c>
      <c r="J291" s="154" t="s">
        <v>1394</v>
      </c>
      <c r="K291" s="154" t="s">
        <v>207</v>
      </c>
    </row>
    <row r="292">
      <c r="A292" s="154" t="s">
        <v>1395</v>
      </c>
      <c r="B292" s="154" t="s">
        <v>1396</v>
      </c>
      <c r="C292" s="155"/>
      <c r="D292" s="154">
        <v>2.0</v>
      </c>
      <c r="E292" s="154" t="s">
        <v>897</v>
      </c>
      <c r="F292" s="154" t="s">
        <v>1397</v>
      </c>
      <c r="G292" s="156">
        <v>0.0</v>
      </c>
      <c r="H292" s="156">
        <v>0.0</v>
      </c>
      <c r="I292" s="154">
        <v>9.71506252826E11</v>
      </c>
      <c r="J292" s="156">
        <v>0.0</v>
      </c>
      <c r="K292" s="154" t="s">
        <v>776</v>
      </c>
    </row>
    <row r="293">
      <c r="A293" s="154" t="s">
        <v>1395</v>
      </c>
      <c r="B293" s="155"/>
      <c r="C293" s="154" t="s">
        <v>1396</v>
      </c>
      <c r="D293" s="155"/>
      <c r="E293" s="155"/>
      <c r="F293" s="154" t="s">
        <v>1397</v>
      </c>
      <c r="G293" s="156">
        <v>0.0</v>
      </c>
      <c r="H293" s="156">
        <v>0.0</v>
      </c>
      <c r="I293" s="154">
        <v>9.71506252826E11</v>
      </c>
      <c r="J293" s="156">
        <v>0.0</v>
      </c>
      <c r="K293" s="154" t="s">
        <v>776</v>
      </c>
    </row>
    <row r="294">
      <c r="A294" s="154" t="s">
        <v>1398</v>
      </c>
      <c r="B294" s="155"/>
      <c r="C294" s="154" t="s">
        <v>1399</v>
      </c>
      <c r="D294" s="155"/>
      <c r="E294" s="155"/>
      <c r="F294" s="154" t="s">
        <v>1400</v>
      </c>
      <c r="G294" s="154">
        <v>971.0</v>
      </c>
      <c r="H294" s="156">
        <v>0.0</v>
      </c>
      <c r="I294" s="154" t="s">
        <v>1401</v>
      </c>
      <c r="J294" s="154" t="s">
        <v>1402</v>
      </c>
      <c r="K294" s="154" t="s">
        <v>329</v>
      </c>
    </row>
    <row r="295">
      <c r="A295" s="154" t="s">
        <v>1398</v>
      </c>
      <c r="B295" s="154" t="s">
        <v>1399</v>
      </c>
      <c r="C295" s="155"/>
      <c r="D295" s="154">
        <v>2.0</v>
      </c>
      <c r="E295" s="154" t="s">
        <v>897</v>
      </c>
      <c r="F295" s="154" t="s">
        <v>1157</v>
      </c>
      <c r="G295" s="154" t="s">
        <v>1158</v>
      </c>
      <c r="H295" s="154" t="s">
        <v>1159</v>
      </c>
      <c r="I295" s="156">
        <v>0.0</v>
      </c>
      <c r="J295" s="156">
        <v>0.0</v>
      </c>
      <c r="K295" s="156">
        <v>0.0</v>
      </c>
    </row>
    <row r="296">
      <c r="A296" s="154" t="s">
        <v>1403</v>
      </c>
      <c r="B296" s="155"/>
      <c r="C296" s="154" t="s">
        <v>1404</v>
      </c>
      <c r="D296" s="155"/>
      <c r="E296" s="155"/>
      <c r="F296" s="154" t="s">
        <v>1405</v>
      </c>
      <c r="G296" s="154">
        <v>971.0</v>
      </c>
      <c r="H296" s="156">
        <v>0.0</v>
      </c>
      <c r="I296" s="154" t="s">
        <v>1406</v>
      </c>
      <c r="J296" s="154" t="s">
        <v>1407</v>
      </c>
      <c r="K296" s="154" t="s">
        <v>1408</v>
      </c>
    </row>
    <row r="297">
      <c r="A297" s="154" t="s">
        <v>1403</v>
      </c>
      <c r="B297" s="154" t="s">
        <v>1404</v>
      </c>
      <c r="C297" s="155"/>
      <c r="D297" s="154">
        <v>2.0</v>
      </c>
      <c r="E297" s="154" t="s">
        <v>897</v>
      </c>
      <c r="F297" s="154" t="s">
        <v>1405</v>
      </c>
      <c r="G297" s="154">
        <v>971.0</v>
      </c>
      <c r="H297" s="156">
        <v>0.0</v>
      </c>
      <c r="I297" s="154" t="s">
        <v>1406</v>
      </c>
      <c r="J297" s="154" t="s">
        <v>1407</v>
      </c>
      <c r="K297" s="154" t="s">
        <v>1408</v>
      </c>
    </row>
    <row r="298">
      <c r="A298" s="154" t="s">
        <v>1409</v>
      </c>
      <c r="B298" s="154" t="s">
        <v>1410</v>
      </c>
      <c r="C298" s="155"/>
      <c r="D298" s="154">
        <v>2.0</v>
      </c>
      <c r="E298" s="154" t="s">
        <v>897</v>
      </c>
      <c r="F298" s="154" t="s">
        <v>1411</v>
      </c>
      <c r="G298" s="154">
        <v>4.4523588E7</v>
      </c>
      <c r="H298" s="156">
        <v>0.0</v>
      </c>
      <c r="I298" s="156">
        <v>0.0</v>
      </c>
      <c r="J298" s="156">
        <v>0.0</v>
      </c>
      <c r="K298" s="156">
        <v>0.0</v>
      </c>
    </row>
    <row r="299">
      <c r="A299" s="154" t="s">
        <v>1409</v>
      </c>
      <c r="B299" s="155"/>
      <c r="C299" s="154" t="s">
        <v>1410</v>
      </c>
      <c r="D299" s="155"/>
      <c r="E299" s="155"/>
      <c r="F299" s="154" t="s">
        <v>1411</v>
      </c>
      <c r="G299" s="154">
        <v>4.4523588E7</v>
      </c>
      <c r="H299" s="156">
        <v>0.0</v>
      </c>
      <c r="I299" s="156">
        <v>0.0</v>
      </c>
      <c r="J299" s="156">
        <v>0.0</v>
      </c>
      <c r="K299" s="156">
        <v>0.0</v>
      </c>
    </row>
    <row r="300">
      <c r="A300" s="154" t="s">
        <v>1412</v>
      </c>
      <c r="B300" s="155"/>
      <c r="C300" s="154" t="s">
        <v>1413</v>
      </c>
      <c r="D300" s="155"/>
      <c r="E300" s="155"/>
      <c r="F300" s="154" t="s">
        <v>1414</v>
      </c>
      <c r="G300" s="156">
        <v>0.0</v>
      </c>
      <c r="H300" s="156">
        <v>0.0</v>
      </c>
      <c r="I300" s="154" t="s">
        <v>1415</v>
      </c>
      <c r="J300" s="154" t="s">
        <v>1416</v>
      </c>
      <c r="K300" s="154" t="s">
        <v>259</v>
      </c>
    </row>
    <row r="301">
      <c r="A301" s="154" t="s">
        <v>1412</v>
      </c>
      <c r="B301" s="154" t="s">
        <v>1413</v>
      </c>
      <c r="C301" s="155"/>
      <c r="D301" s="154">
        <v>2.0</v>
      </c>
      <c r="E301" s="154" t="s">
        <v>897</v>
      </c>
      <c r="F301" s="154" t="s">
        <v>1414</v>
      </c>
      <c r="G301" s="156">
        <v>0.0</v>
      </c>
      <c r="H301" s="156">
        <v>0.0</v>
      </c>
      <c r="I301" s="154" t="s">
        <v>1415</v>
      </c>
      <c r="J301" s="154" t="s">
        <v>1416</v>
      </c>
      <c r="K301" s="154" t="s">
        <v>259</v>
      </c>
    </row>
    <row r="302">
      <c r="A302" s="154" t="s">
        <v>1417</v>
      </c>
      <c r="B302" s="154" t="s">
        <v>1418</v>
      </c>
      <c r="C302" s="155"/>
      <c r="D302" s="154">
        <v>2.0</v>
      </c>
      <c r="E302" s="154" t="s">
        <v>897</v>
      </c>
      <c r="F302" s="154" t="s">
        <v>1419</v>
      </c>
      <c r="G302" s="154" t="s">
        <v>1420</v>
      </c>
      <c r="H302" s="156">
        <v>0.0</v>
      </c>
      <c r="I302" s="154" t="s">
        <v>1421</v>
      </c>
      <c r="J302" s="154" t="s">
        <v>1420</v>
      </c>
      <c r="K302" s="154" t="s">
        <v>1422</v>
      </c>
    </row>
    <row r="303">
      <c r="A303" s="154" t="s">
        <v>1417</v>
      </c>
      <c r="B303" s="155"/>
      <c r="C303" s="154" t="s">
        <v>1418</v>
      </c>
      <c r="D303" s="155"/>
      <c r="E303" s="155"/>
      <c r="F303" s="154" t="s">
        <v>1419</v>
      </c>
      <c r="G303" s="154" t="s">
        <v>1420</v>
      </c>
      <c r="H303" s="156">
        <v>0.0</v>
      </c>
      <c r="I303" s="154" t="s">
        <v>1421</v>
      </c>
      <c r="J303" s="154" t="s">
        <v>1420</v>
      </c>
      <c r="K303" s="154" t="s">
        <v>1422</v>
      </c>
    </row>
    <row r="304">
      <c r="A304" s="154" t="s">
        <v>1423</v>
      </c>
      <c r="B304" s="154" t="s">
        <v>1424</v>
      </c>
      <c r="C304" s="155"/>
      <c r="D304" s="154">
        <v>2.0</v>
      </c>
      <c r="E304" s="154" t="s">
        <v>897</v>
      </c>
      <c r="F304" s="154" t="s">
        <v>1425</v>
      </c>
      <c r="G304" s="154">
        <v>5.02932961E8</v>
      </c>
      <c r="H304" s="156">
        <v>0.0</v>
      </c>
      <c r="I304" s="156">
        <v>0.0</v>
      </c>
      <c r="J304" s="156">
        <v>0.0</v>
      </c>
      <c r="K304" s="154" t="s">
        <v>1426</v>
      </c>
    </row>
    <row r="305">
      <c r="A305" s="154" t="s">
        <v>1423</v>
      </c>
      <c r="B305" s="155"/>
      <c r="C305" s="154" t="s">
        <v>1424</v>
      </c>
      <c r="D305" s="155"/>
      <c r="E305" s="155"/>
      <c r="F305" s="154" t="s">
        <v>1425</v>
      </c>
      <c r="G305" s="154">
        <v>5.02932961E8</v>
      </c>
      <c r="H305" s="156">
        <v>0.0</v>
      </c>
      <c r="I305" s="156">
        <v>0.0</v>
      </c>
      <c r="J305" s="156">
        <v>0.0</v>
      </c>
      <c r="K305" s="154" t="s">
        <v>1426</v>
      </c>
    </row>
    <row r="306">
      <c r="A306" s="154" t="s">
        <v>1427</v>
      </c>
      <c r="B306" s="154" t="s">
        <v>1428</v>
      </c>
      <c r="C306" s="155"/>
      <c r="D306" s="154">
        <v>2.0</v>
      </c>
      <c r="E306" s="154" t="s">
        <v>897</v>
      </c>
      <c r="F306" s="154" t="s">
        <v>1429</v>
      </c>
      <c r="G306" s="154">
        <v>4.3911111E7</v>
      </c>
      <c r="H306" s="156">
        <v>0.0</v>
      </c>
      <c r="I306" s="154">
        <v>9.71558962282E11</v>
      </c>
      <c r="J306" s="156">
        <v>0.0</v>
      </c>
      <c r="K306" s="154" t="s">
        <v>259</v>
      </c>
    </row>
    <row r="307">
      <c r="A307" s="154" t="s">
        <v>1427</v>
      </c>
      <c r="B307" s="155"/>
      <c r="C307" s="154" t="s">
        <v>1428</v>
      </c>
      <c r="D307" s="155"/>
      <c r="E307" s="155"/>
      <c r="F307" s="154" t="s">
        <v>1429</v>
      </c>
      <c r="G307" s="154">
        <v>4.3911111E7</v>
      </c>
      <c r="H307" s="156">
        <v>0.0</v>
      </c>
      <c r="I307" s="154">
        <v>9.71558962282E11</v>
      </c>
      <c r="J307" s="156">
        <v>0.0</v>
      </c>
      <c r="K307" s="154" t="s">
        <v>259</v>
      </c>
    </row>
    <row r="308">
      <c r="A308" s="154" t="s">
        <v>1430</v>
      </c>
      <c r="B308" s="154" t="s">
        <v>1431</v>
      </c>
      <c r="C308" s="155"/>
      <c r="D308" s="154">
        <v>2.0</v>
      </c>
      <c r="E308" s="154" t="s">
        <v>897</v>
      </c>
      <c r="F308" s="154" t="s">
        <v>1432</v>
      </c>
      <c r="G308" s="156">
        <v>0.0</v>
      </c>
      <c r="H308" s="156">
        <v>0.0</v>
      </c>
      <c r="I308" s="154" t="s">
        <v>1433</v>
      </c>
      <c r="J308" s="156">
        <v>0.0</v>
      </c>
      <c r="K308" s="154" t="s">
        <v>259</v>
      </c>
    </row>
    <row r="309">
      <c r="A309" s="154" t="s">
        <v>1430</v>
      </c>
      <c r="B309" s="155"/>
      <c r="C309" s="154" t="s">
        <v>1431</v>
      </c>
      <c r="D309" s="155"/>
      <c r="E309" s="155"/>
      <c r="F309" s="154" t="s">
        <v>1432</v>
      </c>
      <c r="G309" s="156">
        <v>0.0</v>
      </c>
      <c r="H309" s="156">
        <v>0.0</v>
      </c>
      <c r="I309" s="154" t="s">
        <v>1433</v>
      </c>
      <c r="J309" s="156">
        <v>0.0</v>
      </c>
      <c r="K309" s="154" t="s">
        <v>259</v>
      </c>
    </row>
    <row r="310">
      <c r="A310" s="154" t="s">
        <v>1434</v>
      </c>
      <c r="B310" s="155"/>
      <c r="C310" s="154" t="s">
        <v>1435</v>
      </c>
      <c r="D310" s="155"/>
      <c r="E310" s="155"/>
      <c r="F310" s="154" t="s">
        <v>849</v>
      </c>
      <c r="G310" s="154" t="s">
        <v>850</v>
      </c>
      <c r="H310" s="154" t="s">
        <v>851</v>
      </c>
      <c r="I310" s="156">
        <v>0.0</v>
      </c>
      <c r="J310" s="156">
        <v>0.0</v>
      </c>
      <c r="K310" s="156">
        <v>0.0</v>
      </c>
    </row>
    <row r="311">
      <c r="A311" s="154" t="s">
        <v>1434</v>
      </c>
      <c r="B311" s="154" t="s">
        <v>1435</v>
      </c>
      <c r="C311" s="155"/>
      <c r="D311" s="154">
        <v>2.0</v>
      </c>
      <c r="E311" s="154" t="s">
        <v>897</v>
      </c>
      <c r="F311" s="154" t="s">
        <v>1436</v>
      </c>
      <c r="G311" s="156">
        <v>0.0</v>
      </c>
      <c r="H311" s="154" t="s">
        <v>1437</v>
      </c>
      <c r="I311" s="154" t="s">
        <v>1438</v>
      </c>
      <c r="J311" s="156">
        <v>0.0</v>
      </c>
      <c r="K311" s="154" t="s">
        <v>923</v>
      </c>
    </row>
    <row r="312">
      <c r="A312" s="154" t="s">
        <v>1439</v>
      </c>
      <c r="B312" s="154" t="s">
        <v>1440</v>
      </c>
      <c r="C312" s="155"/>
      <c r="D312" s="154">
        <v>2.0</v>
      </c>
      <c r="E312" s="154" t="s">
        <v>897</v>
      </c>
      <c r="F312" s="154" t="s">
        <v>1441</v>
      </c>
      <c r="G312" s="154">
        <v>4.26226E7</v>
      </c>
      <c r="H312" s="156">
        <v>0.0</v>
      </c>
      <c r="I312" s="154">
        <v>9.71559724329E11</v>
      </c>
      <c r="J312" s="156">
        <v>0.0</v>
      </c>
      <c r="K312" s="154" t="s">
        <v>818</v>
      </c>
    </row>
    <row r="313">
      <c r="A313" s="154" t="s">
        <v>1439</v>
      </c>
      <c r="B313" s="155"/>
      <c r="C313" s="154" t="s">
        <v>1440</v>
      </c>
      <c r="D313" s="155"/>
      <c r="E313" s="155"/>
      <c r="F313" s="154" t="s">
        <v>1442</v>
      </c>
      <c r="G313" s="154">
        <v>4.26226E7</v>
      </c>
      <c r="H313" s="156">
        <v>0.0</v>
      </c>
      <c r="I313" s="154">
        <v>9.71555422037E11</v>
      </c>
      <c r="J313" s="156">
        <v>0.0</v>
      </c>
      <c r="K313" s="154" t="s">
        <v>197</v>
      </c>
    </row>
    <row r="314">
      <c r="A314" s="154" t="s">
        <v>1443</v>
      </c>
      <c r="B314" s="155"/>
      <c r="C314" s="154" t="s">
        <v>1444</v>
      </c>
      <c r="D314" s="155"/>
      <c r="E314" s="155"/>
      <c r="F314" s="154" t="s">
        <v>1445</v>
      </c>
      <c r="G314" s="154">
        <v>4.4528118E7</v>
      </c>
      <c r="H314" s="156">
        <v>0.0</v>
      </c>
      <c r="I314" s="156">
        <v>0.0</v>
      </c>
      <c r="J314" s="156">
        <v>0.0</v>
      </c>
      <c r="K314" s="154" t="s">
        <v>1446</v>
      </c>
    </row>
    <row r="315">
      <c r="A315" s="154" t="s">
        <v>1443</v>
      </c>
      <c r="B315" s="154" t="s">
        <v>1444</v>
      </c>
      <c r="C315" s="155"/>
      <c r="D315" s="154">
        <v>2.0</v>
      </c>
      <c r="E315" s="154" t="s">
        <v>897</v>
      </c>
      <c r="F315" s="154" t="s">
        <v>1445</v>
      </c>
      <c r="G315" s="154">
        <v>4.4528118E7</v>
      </c>
      <c r="H315" s="156">
        <v>0.0</v>
      </c>
      <c r="I315" s="156">
        <v>0.0</v>
      </c>
      <c r="J315" s="156">
        <v>0.0</v>
      </c>
      <c r="K315" s="154" t="s">
        <v>1446</v>
      </c>
    </row>
    <row r="316">
      <c r="A316" s="154" t="s">
        <v>1447</v>
      </c>
      <c r="B316" s="155"/>
      <c r="C316" s="154" t="s">
        <v>1448</v>
      </c>
      <c r="D316" s="155"/>
      <c r="E316" s="155"/>
      <c r="F316" s="154" t="s">
        <v>1349</v>
      </c>
      <c r="G316" s="156">
        <v>0.0</v>
      </c>
      <c r="H316" s="154" t="s">
        <v>1185</v>
      </c>
      <c r="I316" s="154" t="s">
        <v>1350</v>
      </c>
      <c r="J316" s="154" t="s">
        <v>1351</v>
      </c>
      <c r="K316" s="154" t="s">
        <v>846</v>
      </c>
    </row>
    <row r="317">
      <c r="A317" s="154" t="s">
        <v>1447</v>
      </c>
      <c r="B317" s="154" t="s">
        <v>1448</v>
      </c>
      <c r="C317" s="155"/>
      <c r="D317" s="154">
        <v>2.0</v>
      </c>
      <c r="E317" s="154" t="s">
        <v>897</v>
      </c>
      <c r="F317" s="154" t="s">
        <v>1352</v>
      </c>
      <c r="G317" s="154" t="s">
        <v>1353</v>
      </c>
      <c r="H317" s="154" t="s">
        <v>1354</v>
      </c>
      <c r="I317" s="154" t="s">
        <v>1355</v>
      </c>
      <c r="J317" s="154" t="s">
        <v>1356</v>
      </c>
      <c r="K317" s="154" t="s">
        <v>846</v>
      </c>
    </row>
    <row r="318">
      <c r="A318" s="154" t="s">
        <v>1449</v>
      </c>
      <c r="B318" s="154" t="s">
        <v>1450</v>
      </c>
      <c r="C318" s="155"/>
      <c r="D318" s="154">
        <v>2.0</v>
      </c>
      <c r="E318" s="154" t="s">
        <v>897</v>
      </c>
      <c r="F318" s="154" t="s">
        <v>1451</v>
      </c>
      <c r="G318" s="156">
        <v>0.0</v>
      </c>
      <c r="H318" s="156">
        <v>0.0</v>
      </c>
      <c r="I318" s="154" t="s">
        <v>1452</v>
      </c>
      <c r="J318" s="154" t="s">
        <v>1453</v>
      </c>
      <c r="K318" s="154" t="s">
        <v>361</v>
      </c>
    </row>
    <row r="319">
      <c r="A319" s="154" t="s">
        <v>1449</v>
      </c>
      <c r="B319" s="155"/>
      <c r="C319" s="154" t="s">
        <v>1450</v>
      </c>
      <c r="D319" s="155"/>
      <c r="E319" s="155"/>
      <c r="F319" s="154" t="s">
        <v>1451</v>
      </c>
      <c r="G319" s="156">
        <v>0.0</v>
      </c>
      <c r="H319" s="156">
        <v>0.0</v>
      </c>
      <c r="I319" s="154" t="s">
        <v>1452</v>
      </c>
      <c r="J319" s="154" t="s">
        <v>1453</v>
      </c>
      <c r="K319" s="154" t="s">
        <v>361</v>
      </c>
    </row>
    <row r="320">
      <c r="A320" s="154" t="s">
        <v>1454</v>
      </c>
      <c r="B320" s="155"/>
      <c r="C320" s="154" t="s">
        <v>1455</v>
      </c>
      <c r="D320" s="155"/>
      <c r="E320" s="155"/>
      <c r="F320" s="154" t="s">
        <v>1456</v>
      </c>
      <c r="G320" s="154">
        <v>4.4576829E7</v>
      </c>
      <c r="H320" s="154" t="s">
        <v>1457</v>
      </c>
      <c r="I320" s="155">
        <f t="shared" ref="I320:I321" si="2">+9714576829</f>
        <v>9714576829</v>
      </c>
      <c r="J320" s="156">
        <v>0.0</v>
      </c>
      <c r="K320" s="154" t="s">
        <v>329</v>
      </c>
    </row>
    <row r="321">
      <c r="A321" s="154" t="s">
        <v>1454</v>
      </c>
      <c r="B321" s="154" t="s">
        <v>1455</v>
      </c>
      <c r="C321" s="155"/>
      <c r="D321" s="154">
        <v>2.0</v>
      </c>
      <c r="E321" s="154" t="s">
        <v>897</v>
      </c>
      <c r="F321" s="154" t="s">
        <v>1456</v>
      </c>
      <c r="G321" s="154">
        <v>4.4576829E7</v>
      </c>
      <c r="H321" s="154" t="s">
        <v>1457</v>
      </c>
      <c r="I321" s="155">
        <f t="shared" si="2"/>
        <v>9714576829</v>
      </c>
      <c r="J321" s="156">
        <v>0.0</v>
      </c>
      <c r="K321" s="154" t="s">
        <v>329</v>
      </c>
    </row>
    <row r="322">
      <c r="A322" s="154" t="s">
        <v>1458</v>
      </c>
      <c r="B322" s="154" t="s">
        <v>1459</v>
      </c>
      <c r="C322" s="155"/>
      <c r="D322" s="154">
        <v>2.0</v>
      </c>
      <c r="E322" s="154" t="s">
        <v>897</v>
      </c>
      <c r="F322" s="154" t="s">
        <v>1460</v>
      </c>
      <c r="G322" s="154">
        <v>4.3911111E7</v>
      </c>
      <c r="H322" s="156">
        <v>0.0</v>
      </c>
      <c r="I322" s="154">
        <v>9.7155501248E11</v>
      </c>
      <c r="J322" s="156">
        <v>0.0</v>
      </c>
      <c r="K322" s="154" t="s">
        <v>1461</v>
      </c>
    </row>
    <row r="323">
      <c r="A323" s="154" t="s">
        <v>1458</v>
      </c>
      <c r="B323" s="155"/>
      <c r="C323" s="154" t="s">
        <v>1459</v>
      </c>
      <c r="D323" s="155"/>
      <c r="E323" s="155"/>
      <c r="F323" s="154" t="s">
        <v>1460</v>
      </c>
      <c r="G323" s="154">
        <v>4.3911111E7</v>
      </c>
      <c r="H323" s="156">
        <v>0.0</v>
      </c>
      <c r="I323" s="154">
        <v>9.7155501248E11</v>
      </c>
      <c r="J323" s="156">
        <v>0.0</v>
      </c>
      <c r="K323" s="154" t="s">
        <v>1461</v>
      </c>
    </row>
    <row r="324">
      <c r="A324" s="154" t="s">
        <v>1462</v>
      </c>
      <c r="B324" s="154" t="s">
        <v>1463</v>
      </c>
      <c r="D324" s="154">
        <v>2.0</v>
      </c>
      <c r="E324" s="154" t="s">
        <v>761</v>
      </c>
      <c r="F324" s="154" t="s">
        <v>1464</v>
      </c>
      <c r="G324" s="156">
        <v>0.0</v>
      </c>
      <c r="H324" s="156">
        <v>0.0</v>
      </c>
      <c r="I324" s="154">
        <v>9.71552220818E11</v>
      </c>
      <c r="J324" s="156">
        <v>0.0</v>
      </c>
      <c r="K324" s="154" t="s">
        <v>1465</v>
      </c>
    </row>
    <row r="325">
      <c r="A325" s="154" t="s">
        <v>1462</v>
      </c>
      <c r="B325" s="155"/>
      <c r="C325" s="154" t="s">
        <v>1463</v>
      </c>
      <c r="D325" s="155"/>
      <c r="E325" s="155"/>
      <c r="F325" s="154" t="s">
        <v>1157</v>
      </c>
      <c r="G325" s="154" t="s">
        <v>1158</v>
      </c>
      <c r="H325" s="154" t="s">
        <v>1159</v>
      </c>
      <c r="I325" s="156">
        <v>0.0</v>
      </c>
      <c r="J325" s="156">
        <v>0.0</v>
      </c>
      <c r="K325" s="156">
        <v>0.0</v>
      </c>
    </row>
    <row r="326">
      <c r="A326" s="154" t="s">
        <v>1466</v>
      </c>
      <c r="B326" s="154" t="s">
        <v>1467</v>
      </c>
      <c r="D326" s="154">
        <v>2.0</v>
      </c>
      <c r="E326" s="154" t="s">
        <v>761</v>
      </c>
      <c r="F326" s="154" t="s">
        <v>1468</v>
      </c>
      <c r="G326" s="154" t="s">
        <v>809</v>
      </c>
      <c r="H326" s="154" t="s">
        <v>1469</v>
      </c>
      <c r="I326" s="154" t="s">
        <v>1470</v>
      </c>
      <c r="J326" s="156">
        <v>0.0</v>
      </c>
      <c r="K326" s="154" t="s">
        <v>361</v>
      </c>
    </row>
    <row r="327">
      <c r="A327" s="154" t="s">
        <v>1466</v>
      </c>
      <c r="B327" s="155"/>
      <c r="C327" s="154" t="s">
        <v>1467</v>
      </c>
      <c r="D327" s="155"/>
      <c r="E327" s="155"/>
      <c r="F327" s="154" t="s">
        <v>1468</v>
      </c>
      <c r="G327" s="154" t="s">
        <v>809</v>
      </c>
      <c r="H327" s="154" t="s">
        <v>1469</v>
      </c>
      <c r="I327" s="154" t="s">
        <v>1470</v>
      </c>
      <c r="J327" s="156">
        <v>0.0</v>
      </c>
      <c r="K327" s="154" t="s">
        <v>361</v>
      </c>
    </row>
    <row r="328">
      <c r="A328" s="154" t="s">
        <v>1471</v>
      </c>
      <c r="B328" s="154" t="s">
        <v>1472</v>
      </c>
      <c r="D328" s="154">
        <v>2.0</v>
      </c>
      <c r="E328" s="154" t="s">
        <v>761</v>
      </c>
      <c r="F328" s="154" t="s">
        <v>1473</v>
      </c>
      <c r="G328" s="154">
        <v>4.2146052E7</v>
      </c>
      <c r="H328" s="156">
        <v>0.0</v>
      </c>
      <c r="I328" s="154">
        <v>5.05080226E8</v>
      </c>
      <c r="J328" s="156">
        <v>0.0</v>
      </c>
      <c r="K328" s="154" t="s">
        <v>1474</v>
      </c>
    </row>
    <row r="329">
      <c r="A329" s="154" t="s">
        <v>1471</v>
      </c>
      <c r="B329" s="155"/>
      <c r="C329" s="154" t="s">
        <v>1472</v>
      </c>
      <c r="D329" s="155"/>
      <c r="E329" s="155"/>
      <c r="F329" s="154" t="s">
        <v>792</v>
      </c>
      <c r="G329" s="154" t="s">
        <v>793</v>
      </c>
      <c r="H329" s="154" t="s">
        <v>794</v>
      </c>
      <c r="I329" s="156">
        <v>0.0</v>
      </c>
      <c r="J329" s="156">
        <v>0.0</v>
      </c>
      <c r="K329" s="156">
        <v>0.0</v>
      </c>
    </row>
    <row r="330">
      <c r="A330" s="154" t="s">
        <v>1475</v>
      </c>
      <c r="B330" s="155"/>
      <c r="C330" s="154" t="s">
        <v>1476</v>
      </c>
      <c r="D330" s="155"/>
      <c r="E330" s="155"/>
      <c r="F330" s="154" t="s">
        <v>1477</v>
      </c>
      <c r="G330" s="156">
        <v>0.0</v>
      </c>
      <c r="H330" s="156">
        <v>0.0</v>
      </c>
      <c r="I330" s="154">
        <v>5.0645124E8</v>
      </c>
      <c r="J330" s="156">
        <v>0.0</v>
      </c>
      <c r="K330" s="154" t="s">
        <v>776</v>
      </c>
    </row>
    <row r="331">
      <c r="A331" s="154" t="s">
        <v>1475</v>
      </c>
      <c r="B331" s="154" t="s">
        <v>1476</v>
      </c>
      <c r="D331" s="154">
        <v>2.0</v>
      </c>
      <c r="E331" s="154" t="s">
        <v>761</v>
      </c>
      <c r="F331" s="154" t="s">
        <v>1477</v>
      </c>
      <c r="G331" s="156">
        <v>0.0</v>
      </c>
      <c r="H331" s="156">
        <v>0.0</v>
      </c>
      <c r="I331" s="154">
        <v>5.0645124E8</v>
      </c>
      <c r="J331" s="156">
        <v>0.0</v>
      </c>
      <c r="K331" s="154" t="s">
        <v>776</v>
      </c>
    </row>
    <row r="332">
      <c r="A332" s="154" t="s">
        <v>1478</v>
      </c>
      <c r="B332" s="154" t="s">
        <v>1479</v>
      </c>
      <c r="D332" s="154">
        <v>2.0</v>
      </c>
      <c r="E332" s="154" t="s">
        <v>761</v>
      </c>
      <c r="F332" s="154" t="s">
        <v>804</v>
      </c>
      <c r="G332" s="154" t="s">
        <v>805</v>
      </c>
      <c r="H332" s="156">
        <v>0.0</v>
      </c>
      <c r="I332" s="154">
        <v>9.71506443085E11</v>
      </c>
      <c r="J332" s="156">
        <v>0.0</v>
      </c>
      <c r="K332" s="154" t="s">
        <v>776</v>
      </c>
    </row>
    <row r="333">
      <c r="A333" s="154" t="s">
        <v>1478</v>
      </c>
      <c r="B333" s="155"/>
      <c r="C333" s="154" t="s">
        <v>1479</v>
      </c>
      <c r="D333" s="155"/>
      <c r="E333" s="155"/>
      <c r="F333" s="154" t="s">
        <v>804</v>
      </c>
      <c r="G333" s="154" t="s">
        <v>805</v>
      </c>
      <c r="H333" s="156">
        <v>0.0</v>
      </c>
      <c r="I333" s="154">
        <v>9.71506443085E11</v>
      </c>
      <c r="J333" s="156">
        <v>0.0</v>
      </c>
      <c r="K333" s="154" t="s">
        <v>776</v>
      </c>
    </row>
    <row r="334">
      <c r="A334" s="154" t="s">
        <v>1480</v>
      </c>
      <c r="B334" s="155"/>
      <c r="C334" s="154" t="s">
        <v>1481</v>
      </c>
      <c r="D334" s="155"/>
      <c r="E334" s="155"/>
      <c r="F334" s="154" t="s">
        <v>1482</v>
      </c>
      <c r="G334" s="156">
        <v>0.0</v>
      </c>
      <c r="H334" s="154" t="s">
        <v>1483</v>
      </c>
      <c r="I334" s="154" t="s">
        <v>1484</v>
      </c>
      <c r="J334" s="154" t="s">
        <v>1485</v>
      </c>
      <c r="K334" s="154" t="s">
        <v>259</v>
      </c>
    </row>
    <row r="335">
      <c r="A335" s="154" t="s">
        <v>1480</v>
      </c>
      <c r="B335" s="154" t="s">
        <v>1481</v>
      </c>
      <c r="D335" s="154">
        <v>2.0</v>
      </c>
      <c r="E335" s="154" t="s">
        <v>761</v>
      </c>
      <c r="F335" s="154" t="s">
        <v>1486</v>
      </c>
      <c r="G335" s="156">
        <v>0.0</v>
      </c>
      <c r="H335" s="154" t="s">
        <v>1483</v>
      </c>
      <c r="I335" s="154" t="s">
        <v>1484</v>
      </c>
      <c r="J335" s="154" t="s">
        <v>1485</v>
      </c>
      <c r="K335" s="154" t="s">
        <v>259</v>
      </c>
    </row>
    <row r="336">
      <c r="A336" s="154" t="s">
        <v>1487</v>
      </c>
      <c r="B336" s="155"/>
      <c r="C336" s="154" t="s">
        <v>1488</v>
      </c>
      <c r="D336" s="155"/>
      <c r="E336" s="155"/>
      <c r="F336" s="154" t="s">
        <v>1489</v>
      </c>
      <c r="G336" s="154">
        <v>0.0</v>
      </c>
      <c r="H336" s="156">
        <v>0.0</v>
      </c>
      <c r="I336" s="154">
        <v>9.71504548194E11</v>
      </c>
      <c r="J336" s="156">
        <v>0.0</v>
      </c>
      <c r="K336" s="154" t="s">
        <v>1490</v>
      </c>
    </row>
    <row r="337">
      <c r="A337" s="154" t="s">
        <v>1487</v>
      </c>
      <c r="B337" s="154" t="s">
        <v>1488</v>
      </c>
      <c r="D337" s="154">
        <v>2.0</v>
      </c>
      <c r="E337" s="154" t="s">
        <v>761</v>
      </c>
      <c r="F337" s="154" t="s">
        <v>1489</v>
      </c>
      <c r="G337" s="154">
        <v>0.0</v>
      </c>
      <c r="H337" s="156">
        <v>0.0</v>
      </c>
      <c r="I337" s="154">
        <v>9.71504548194E11</v>
      </c>
      <c r="J337" s="156">
        <v>0.0</v>
      </c>
      <c r="K337" s="154" t="s">
        <v>1490</v>
      </c>
    </row>
    <row r="338">
      <c r="A338" s="154" t="s">
        <v>1491</v>
      </c>
      <c r="B338" s="154" t="s">
        <v>1492</v>
      </c>
      <c r="D338" s="154">
        <v>2.0</v>
      </c>
      <c r="E338" s="154" t="s">
        <v>761</v>
      </c>
      <c r="F338" s="154" t="s">
        <v>1493</v>
      </c>
      <c r="G338" s="156">
        <v>0.0</v>
      </c>
      <c r="H338" s="156">
        <v>0.0</v>
      </c>
      <c r="I338" s="154" t="s">
        <v>1494</v>
      </c>
      <c r="J338" s="156">
        <v>0.0</v>
      </c>
      <c r="K338" s="154" t="s">
        <v>301</v>
      </c>
    </row>
    <row r="339">
      <c r="A339" s="154" t="s">
        <v>1491</v>
      </c>
      <c r="B339" s="155"/>
      <c r="C339" s="154" t="s">
        <v>1492</v>
      </c>
      <c r="D339" s="155"/>
      <c r="E339" s="155"/>
      <c r="F339" s="154" t="s">
        <v>1493</v>
      </c>
      <c r="G339" s="156">
        <v>0.0</v>
      </c>
      <c r="H339" s="156">
        <v>0.0</v>
      </c>
      <c r="I339" s="154" t="s">
        <v>1494</v>
      </c>
      <c r="J339" s="156">
        <v>0.0</v>
      </c>
      <c r="K339" s="154" t="s">
        <v>301</v>
      </c>
    </row>
    <row r="340">
      <c r="A340" s="154" t="s">
        <v>1495</v>
      </c>
      <c r="B340" s="155"/>
      <c r="C340" s="154" t="s">
        <v>1496</v>
      </c>
      <c r="D340" s="155"/>
      <c r="E340" s="155"/>
      <c r="F340" s="154" t="s">
        <v>1497</v>
      </c>
      <c r="G340" s="154">
        <v>5.28007477E8</v>
      </c>
      <c r="H340" s="156">
        <v>0.0</v>
      </c>
      <c r="I340" s="156">
        <v>0.0</v>
      </c>
      <c r="J340" s="156">
        <v>0.0</v>
      </c>
      <c r="K340" s="154" t="s">
        <v>1446</v>
      </c>
    </row>
    <row r="341">
      <c r="A341" s="154" t="s">
        <v>1495</v>
      </c>
      <c r="B341" s="154" t="s">
        <v>1496</v>
      </c>
      <c r="D341" s="154">
        <v>2.0</v>
      </c>
      <c r="E341" s="154" t="s">
        <v>761</v>
      </c>
      <c r="F341" s="154" t="s">
        <v>1497</v>
      </c>
      <c r="G341" s="154">
        <v>5.28007477E8</v>
      </c>
      <c r="H341" s="156">
        <v>0.0</v>
      </c>
      <c r="I341" s="156">
        <v>0.0</v>
      </c>
      <c r="J341" s="156">
        <v>0.0</v>
      </c>
      <c r="K341" s="154" t="s">
        <v>1446</v>
      </c>
    </row>
    <row r="342">
      <c r="A342" s="154" t="s">
        <v>1498</v>
      </c>
      <c r="B342" s="154" t="s">
        <v>1499</v>
      </c>
      <c r="D342" s="154">
        <v>2.0</v>
      </c>
      <c r="E342" s="154" t="s">
        <v>761</v>
      </c>
      <c r="F342" s="154" t="s">
        <v>1500</v>
      </c>
      <c r="G342" s="156">
        <v>0.0</v>
      </c>
      <c r="H342" s="156">
        <v>0.0</v>
      </c>
      <c r="I342" s="154" t="s">
        <v>1501</v>
      </c>
      <c r="J342" s="156">
        <v>0.0</v>
      </c>
      <c r="K342" s="154" t="s">
        <v>207</v>
      </c>
    </row>
    <row r="343">
      <c r="A343" s="154" t="s">
        <v>1498</v>
      </c>
      <c r="B343" s="155"/>
      <c r="C343" s="154" t="s">
        <v>1499</v>
      </c>
      <c r="D343" s="155"/>
      <c r="E343" s="155"/>
      <c r="F343" s="154" t="s">
        <v>1500</v>
      </c>
      <c r="G343" s="156">
        <v>0.0</v>
      </c>
      <c r="H343" s="156">
        <v>0.0</v>
      </c>
      <c r="I343" s="154" t="s">
        <v>1501</v>
      </c>
      <c r="J343" s="156">
        <v>0.0</v>
      </c>
      <c r="K343" s="154" t="s">
        <v>207</v>
      </c>
    </row>
    <row r="344">
      <c r="A344" s="154" t="s">
        <v>1502</v>
      </c>
      <c r="B344" s="154" t="s">
        <v>1503</v>
      </c>
      <c r="D344" s="154">
        <v>2.0</v>
      </c>
      <c r="E344" s="154" t="s">
        <v>761</v>
      </c>
      <c r="F344" s="154" t="s">
        <v>1500</v>
      </c>
      <c r="G344" s="156">
        <v>0.0</v>
      </c>
      <c r="H344" s="156">
        <v>0.0</v>
      </c>
      <c r="I344" s="154" t="s">
        <v>1501</v>
      </c>
      <c r="J344" s="156">
        <v>0.0</v>
      </c>
      <c r="K344" s="154" t="s">
        <v>207</v>
      </c>
    </row>
    <row r="345">
      <c r="A345" s="154" t="s">
        <v>1502</v>
      </c>
      <c r="B345" s="155"/>
      <c r="C345" s="154" t="s">
        <v>1503</v>
      </c>
      <c r="D345" s="155"/>
      <c r="E345" s="155"/>
      <c r="F345" s="154" t="s">
        <v>1500</v>
      </c>
      <c r="G345" s="156">
        <v>0.0</v>
      </c>
      <c r="H345" s="156">
        <v>0.0</v>
      </c>
      <c r="I345" s="154" t="s">
        <v>1501</v>
      </c>
      <c r="J345" s="156">
        <v>0.0</v>
      </c>
      <c r="K345" s="154" t="s">
        <v>207</v>
      </c>
    </row>
    <row r="346">
      <c r="A346" s="154" t="s">
        <v>1504</v>
      </c>
      <c r="B346" s="154" t="s">
        <v>1505</v>
      </c>
      <c r="D346" s="154">
        <v>2.0</v>
      </c>
      <c r="E346" s="154" t="s">
        <v>761</v>
      </c>
      <c r="F346" s="154" t="s">
        <v>792</v>
      </c>
      <c r="G346" s="154" t="s">
        <v>793</v>
      </c>
      <c r="H346" s="154" t="s">
        <v>794</v>
      </c>
      <c r="I346" s="156">
        <v>0.0</v>
      </c>
      <c r="J346" s="156">
        <v>0.0</v>
      </c>
      <c r="K346" s="156">
        <v>0.0</v>
      </c>
    </row>
    <row r="347">
      <c r="A347" s="154" t="s">
        <v>1504</v>
      </c>
      <c r="B347" s="155"/>
      <c r="C347" s="154" t="s">
        <v>1505</v>
      </c>
      <c r="D347" s="155"/>
      <c r="E347" s="155"/>
      <c r="F347" s="154" t="s">
        <v>1506</v>
      </c>
      <c r="G347" s="154">
        <v>9.7145062702E10</v>
      </c>
      <c r="H347" s="156">
        <v>0.0</v>
      </c>
      <c r="I347" s="154">
        <v>9.71506514833E11</v>
      </c>
      <c r="J347" s="156">
        <v>0.0</v>
      </c>
      <c r="K347" s="154" t="s">
        <v>259</v>
      </c>
    </row>
    <row r="348">
      <c r="A348" s="154" t="s">
        <v>1507</v>
      </c>
      <c r="B348" s="154" t="s">
        <v>1508</v>
      </c>
      <c r="D348" s="154">
        <v>2.0</v>
      </c>
      <c r="E348" s="154" t="s">
        <v>761</v>
      </c>
      <c r="F348" s="154" t="s">
        <v>1509</v>
      </c>
      <c r="G348" s="156">
        <v>0.0</v>
      </c>
      <c r="H348" s="156">
        <v>0.0</v>
      </c>
      <c r="I348" s="154" t="s">
        <v>1510</v>
      </c>
      <c r="J348" s="156">
        <v>0.0</v>
      </c>
      <c r="K348" s="154" t="s">
        <v>760</v>
      </c>
    </row>
    <row r="349">
      <c r="A349" s="154" t="s">
        <v>1507</v>
      </c>
      <c r="B349" s="155"/>
      <c r="C349" s="154" t="s">
        <v>1508</v>
      </c>
      <c r="D349" s="155"/>
      <c r="E349" s="155"/>
      <c r="F349" s="154" t="s">
        <v>1511</v>
      </c>
      <c r="G349" s="156">
        <v>0.0</v>
      </c>
      <c r="H349" s="156">
        <v>0.0</v>
      </c>
      <c r="I349" s="154" t="s">
        <v>1512</v>
      </c>
      <c r="J349" s="156">
        <v>0.0</v>
      </c>
      <c r="K349" s="154" t="s">
        <v>760</v>
      </c>
    </row>
    <row r="350">
      <c r="A350" s="154" t="s">
        <v>1513</v>
      </c>
      <c r="B350" s="155"/>
      <c r="C350" s="154" t="s">
        <v>1514</v>
      </c>
      <c r="D350" s="155"/>
      <c r="E350" s="155"/>
      <c r="F350" s="154" t="s">
        <v>1515</v>
      </c>
      <c r="G350" s="154" t="s">
        <v>1516</v>
      </c>
      <c r="H350" s="154" t="s">
        <v>1517</v>
      </c>
      <c r="I350" s="154" t="s">
        <v>1518</v>
      </c>
      <c r="J350" s="154" t="s">
        <v>1516</v>
      </c>
      <c r="K350" s="154" t="s">
        <v>1059</v>
      </c>
    </row>
    <row r="351">
      <c r="A351" s="154" t="s">
        <v>1513</v>
      </c>
      <c r="B351" s="154" t="s">
        <v>1514</v>
      </c>
      <c r="D351" s="154">
        <v>2.0</v>
      </c>
      <c r="E351" s="154" t="s">
        <v>761</v>
      </c>
      <c r="F351" s="154" t="s">
        <v>1515</v>
      </c>
      <c r="G351" s="154" t="s">
        <v>1516</v>
      </c>
      <c r="H351" s="154" t="s">
        <v>1517</v>
      </c>
      <c r="I351" s="154" t="s">
        <v>1518</v>
      </c>
      <c r="J351" s="154" t="s">
        <v>1516</v>
      </c>
      <c r="K351" s="154" t="s">
        <v>1059</v>
      </c>
    </row>
    <row r="352">
      <c r="A352" s="154" t="s">
        <v>1519</v>
      </c>
      <c r="B352" s="154" t="s">
        <v>1520</v>
      </c>
      <c r="D352" s="154">
        <v>2.0</v>
      </c>
      <c r="E352" s="154" t="s">
        <v>761</v>
      </c>
      <c r="F352" s="154" t="s">
        <v>1521</v>
      </c>
      <c r="G352" s="156">
        <v>0.0</v>
      </c>
      <c r="H352" s="156">
        <v>0.0</v>
      </c>
      <c r="I352" s="154" t="s">
        <v>1522</v>
      </c>
      <c r="J352" s="154" t="s">
        <v>1523</v>
      </c>
      <c r="K352" s="154" t="s">
        <v>361</v>
      </c>
    </row>
    <row r="353">
      <c r="A353" s="154" t="s">
        <v>1519</v>
      </c>
      <c r="B353" s="155"/>
      <c r="C353" s="154" t="s">
        <v>1520</v>
      </c>
      <c r="D353" s="155"/>
      <c r="E353" s="155"/>
      <c r="F353" s="154" t="s">
        <v>1521</v>
      </c>
      <c r="G353" s="156">
        <v>0.0</v>
      </c>
      <c r="H353" s="156">
        <v>0.0</v>
      </c>
      <c r="I353" s="154" t="s">
        <v>1522</v>
      </c>
      <c r="J353" s="154" t="s">
        <v>1523</v>
      </c>
      <c r="K353" s="154" t="s">
        <v>361</v>
      </c>
    </row>
    <row r="354">
      <c r="A354" s="154" t="s">
        <v>1524</v>
      </c>
      <c r="B354" s="155"/>
      <c r="C354" s="154" t="s">
        <v>1525</v>
      </c>
      <c r="D354" s="155"/>
      <c r="E354" s="155"/>
      <c r="F354" s="154" t="s">
        <v>1526</v>
      </c>
      <c r="G354" s="156">
        <v>0.0</v>
      </c>
      <c r="H354" s="154" t="s">
        <v>1527</v>
      </c>
      <c r="I354" s="154" t="s">
        <v>1528</v>
      </c>
      <c r="J354" s="156">
        <v>0.0</v>
      </c>
      <c r="K354" s="154" t="s">
        <v>776</v>
      </c>
    </row>
    <row r="355">
      <c r="A355" s="154" t="s">
        <v>1524</v>
      </c>
      <c r="B355" s="154" t="s">
        <v>1525</v>
      </c>
      <c r="D355" s="154">
        <v>2.0</v>
      </c>
      <c r="E355" s="154" t="s">
        <v>761</v>
      </c>
      <c r="F355" s="154" t="s">
        <v>1526</v>
      </c>
      <c r="G355" s="156">
        <v>0.0</v>
      </c>
      <c r="H355" s="154" t="s">
        <v>1527</v>
      </c>
      <c r="I355" s="154" t="s">
        <v>1528</v>
      </c>
      <c r="J355" s="156">
        <v>0.0</v>
      </c>
      <c r="K355" s="154" t="s">
        <v>776</v>
      </c>
    </row>
    <row r="356">
      <c r="A356" s="154" t="s">
        <v>1529</v>
      </c>
      <c r="B356" s="155"/>
      <c r="C356" s="154" t="s">
        <v>1530</v>
      </c>
      <c r="D356" s="155"/>
      <c r="E356" s="155"/>
      <c r="F356" s="154" t="s">
        <v>1531</v>
      </c>
      <c r="G356" s="154">
        <v>9.71505594425E11</v>
      </c>
      <c r="H356" s="156">
        <v>0.0</v>
      </c>
      <c r="I356" s="154">
        <v>9.71505594425E11</v>
      </c>
      <c r="J356" s="156">
        <v>0.0</v>
      </c>
      <c r="K356" s="154" t="s">
        <v>361</v>
      </c>
    </row>
    <row r="357">
      <c r="A357" s="154" t="s">
        <v>1529</v>
      </c>
      <c r="B357" s="154" t="s">
        <v>1530</v>
      </c>
      <c r="D357" s="154">
        <v>2.0</v>
      </c>
      <c r="E357" s="154" t="s">
        <v>761</v>
      </c>
      <c r="F357" s="154" t="s">
        <v>1532</v>
      </c>
      <c r="G357" s="154">
        <v>9.71442745E10</v>
      </c>
      <c r="H357" s="156">
        <v>0.0</v>
      </c>
      <c r="I357" s="156">
        <v>0.0</v>
      </c>
      <c r="J357" s="156">
        <v>0.0</v>
      </c>
      <c r="K357" s="154" t="s">
        <v>361</v>
      </c>
    </row>
    <row r="358">
      <c r="A358" s="154" t="s">
        <v>1533</v>
      </c>
      <c r="B358" s="154" t="s">
        <v>1534</v>
      </c>
      <c r="D358" s="154">
        <v>2.0</v>
      </c>
      <c r="E358" s="154" t="s">
        <v>761</v>
      </c>
      <c r="F358" s="154" t="s">
        <v>1535</v>
      </c>
      <c r="G358" s="154">
        <v>4.0</v>
      </c>
      <c r="H358" s="156">
        <v>0.0</v>
      </c>
      <c r="I358" s="154">
        <v>1.0</v>
      </c>
      <c r="J358" s="156">
        <v>0.0</v>
      </c>
      <c r="K358" s="154" t="s">
        <v>301</v>
      </c>
    </row>
    <row r="359">
      <c r="A359" s="154" t="s">
        <v>1533</v>
      </c>
      <c r="B359" s="155"/>
      <c r="C359" s="154" t="s">
        <v>1534</v>
      </c>
      <c r="D359" s="155"/>
      <c r="E359" s="155"/>
      <c r="F359" s="154" t="s">
        <v>1536</v>
      </c>
      <c r="G359" s="154">
        <v>3338111.0</v>
      </c>
      <c r="H359" s="156">
        <v>0.0</v>
      </c>
      <c r="I359" s="154">
        <v>1.0</v>
      </c>
      <c r="J359" s="156">
        <v>0.0</v>
      </c>
      <c r="K359" s="154" t="s">
        <v>1537</v>
      </c>
    </row>
    <row r="360">
      <c r="A360" s="154" t="s">
        <v>1538</v>
      </c>
      <c r="B360" s="155"/>
      <c r="C360" s="154" t="s">
        <v>1539</v>
      </c>
      <c r="D360" s="155"/>
      <c r="E360" s="155"/>
      <c r="F360" s="154" t="s">
        <v>1078</v>
      </c>
      <c r="G360" s="156">
        <v>0.0</v>
      </c>
      <c r="H360" s="154" t="s">
        <v>1079</v>
      </c>
      <c r="I360" s="154" t="s">
        <v>1080</v>
      </c>
      <c r="J360" s="154" t="s">
        <v>1081</v>
      </c>
      <c r="K360" s="154" t="s">
        <v>259</v>
      </c>
    </row>
    <row r="361">
      <c r="A361" s="154" t="s">
        <v>1538</v>
      </c>
      <c r="B361" s="154" t="s">
        <v>1539</v>
      </c>
      <c r="D361" s="154">
        <v>2.0</v>
      </c>
      <c r="E361" s="154" t="s">
        <v>761</v>
      </c>
      <c r="F361" s="154" t="s">
        <v>1078</v>
      </c>
      <c r="G361" s="156">
        <v>0.0</v>
      </c>
      <c r="H361" s="154" t="s">
        <v>1079</v>
      </c>
      <c r="I361" s="154" t="s">
        <v>1080</v>
      </c>
      <c r="J361" s="154" t="s">
        <v>1081</v>
      </c>
      <c r="K361" s="154" t="s">
        <v>259</v>
      </c>
    </row>
    <row r="362">
      <c r="A362" s="154" t="s">
        <v>1540</v>
      </c>
      <c r="B362" s="154" t="s">
        <v>1541</v>
      </c>
      <c r="D362" s="154">
        <v>2.0</v>
      </c>
      <c r="E362" s="154" t="s">
        <v>761</v>
      </c>
      <c r="F362" s="154" t="s">
        <v>1542</v>
      </c>
      <c r="G362" s="154" t="s">
        <v>809</v>
      </c>
      <c r="H362" s="154" t="s">
        <v>1543</v>
      </c>
      <c r="I362" s="154" t="s">
        <v>1544</v>
      </c>
      <c r="J362" s="156">
        <v>0.0</v>
      </c>
      <c r="K362" s="154" t="s">
        <v>760</v>
      </c>
    </row>
    <row r="363">
      <c r="A363" s="154" t="s">
        <v>1540</v>
      </c>
      <c r="B363" s="155"/>
      <c r="C363" s="154" t="s">
        <v>1541</v>
      </c>
      <c r="D363" s="155"/>
      <c r="E363" s="155"/>
      <c r="F363" s="154" t="s">
        <v>1542</v>
      </c>
      <c r="G363" s="154" t="s">
        <v>809</v>
      </c>
      <c r="H363" s="154" t="s">
        <v>1543</v>
      </c>
      <c r="I363" s="154" t="s">
        <v>1544</v>
      </c>
      <c r="J363" s="156">
        <v>0.0</v>
      </c>
      <c r="K363" s="154" t="s">
        <v>760</v>
      </c>
    </row>
    <row r="364">
      <c r="A364" s="154" t="s">
        <v>1545</v>
      </c>
      <c r="B364" s="154" t="s">
        <v>1546</v>
      </c>
      <c r="D364" s="154">
        <v>2.0</v>
      </c>
      <c r="E364" s="154" t="s">
        <v>761</v>
      </c>
      <c r="F364" s="154" t="s">
        <v>1547</v>
      </c>
      <c r="G364" s="154">
        <v>0.0</v>
      </c>
      <c r="H364" s="156">
        <v>0.0</v>
      </c>
      <c r="I364" s="156">
        <v>0.0</v>
      </c>
      <c r="J364" s="156">
        <v>0.0</v>
      </c>
      <c r="K364" s="156">
        <v>0.0</v>
      </c>
    </row>
    <row r="365">
      <c r="A365" s="154" t="s">
        <v>1545</v>
      </c>
      <c r="B365" s="155"/>
      <c r="C365" s="154" t="s">
        <v>1546</v>
      </c>
      <c r="D365" s="155"/>
      <c r="E365" s="155"/>
      <c r="F365" s="154" t="s">
        <v>1547</v>
      </c>
      <c r="G365" s="154">
        <v>0.0</v>
      </c>
      <c r="H365" s="156">
        <v>0.0</v>
      </c>
      <c r="I365" s="156">
        <v>0.0</v>
      </c>
      <c r="J365" s="156">
        <v>0.0</v>
      </c>
      <c r="K365" s="156">
        <v>0.0</v>
      </c>
    </row>
    <row r="366">
      <c r="A366" s="154" t="s">
        <v>1548</v>
      </c>
      <c r="B366" s="154" t="s">
        <v>1549</v>
      </c>
      <c r="D366" s="154">
        <v>2.0</v>
      </c>
      <c r="E366" s="154" t="s">
        <v>761</v>
      </c>
      <c r="F366" s="154" t="s">
        <v>1547</v>
      </c>
      <c r="G366" s="154">
        <v>0.0</v>
      </c>
      <c r="H366" s="156">
        <v>0.0</v>
      </c>
      <c r="I366" s="156">
        <v>0.0</v>
      </c>
      <c r="J366" s="156">
        <v>0.0</v>
      </c>
      <c r="K366" s="156">
        <v>0.0</v>
      </c>
    </row>
    <row r="367">
      <c r="A367" s="154" t="s">
        <v>1548</v>
      </c>
      <c r="B367" s="155"/>
      <c r="C367" s="154" t="s">
        <v>1549</v>
      </c>
      <c r="D367" s="155"/>
      <c r="E367" s="155"/>
      <c r="F367" s="154" t="s">
        <v>1547</v>
      </c>
      <c r="G367" s="154">
        <v>0.0</v>
      </c>
      <c r="H367" s="156">
        <v>0.0</v>
      </c>
      <c r="I367" s="156">
        <v>0.0</v>
      </c>
      <c r="J367" s="156">
        <v>0.0</v>
      </c>
      <c r="K367" s="156">
        <v>0.0</v>
      </c>
    </row>
    <row r="368">
      <c r="A368" s="154" t="s">
        <v>1550</v>
      </c>
      <c r="B368" s="155"/>
      <c r="C368" s="154" t="s">
        <v>1551</v>
      </c>
      <c r="D368" s="155"/>
      <c r="E368" s="155"/>
      <c r="F368" s="154" t="s">
        <v>1552</v>
      </c>
      <c r="G368" s="156">
        <v>0.0</v>
      </c>
      <c r="H368" s="154" t="s">
        <v>1553</v>
      </c>
      <c r="I368" s="154" t="s">
        <v>1554</v>
      </c>
      <c r="J368" s="154" t="s">
        <v>1555</v>
      </c>
      <c r="K368" s="154" t="s">
        <v>1426</v>
      </c>
    </row>
    <row r="369">
      <c r="A369" s="154" t="s">
        <v>1550</v>
      </c>
      <c r="B369" s="154" t="s">
        <v>1551</v>
      </c>
      <c r="D369" s="154">
        <v>2.0</v>
      </c>
      <c r="E369" s="154" t="s">
        <v>761</v>
      </c>
      <c r="F369" s="154" t="s">
        <v>1552</v>
      </c>
      <c r="G369" s="156">
        <v>0.0</v>
      </c>
      <c r="H369" s="154" t="s">
        <v>1553</v>
      </c>
      <c r="I369" s="154" t="s">
        <v>1554</v>
      </c>
      <c r="J369" s="154" t="s">
        <v>1555</v>
      </c>
      <c r="K369" s="154" t="s">
        <v>1426</v>
      </c>
    </row>
    <row r="370">
      <c r="A370" s="154" t="s">
        <v>1556</v>
      </c>
      <c r="B370" s="154" t="s">
        <v>1557</v>
      </c>
      <c r="D370" s="154">
        <v>2.0</v>
      </c>
      <c r="E370" s="154" t="s">
        <v>761</v>
      </c>
      <c r="F370" s="154" t="s">
        <v>1558</v>
      </c>
      <c r="G370" s="154">
        <v>0.0</v>
      </c>
      <c r="H370" s="154" t="s">
        <v>1559</v>
      </c>
      <c r="I370" s="154">
        <v>9.7150361566E11</v>
      </c>
      <c r="J370" s="156">
        <v>0.0</v>
      </c>
      <c r="K370" s="154" t="s">
        <v>846</v>
      </c>
    </row>
    <row r="371">
      <c r="A371" s="154" t="s">
        <v>1556</v>
      </c>
      <c r="B371" s="155"/>
      <c r="C371" s="154" t="s">
        <v>1557</v>
      </c>
      <c r="D371" s="155"/>
      <c r="E371" s="155"/>
      <c r="F371" s="154" t="s">
        <v>1558</v>
      </c>
      <c r="G371" s="154">
        <v>0.0</v>
      </c>
      <c r="H371" s="154" t="s">
        <v>1559</v>
      </c>
      <c r="I371" s="154">
        <v>9.7150361566E11</v>
      </c>
      <c r="J371" s="156">
        <v>0.0</v>
      </c>
      <c r="K371" s="154" t="s">
        <v>846</v>
      </c>
    </row>
    <row r="372">
      <c r="A372" s="154" t="s">
        <v>1560</v>
      </c>
      <c r="B372" s="154" t="s">
        <v>1561</v>
      </c>
      <c r="D372" s="154">
        <v>2.0</v>
      </c>
      <c r="E372" s="154" t="s">
        <v>761</v>
      </c>
      <c r="F372" s="154" t="s">
        <v>1562</v>
      </c>
      <c r="G372" s="154">
        <v>4.8817654E7</v>
      </c>
      <c r="H372" s="154" t="s">
        <v>1563</v>
      </c>
      <c r="I372" s="156">
        <v>0.0</v>
      </c>
      <c r="J372" s="156">
        <v>0.0</v>
      </c>
      <c r="K372" s="156">
        <v>0.0</v>
      </c>
    </row>
    <row r="373">
      <c r="A373" s="154" t="s">
        <v>1560</v>
      </c>
      <c r="B373" s="155"/>
      <c r="C373" s="154" t="s">
        <v>1561</v>
      </c>
      <c r="D373" s="155"/>
      <c r="E373" s="155"/>
      <c r="F373" s="154" t="s">
        <v>1562</v>
      </c>
      <c r="G373" s="154">
        <v>4.8817654E7</v>
      </c>
      <c r="H373" s="154" t="s">
        <v>1563</v>
      </c>
      <c r="I373" s="156">
        <v>0.0</v>
      </c>
      <c r="J373" s="156">
        <v>0.0</v>
      </c>
      <c r="K373" s="156">
        <v>0.0</v>
      </c>
    </row>
    <row r="374">
      <c r="A374" s="154" t="s">
        <v>1564</v>
      </c>
      <c r="B374" s="155"/>
      <c r="C374" s="154" t="s">
        <v>1565</v>
      </c>
      <c r="D374" s="155"/>
      <c r="E374" s="155"/>
      <c r="F374" s="154" t="s">
        <v>1566</v>
      </c>
      <c r="G374" s="156">
        <v>0.0</v>
      </c>
      <c r="H374" s="156">
        <v>0.0</v>
      </c>
      <c r="I374" s="154">
        <v>5.09079172E8</v>
      </c>
      <c r="J374" s="156">
        <v>0.0</v>
      </c>
      <c r="K374" s="154" t="s">
        <v>1426</v>
      </c>
    </row>
    <row r="375">
      <c r="A375" s="154" t="s">
        <v>1564</v>
      </c>
      <c r="B375" s="154" t="s">
        <v>1565</v>
      </c>
      <c r="D375" s="154">
        <v>2.0</v>
      </c>
      <c r="E375" s="154" t="s">
        <v>761</v>
      </c>
      <c r="F375" s="154" t="s">
        <v>1566</v>
      </c>
      <c r="G375" s="156">
        <v>0.0</v>
      </c>
      <c r="H375" s="156">
        <v>0.0</v>
      </c>
      <c r="I375" s="154">
        <v>5.09079172E8</v>
      </c>
      <c r="J375" s="156">
        <v>0.0</v>
      </c>
      <c r="K375" s="154" t="s">
        <v>1426</v>
      </c>
    </row>
    <row r="376">
      <c r="A376" s="154" t="s">
        <v>1567</v>
      </c>
      <c r="B376" s="155"/>
      <c r="C376" s="154" t="s">
        <v>1568</v>
      </c>
      <c r="D376" s="155"/>
      <c r="E376" s="155"/>
      <c r="F376" s="154" t="s">
        <v>1569</v>
      </c>
      <c r="G376" s="154">
        <v>4.3344564E7</v>
      </c>
      <c r="H376" s="156">
        <v>0.0</v>
      </c>
      <c r="I376" s="154">
        <v>5.0646288E8</v>
      </c>
      <c r="J376" s="156">
        <v>0.0</v>
      </c>
      <c r="K376" s="154" t="s">
        <v>361</v>
      </c>
    </row>
    <row r="377">
      <c r="A377" s="154" t="s">
        <v>1567</v>
      </c>
      <c r="B377" s="154" t="s">
        <v>1568</v>
      </c>
      <c r="D377" s="154">
        <v>2.0</v>
      </c>
      <c r="E377" s="154" t="s">
        <v>761</v>
      </c>
      <c r="F377" s="154" t="s">
        <v>1570</v>
      </c>
      <c r="G377" s="156">
        <v>0.0</v>
      </c>
      <c r="H377" s="154" t="s">
        <v>1571</v>
      </c>
      <c r="I377" s="154" t="s">
        <v>1572</v>
      </c>
      <c r="J377" s="156">
        <v>0.0</v>
      </c>
      <c r="K377" s="154" t="s">
        <v>361</v>
      </c>
    </row>
    <row r="378">
      <c r="A378" s="154" t="s">
        <v>1573</v>
      </c>
      <c r="B378" s="154" t="s">
        <v>1574</v>
      </c>
      <c r="D378" s="154">
        <v>2.0</v>
      </c>
      <c r="E378" s="154" t="s">
        <v>761</v>
      </c>
      <c r="F378" s="154" t="s">
        <v>1575</v>
      </c>
      <c r="G378" s="154">
        <v>4.8812222E7</v>
      </c>
      <c r="H378" s="156">
        <v>0.0</v>
      </c>
      <c r="I378" s="156">
        <v>0.0</v>
      </c>
      <c r="J378" s="156">
        <v>0.0</v>
      </c>
      <c r="K378" s="154" t="s">
        <v>240</v>
      </c>
    </row>
    <row r="379">
      <c r="A379" s="154" t="s">
        <v>1573</v>
      </c>
      <c r="B379" s="155"/>
      <c r="C379" s="154" t="s">
        <v>1574</v>
      </c>
      <c r="D379" s="155"/>
      <c r="E379" s="155"/>
      <c r="F379" s="154" t="s">
        <v>1575</v>
      </c>
      <c r="G379" s="154">
        <v>4.8812222E7</v>
      </c>
      <c r="H379" s="156">
        <v>0.0</v>
      </c>
      <c r="I379" s="156">
        <v>0.0</v>
      </c>
      <c r="J379" s="156">
        <v>0.0</v>
      </c>
      <c r="K379" s="154" t="s">
        <v>240</v>
      </c>
    </row>
    <row r="380">
      <c r="A380" s="154" t="s">
        <v>1576</v>
      </c>
      <c r="B380" s="155"/>
      <c r="C380" s="154" t="s">
        <v>1577</v>
      </c>
      <c r="D380" s="155"/>
      <c r="E380" s="155"/>
      <c r="F380" s="154" t="s">
        <v>1578</v>
      </c>
      <c r="G380" s="156">
        <v>0.0</v>
      </c>
      <c r="H380" s="156">
        <v>0.0</v>
      </c>
      <c r="I380" s="154" t="s">
        <v>1194</v>
      </c>
      <c r="J380" s="154" t="s">
        <v>1195</v>
      </c>
      <c r="K380" s="154" t="s">
        <v>240</v>
      </c>
    </row>
    <row r="381">
      <c r="A381" s="154" t="s">
        <v>1576</v>
      </c>
      <c r="B381" s="154" t="s">
        <v>1577</v>
      </c>
      <c r="D381" s="154">
        <v>2.0</v>
      </c>
      <c r="E381" s="154" t="s">
        <v>761</v>
      </c>
      <c r="F381" s="154" t="s">
        <v>994</v>
      </c>
      <c r="G381" s="154">
        <v>5.0979726E8</v>
      </c>
      <c r="H381" s="154" t="s">
        <v>995</v>
      </c>
      <c r="I381" s="156">
        <v>0.0</v>
      </c>
      <c r="J381" s="156">
        <v>0.0</v>
      </c>
      <c r="K381" s="156">
        <v>0.0</v>
      </c>
    </row>
    <row r="382">
      <c r="A382" s="154" t="s">
        <v>1579</v>
      </c>
      <c r="B382" s="155"/>
      <c r="C382" s="154" t="s">
        <v>1580</v>
      </c>
      <c r="D382" s="155"/>
      <c r="E382" s="155"/>
      <c r="F382" s="154" t="s">
        <v>1581</v>
      </c>
      <c r="G382" s="156">
        <v>0.0</v>
      </c>
      <c r="H382" s="156">
        <v>0.0</v>
      </c>
      <c r="I382" s="154">
        <v>5.06316222E8</v>
      </c>
      <c r="J382" s="156">
        <v>0.0</v>
      </c>
      <c r="K382" s="154" t="s">
        <v>1059</v>
      </c>
    </row>
    <row r="383">
      <c r="A383" s="154" t="s">
        <v>1579</v>
      </c>
      <c r="B383" s="154" t="s">
        <v>1580</v>
      </c>
      <c r="D383" s="154">
        <v>2.0</v>
      </c>
      <c r="E383" s="154" t="s">
        <v>761</v>
      </c>
      <c r="F383" s="154" t="s">
        <v>1581</v>
      </c>
      <c r="G383" s="156">
        <v>0.0</v>
      </c>
      <c r="H383" s="156">
        <v>0.0</v>
      </c>
      <c r="I383" s="154">
        <v>5.06316222E8</v>
      </c>
      <c r="J383" s="156">
        <v>0.0</v>
      </c>
      <c r="K383" s="154" t="s">
        <v>1059</v>
      </c>
    </row>
    <row r="384">
      <c r="A384" s="154" t="s">
        <v>1582</v>
      </c>
      <c r="B384" s="155"/>
      <c r="C384" s="154" t="s">
        <v>1583</v>
      </c>
      <c r="D384" s="155"/>
      <c r="E384" s="155"/>
      <c r="F384" s="154" t="s">
        <v>1584</v>
      </c>
      <c r="G384" s="156">
        <v>0.0</v>
      </c>
      <c r="H384" s="156">
        <v>0.0</v>
      </c>
      <c r="I384" s="154" t="s">
        <v>853</v>
      </c>
      <c r="J384" s="154" t="s">
        <v>809</v>
      </c>
      <c r="K384" s="154" t="s">
        <v>361</v>
      </c>
    </row>
    <row r="385">
      <c r="A385" s="154" t="s">
        <v>1582</v>
      </c>
      <c r="B385" s="154" t="s">
        <v>1583</v>
      </c>
      <c r="D385" s="154">
        <v>2.0</v>
      </c>
      <c r="E385" s="154" t="s">
        <v>761</v>
      </c>
      <c r="F385" s="154" t="s">
        <v>1584</v>
      </c>
      <c r="G385" s="156">
        <v>0.0</v>
      </c>
      <c r="H385" s="156">
        <v>0.0</v>
      </c>
      <c r="I385" s="154" t="s">
        <v>853</v>
      </c>
      <c r="J385" s="154" t="s">
        <v>809</v>
      </c>
      <c r="K385" s="154" t="s">
        <v>361</v>
      </c>
    </row>
    <row r="386">
      <c r="A386" s="154" t="s">
        <v>1585</v>
      </c>
      <c r="B386" s="155"/>
      <c r="C386" s="154" t="s">
        <v>1586</v>
      </c>
      <c r="D386" s="155"/>
      <c r="E386" s="155"/>
      <c r="F386" s="154" t="s">
        <v>1587</v>
      </c>
      <c r="G386" s="154">
        <v>5.05502454E8</v>
      </c>
      <c r="H386" s="156">
        <v>0.0</v>
      </c>
      <c r="I386" s="154">
        <v>9.71505502454E11</v>
      </c>
      <c r="J386" s="156">
        <v>0.0</v>
      </c>
      <c r="K386" s="154" t="s">
        <v>776</v>
      </c>
    </row>
    <row r="387">
      <c r="A387" s="154" t="s">
        <v>1585</v>
      </c>
      <c r="B387" s="154" t="s">
        <v>1586</v>
      </c>
      <c r="D387" s="154">
        <v>2.0</v>
      </c>
      <c r="E387" s="154" t="s">
        <v>761</v>
      </c>
      <c r="F387" s="154" t="s">
        <v>1587</v>
      </c>
      <c r="G387" s="154">
        <v>5.05502454E8</v>
      </c>
      <c r="H387" s="156">
        <v>0.0</v>
      </c>
      <c r="I387" s="154">
        <v>9.71505502454E11</v>
      </c>
      <c r="J387" s="156">
        <v>0.0</v>
      </c>
      <c r="K387" s="154" t="s">
        <v>776</v>
      </c>
    </row>
    <row r="388">
      <c r="A388" s="154" t="s">
        <v>1588</v>
      </c>
      <c r="B388" s="155"/>
      <c r="C388" s="154" t="s">
        <v>1589</v>
      </c>
      <c r="D388" s="155"/>
      <c r="E388" s="155"/>
      <c r="F388" s="154" t="s">
        <v>1590</v>
      </c>
      <c r="G388" s="156">
        <v>0.0</v>
      </c>
      <c r="H388" s="156">
        <v>0.0</v>
      </c>
      <c r="I388" s="154" t="s">
        <v>1591</v>
      </c>
      <c r="J388" s="154" t="s">
        <v>1592</v>
      </c>
      <c r="K388" s="154" t="s">
        <v>197</v>
      </c>
    </row>
    <row r="389">
      <c r="A389" s="154" t="s">
        <v>1588</v>
      </c>
      <c r="B389" s="154" t="s">
        <v>1589</v>
      </c>
      <c r="D389" s="154">
        <v>2.0</v>
      </c>
      <c r="E389" s="154" t="s">
        <v>761</v>
      </c>
      <c r="F389" s="154" t="s">
        <v>792</v>
      </c>
      <c r="G389" s="154" t="s">
        <v>793</v>
      </c>
      <c r="H389" s="154" t="s">
        <v>794</v>
      </c>
      <c r="I389" s="156">
        <v>0.0</v>
      </c>
      <c r="J389" s="156">
        <v>0.0</v>
      </c>
      <c r="K389" s="156">
        <v>0.0</v>
      </c>
    </row>
    <row r="390">
      <c r="A390" s="154" t="s">
        <v>1593</v>
      </c>
      <c r="B390" s="155"/>
      <c r="C390" s="154" t="s">
        <v>1594</v>
      </c>
      <c r="D390" s="155"/>
      <c r="E390" s="155"/>
      <c r="F390" s="154" t="s">
        <v>1595</v>
      </c>
      <c r="G390" s="156">
        <v>0.0</v>
      </c>
      <c r="H390" s="154" t="s">
        <v>1596</v>
      </c>
      <c r="I390" s="154" t="s">
        <v>1597</v>
      </c>
      <c r="J390" s="156">
        <v>0.0</v>
      </c>
      <c r="K390" s="154" t="s">
        <v>240</v>
      </c>
    </row>
    <row r="391">
      <c r="A391" s="154" t="s">
        <v>1593</v>
      </c>
      <c r="B391" s="154" t="s">
        <v>1594</v>
      </c>
      <c r="C391" s="155"/>
      <c r="D391" s="154">
        <v>2.0</v>
      </c>
      <c r="E391" s="154" t="s">
        <v>1237</v>
      </c>
      <c r="F391" s="154" t="s">
        <v>1595</v>
      </c>
      <c r="G391" s="156">
        <v>0.0</v>
      </c>
      <c r="H391" s="154" t="s">
        <v>1596</v>
      </c>
      <c r="I391" s="154" t="s">
        <v>1597</v>
      </c>
      <c r="J391" s="156">
        <v>0.0</v>
      </c>
      <c r="K391" s="154" t="s">
        <v>240</v>
      </c>
      <c r="L391" s="88" t="s">
        <v>1598</v>
      </c>
    </row>
    <row r="392">
      <c r="A392" s="154" t="s">
        <v>1599</v>
      </c>
      <c r="B392" s="154" t="s">
        <v>1600</v>
      </c>
      <c r="C392" s="155"/>
      <c r="D392" s="154">
        <v>2.0</v>
      </c>
      <c r="E392" s="154" t="s">
        <v>1237</v>
      </c>
      <c r="F392" s="154" t="s">
        <v>1601</v>
      </c>
      <c r="G392" s="154">
        <v>4.4493021E7</v>
      </c>
      <c r="H392" s="156" t="s">
        <v>1602</v>
      </c>
      <c r="I392" s="156">
        <v>0.0</v>
      </c>
      <c r="J392" s="156">
        <v>0.0</v>
      </c>
      <c r="K392" s="156">
        <v>0.0</v>
      </c>
      <c r="L392" s="88" t="s">
        <v>1603</v>
      </c>
    </row>
    <row r="393">
      <c r="A393" s="154" t="s">
        <v>1599</v>
      </c>
      <c r="B393" s="155"/>
      <c r="C393" s="154" t="s">
        <v>1600</v>
      </c>
      <c r="D393" s="155"/>
      <c r="E393" s="155"/>
      <c r="F393" s="154" t="s">
        <v>1601</v>
      </c>
      <c r="G393" s="154">
        <v>4.4493021E7</v>
      </c>
      <c r="H393" s="156">
        <v>0.0</v>
      </c>
      <c r="I393" s="156">
        <v>0.0</v>
      </c>
      <c r="J393" s="156">
        <v>0.0</v>
      </c>
      <c r="K393" s="156">
        <v>0.0</v>
      </c>
    </row>
    <row r="394">
      <c r="A394" s="154" t="s">
        <v>1604</v>
      </c>
      <c r="B394" s="154" t="s">
        <v>1605</v>
      </c>
      <c r="C394" s="155"/>
      <c r="D394" s="154">
        <v>2.0</v>
      </c>
      <c r="E394" s="154" t="s">
        <v>1237</v>
      </c>
      <c r="F394" s="154" t="s">
        <v>1606</v>
      </c>
      <c r="G394" s="154">
        <v>0.0</v>
      </c>
      <c r="H394" s="156">
        <v>0.0</v>
      </c>
      <c r="I394" s="156">
        <v>0.0</v>
      </c>
      <c r="J394" s="156">
        <v>0.0</v>
      </c>
      <c r="K394" s="156">
        <v>0.0</v>
      </c>
    </row>
    <row r="395">
      <c r="A395" s="154" t="s">
        <v>1604</v>
      </c>
      <c r="B395" s="155"/>
      <c r="C395" s="154" t="s">
        <v>1605</v>
      </c>
      <c r="D395" s="155"/>
      <c r="E395" s="155"/>
      <c r="F395" s="154" t="s">
        <v>1606</v>
      </c>
      <c r="G395" s="154">
        <v>0.0</v>
      </c>
      <c r="H395" s="156">
        <v>0.0</v>
      </c>
      <c r="I395" s="156">
        <v>0.0</v>
      </c>
      <c r="J395" s="156">
        <v>0.0</v>
      </c>
      <c r="K395" s="156">
        <v>0.0</v>
      </c>
    </row>
    <row r="396">
      <c r="A396" s="154" t="s">
        <v>1607</v>
      </c>
      <c r="B396" s="155"/>
      <c r="C396" s="154" t="s">
        <v>1608</v>
      </c>
      <c r="D396" s="155"/>
      <c r="E396" s="155"/>
      <c r="F396" s="154" t="s">
        <v>1609</v>
      </c>
      <c r="G396" s="155">
        <f t="shared" ref="G396:G397" si="3">+971503031990</f>
        <v>971503031990</v>
      </c>
      <c r="H396" s="154" t="s">
        <v>1610</v>
      </c>
      <c r="I396" s="155">
        <f t="shared" ref="I396:I397" si="4">+971503031990</f>
        <v>971503031990</v>
      </c>
      <c r="J396" s="156">
        <v>0.0</v>
      </c>
      <c r="K396" s="154" t="s">
        <v>341</v>
      </c>
    </row>
    <row r="397">
      <c r="A397" s="154" t="s">
        <v>1607</v>
      </c>
      <c r="B397" s="154" t="s">
        <v>1608</v>
      </c>
      <c r="C397" s="155"/>
      <c r="D397" s="154">
        <v>2.0</v>
      </c>
      <c r="E397" s="154" t="s">
        <v>1237</v>
      </c>
      <c r="F397" s="154" t="s">
        <v>1609</v>
      </c>
      <c r="G397" s="155">
        <f t="shared" si="3"/>
        <v>971503031990</v>
      </c>
      <c r="H397" s="154" t="s">
        <v>1610</v>
      </c>
      <c r="I397" s="155">
        <f t="shared" si="4"/>
        <v>971503031990</v>
      </c>
      <c r="J397" s="156">
        <v>0.0</v>
      </c>
      <c r="K397" s="154" t="s">
        <v>341</v>
      </c>
    </row>
    <row r="398">
      <c r="A398" s="154" t="s">
        <v>1611</v>
      </c>
      <c r="B398" s="154" t="s">
        <v>1612</v>
      </c>
      <c r="C398" s="155"/>
      <c r="D398" s="154">
        <v>2.0</v>
      </c>
      <c r="E398" s="154" t="s">
        <v>1237</v>
      </c>
      <c r="F398" s="154" t="s">
        <v>1613</v>
      </c>
      <c r="G398" s="154">
        <v>5.06445047E8</v>
      </c>
      <c r="H398" s="156">
        <v>0.0</v>
      </c>
      <c r="I398" s="154">
        <v>5.06445047E8</v>
      </c>
      <c r="J398" s="156">
        <v>0.0</v>
      </c>
      <c r="K398" s="154" t="s">
        <v>760</v>
      </c>
    </row>
    <row r="399">
      <c r="A399" s="154" t="s">
        <v>1611</v>
      </c>
      <c r="B399" s="155"/>
      <c r="C399" s="154" t="s">
        <v>1612</v>
      </c>
      <c r="D399" s="155"/>
      <c r="E399" s="155"/>
      <c r="F399" s="154" t="s">
        <v>1613</v>
      </c>
      <c r="G399" s="154">
        <v>5.06445047E8</v>
      </c>
      <c r="H399" s="156">
        <v>0.0</v>
      </c>
      <c r="I399" s="154">
        <v>5.06445047E8</v>
      </c>
      <c r="J399" s="156">
        <v>0.0</v>
      </c>
      <c r="K399" s="154" t="s">
        <v>760</v>
      </c>
    </row>
    <row r="400">
      <c r="A400" s="154" t="s">
        <v>1614</v>
      </c>
      <c r="B400" s="155"/>
      <c r="C400" s="154" t="s">
        <v>1615</v>
      </c>
      <c r="D400" s="155"/>
      <c r="E400" s="155"/>
      <c r="F400" s="154" t="s">
        <v>1616</v>
      </c>
      <c r="G400" s="154" t="s">
        <v>1617</v>
      </c>
      <c r="H400" s="156">
        <v>0.0</v>
      </c>
      <c r="I400" s="154" t="s">
        <v>1618</v>
      </c>
      <c r="J400" s="156">
        <v>0.0</v>
      </c>
      <c r="K400" s="154" t="s">
        <v>760</v>
      </c>
    </row>
    <row r="401">
      <c r="A401" s="154" t="s">
        <v>1614</v>
      </c>
      <c r="B401" s="154" t="s">
        <v>1615</v>
      </c>
      <c r="C401" s="155"/>
      <c r="D401" s="154">
        <v>2.0</v>
      </c>
      <c r="E401" s="154" t="s">
        <v>1237</v>
      </c>
      <c r="F401" s="154" t="s">
        <v>1619</v>
      </c>
      <c r="G401" s="154">
        <v>4.3903333E7</v>
      </c>
      <c r="H401" s="154" t="s">
        <v>1620</v>
      </c>
      <c r="I401" s="156">
        <v>0.0</v>
      </c>
      <c r="J401" s="156">
        <v>0.0</v>
      </c>
      <c r="K401" s="156">
        <v>0.0</v>
      </c>
    </row>
    <row r="402">
      <c r="A402" s="154" t="s">
        <v>1621</v>
      </c>
      <c r="B402" s="154" t="s">
        <v>1622</v>
      </c>
      <c r="C402" s="155"/>
      <c r="D402" s="154">
        <v>2.0</v>
      </c>
      <c r="E402" s="154" t="s">
        <v>1237</v>
      </c>
      <c r="F402" s="154" t="s">
        <v>1623</v>
      </c>
      <c r="G402" s="156">
        <v>0.0</v>
      </c>
      <c r="H402" s="156">
        <v>0.0</v>
      </c>
      <c r="I402" s="154" t="s">
        <v>1624</v>
      </c>
      <c r="J402" s="156">
        <v>0.0</v>
      </c>
      <c r="K402" s="154" t="s">
        <v>923</v>
      </c>
    </row>
    <row r="403">
      <c r="A403" s="154" t="s">
        <v>1621</v>
      </c>
      <c r="B403" s="155"/>
      <c r="C403" s="154" t="s">
        <v>1622</v>
      </c>
      <c r="D403" s="155"/>
      <c r="E403" s="155"/>
      <c r="F403" s="154" t="s">
        <v>1623</v>
      </c>
      <c r="G403" s="156">
        <v>0.0</v>
      </c>
      <c r="H403" s="156">
        <v>0.0</v>
      </c>
      <c r="I403" s="154" t="s">
        <v>1624</v>
      </c>
      <c r="J403" s="156">
        <v>0.0</v>
      </c>
      <c r="K403" s="154" t="s">
        <v>923</v>
      </c>
    </row>
    <row r="404">
      <c r="A404" s="154" t="s">
        <v>1625</v>
      </c>
      <c r="B404" s="155"/>
      <c r="C404" s="154" t="s">
        <v>1626</v>
      </c>
      <c r="D404" s="155"/>
      <c r="E404" s="155"/>
      <c r="F404" s="154" t="s">
        <v>1021</v>
      </c>
      <c r="G404" s="154">
        <v>5.06462781E8</v>
      </c>
      <c r="H404" s="156">
        <v>0.0</v>
      </c>
      <c r="I404" s="154" t="s">
        <v>1022</v>
      </c>
      <c r="J404" s="156">
        <v>0.0</v>
      </c>
      <c r="K404" s="154" t="s">
        <v>361</v>
      </c>
    </row>
    <row r="405">
      <c r="A405" s="154" t="s">
        <v>1625</v>
      </c>
      <c r="B405" s="154" t="s">
        <v>1626</v>
      </c>
      <c r="C405" s="155"/>
      <c r="D405" s="154">
        <v>2.0</v>
      </c>
      <c r="E405" s="154" t="s">
        <v>1237</v>
      </c>
      <c r="F405" s="154" t="s">
        <v>1021</v>
      </c>
      <c r="G405" s="154">
        <v>5.06462781E8</v>
      </c>
      <c r="H405" s="156">
        <v>0.0</v>
      </c>
      <c r="I405" s="154" t="s">
        <v>1022</v>
      </c>
      <c r="J405" s="156">
        <v>0.0</v>
      </c>
      <c r="K405" s="154" t="s">
        <v>361</v>
      </c>
    </row>
    <row r="406">
      <c r="A406" s="154" t="s">
        <v>1627</v>
      </c>
      <c r="B406" s="155"/>
      <c r="C406" s="154" t="s">
        <v>1628</v>
      </c>
      <c r="D406" s="155"/>
      <c r="E406" s="155"/>
      <c r="F406" s="154" t="s">
        <v>1629</v>
      </c>
      <c r="G406" s="156">
        <v>0.0</v>
      </c>
      <c r="H406" s="154" t="s">
        <v>1630</v>
      </c>
      <c r="I406" s="154" t="s">
        <v>1631</v>
      </c>
      <c r="J406" s="154" t="s">
        <v>1632</v>
      </c>
      <c r="K406" s="154" t="s">
        <v>760</v>
      </c>
    </row>
    <row r="407">
      <c r="A407" s="154" t="s">
        <v>1627</v>
      </c>
      <c r="B407" s="154" t="s">
        <v>1628</v>
      </c>
      <c r="C407" s="155"/>
      <c r="D407" s="154">
        <v>2.0</v>
      </c>
      <c r="E407" s="154" t="s">
        <v>1237</v>
      </c>
      <c r="F407" s="154" t="s">
        <v>1629</v>
      </c>
      <c r="G407" s="156">
        <v>0.0</v>
      </c>
      <c r="H407" s="154" t="s">
        <v>1630</v>
      </c>
      <c r="I407" s="154" t="s">
        <v>1631</v>
      </c>
      <c r="J407" s="154" t="s">
        <v>1632</v>
      </c>
      <c r="K407" s="154" t="s">
        <v>760</v>
      </c>
    </row>
    <row r="408">
      <c r="A408" s="154" t="s">
        <v>1633</v>
      </c>
      <c r="B408" s="154" t="s">
        <v>1634</v>
      </c>
      <c r="C408" s="155"/>
      <c r="D408" s="154">
        <v>2.0</v>
      </c>
      <c r="E408" s="154" t="s">
        <v>1237</v>
      </c>
      <c r="F408" s="154" t="s">
        <v>1635</v>
      </c>
      <c r="G408" s="154">
        <v>2258080.0</v>
      </c>
      <c r="H408" s="156">
        <v>0.0</v>
      </c>
      <c r="I408" s="154" t="s">
        <v>1636</v>
      </c>
      <c r="J408" s="156">
        <v>0.0</v>
      </c>
      <c r="K408" s="154" t="s">
        <v>361</v>
      </c>
    </row>
    <row r="409">
      <c r="A409" s="154" t="s">
        <v>1633</v>
      </c>
      <c r="B409" s="155"/>
      <c r="C409" s="154" t="s">
        <v>1634</v>
      </c>
      <c r="D409" s="155"/>
      <c r="E409" s="155"/>
      <c r="F409" s="154" t="s">
        <v>1637</v>
      </c>
      <c r="G409" s="156">
        <v>0.0</v>
      </c>
      <c r="H409" s="154" t="s">
        <v>1638</v>
      </c>
      <c r="I409" s="154" t="s">
        <v>1636</v>
      </c>
      <c r="J409" s="154" t="s">
        <v>1639</v>
      </c>
      <c r="K409" s="154" t="s">
        <v>361</v>
      </c>
    </row>
    <row r="410">
      <c r="A410" s="154" t="s">
        <v>1640</v>
      </c>
      <c r="B410" s="155"/>
      <c r="C410" s="154" t="s">
        <v>1641</v>
      </c>
      <c r="D410" s="155"/>
      <c r="E410" s="155"/>
      <c r="F410" s="154" t="s">
        <v>1642</v>
      </c>
      <c r="G410" s="154">
        <v>5.06343588E8</v>
      </c>
      <c r="H410" s="156">
        <v>0.0</v>
      </c>
      <c r="I410" s="154">
        <v>5.06343588E8</v>
      </c>
      <c r="J410" s="156">
        <v>0.0</v>
      </c>
      <c r="K410" s="154" t="s">
        <v>760</v>
      </c>
    </row>
    <row r="411">
      <c r="A411" s="154" t="s">
        <v>1640</v>
      </c>
      <c r="B411" s="154" t="s">
        <v>1641</v>
      </c>
      <c r="C411" s="155"/>
      <c r="D411" s="154">
        <v>2.0</v>
      </c>
      <c r="E411" s="154" t="s">
        <v>1237</v>
      </c>
      <c r="F411" s="154" t="s">
        <v>1642</v>
      </c>
      <c r="G411" s="154">
        <v>5.06343588E8</v>
      </c>
      <c r="H411" s="156">
        <v>0.0</v>
      </c>
      <c r="I411" s="154">
        <v>5.06343588E8</v>
      </c>
      <c r="J411" s="156">
        <v>0.0</v>
      </c>
      <c r="K411" s="154" t="s">
        <v>760</v>
      </c>
    </row>
    <row r="412">
      <c r="A412" s="154" t="s">
        <v>1643</v>
      </c>
      <c r="B412" s="154" t="s">
        <v>1644</v>
      </c>
      <c r="C412" s="155"/>
      <c r="D412" s="154">
        <v>2.0</v>
      </c>
      <c r="E412" s="154" t="s">
        <v>1237</v>
      </c>
      <c r="F412" s="154" t="s">
        <v>1645</v>
      </c>
      <c r="G412" s="154">
        <v>4.3202286E7</v>
      </c>
      <c r="H412" s="156">
        <v>0.0</v>
      </c>
      <c r="I412" s="154">
        <v>5.04564414E8</v>
      </c>
      <c r="J412" s="156">
        <v>0.0</v>
      </c>
      <c r="K412" s="154" t="s">
        <v>329</v>
      </c>
    </row>
    <row r="413">
      <c r="A413" s="154" t="s">
        <v>1643</v>
      </c>
      <c r="B413" s="155"/>
      <c r="C413" s="154" t="s">
        <v>1644</v>
      </c>
      <c r="D413" s="155"/>
      <c r="E413" s="155"/>
      <c r="F413" s="154" t="s">
        <v>1645</v>
      </c>
      <c r="G413" s="154">
        <v>4.3202286E7</v>
      </c>
      <c r="H413" s="156">
        <v>0.0</v>
      </c>
      <c r="I413" s="154">
        <v>5.04564414E8</v>
      </c>
      <c r="J413" s="156">
        <v>0.0</v>
      </c>
      <c r="K413" s="154" t="s">
        <v>329</v>
      </c>
    </row>
    <row r="414">
      <c r="A414" s="154" t="s">
        <v>1646</v>
      </c>
      <c r="B414" s="155"/>
      <c r="C414" s="154" t="s">
        <v>1647</v>
      </c>
      <c r="D414" s="155"/>
      <c r="E414" s="155"/>
      <c r="F414" s="154" t="s">
        <v>1648</v>
      </c>
      <c r="G414" s="156">
        <v>0.0</v>
      </c>
      <c r="H414" s="154" t="s">
        <v>1649</v>
      </c>
      <c r="I414" s="154" t="s">
        <v>1650</v>
      </c>
      <c r="J414" s="154" t="s">
        <v>1651</v>
      </c>
      <c r="K414" s="154" t="s">
        <v>361</v>
      </c>
    </row>
    <row r="415">
      <c r="A415" s="154" t="s">
        <v>1646</v>
      </c>
      <c r="B415" s="154" t="s">
        <v>1647</v>
      </c>
      <c r="C415" s="155"/>
      <c r="D415" s="154">
        <v>2.0</v>
      </c>
      <c r="E415" s="154" t="s">
        <v>1237</v>
      </c>
      <c r="F415" s="154" t="s">
        <v>1652</v>
      </c>
      <c r="G415" s="156">
        <v>0.0</v>
      </c>
      <c r="H415" s="154" t="s">
        <v>1649</v>
      </c>
      <c r="I415" s="154" t="s">
        <v>1650</v>
      </c>
      <c r="J415" s="154" t="s">
        <v>1651</v>
      </c>
      <c r="K415" s="154" t="s">
        <v>361</v>
      </c>
    </row>
    <row r="416">
      <c r="A416" s="154" t="s">
        <v>1653</v>
      </c>
      <c r="B416" s="155"/>
      <c r="C416" s="154" t="s">
        <v>1654</v>
      </c>
      <c r="D416" s="155"/>
      <c r="E416" s="155"/>
      <c r="F416" s="154" t="s">
        <v>1655</v>
      </c>
      <c r="G416" s="156">
        <v>0.0</v>
      </c>
      <c r="H416" s="154" t="s">
        <v>1656</v>
      </c>
      <c r="I416" s="154" t="s">
        <v>1657</v>
      </c>
      <c r="J416" s="156">
        <v>0.0</v>
      </c>
      <c r="K416" s="154" t="s">
        <v>361</v>
      </c>
    </row>
    <row r="417">
      <c r="A417" s="154" t="s">
        <v>1653</v>
      </c>
      <c r="B417" s="154" t="s">
        <v>1654</v>
      </c>
      <c r="C417" s="155"/>
      <c r="D417" s="154">
        <v>2.0</v>
      </c>
      <c r="E417" s="154" t="s">
        <v>1237</v>
      </c>
      <c r="F417" s="154" t="s">
        <v>1655</v>
      </c>
      <c r="G417" s="156">
        <v>0.0</v>
      </c>
      <c r="H417" s="154" t="s">
        <v>1656</v>
      </c>
      <c r="I417" s="154" t="s">
        <v>1657</v>
      </c>
      <c r="J417" s="156">
        <v>0.0</v>
      </c>
      <c r="K417" s="154" t="s">
        <v>361</v>
      </c>
    </row>
    <row r="418">
      <c r="A418" s="154" t="s">
        <v>1658</v>
      </c>
      <c r="B418" s="155"/>
      <c r="C418" s="154" t="s">
        <v>1659</v>
      </c>
      <c r="D418" s="155"/>
      <c r="E418" s="155"/>
      <c r="F418" s="154" t="s">
        <v>1660</v>
      </c>
      <c r="G418" s="154">
        <v>5.06229296E8</v>
      </c>
      <c r="H418" s="156">
        <v>0.0</v>
      </c>
      <c r="I418" s="154">
        <v>0.0</v>
      </c>
      <c r="J418" s="156">
        <v>0.0</v>
      </c>
      <c r="K418" s="154" t="s">
        <v>361</v>
      </c>
    </row>
    <row r="419">
      <c r="A419" s="154" t="s">
        <v>1658</v>
      </c>
      <c r="B419" s="154" t="s">
        <v>1659</v>
      </c>
      <c r="C419" s="155"/>
      <c r="D419" s="154">
        <v>2.0</v>
      </c>
      <c r="E419" s="154" t="s">
        <v>1237</v>
      </c>
      <c r="F419" s="154" t="s">
        <v>1661</v>
      </c>
      <c r="G419" s="156">
        <v>0.0</v>
      </c>
      <c r="H419" s="154" t="s">
        <v>1662</v>
      </c>
      <c r="I419" s="154" t="s">
        <v>1663</v>
      </c>
      <c r="J419" s="156">
        <v>0.0</v>
      </c>
      <c r="K419" s="154" t="s">
        <v>361</v>
      </c>
    </row>
    <row r="420">
      <c r="A420" s="154" t="s">
        <v>1664</v>
      </c>
      <c r="B420" s="155"/>
      <c r="C420" s="154" t="s">
        <v>1665</v>
      </c>
      <c r="D420" s="155"/>
      <c r="E420" s="155"/>
      <c r="F420" s="154" t="s">
        <v>1666</v>
      </c>
      <c r="G420" s="154">
        <v>0.0</v>
      </c>
      <c r="H420" s="156">
        <v>0.0</v>
      </c>
      <c r="I420" s="154">
        <v>0.0</v>
      </c>
      <c r="J420" s="156">
        <v>0.0</v>
      </c>
      <c r="K420" s="154" t="s">
        <v>1426</v>
      </c>
    </row>
    <row r="421">
      <c r="A421" s="154" t="s">
        <v>1664</v>
      </c>
      <c r="B421" s="154" t="s">
        <v>1665</v>
      </c>
      <c r="D421" s="154">
        <v>2.0</v>
      </c>
      <c r="E421" s="154" t="s">
        <v>761</v>
      </c>
      <c r="F421" s="154" t="s">
        <v>1666</v>
      </c>
      <c r="G421" s="154">
        <v>0.0</v>
      </c>
      <c r="H421" s="156">
        <v>0.0</v>
      </c>
      <c r="I421" s="154">
        <v>0.0</v>
      </c>
      <c r="J421" s="156">
        <v>0.0</v>
      </c>
      <c r="K421" s="154" t="s">
        <v>1426</v>
      </c>
    </row>
    <row r="422">
      <c r="A422" s="154" t="s">
        <v>1667</v>
      </c>
      <c r="B422" s="155"/>
      <c r="C422" s="154" t="s">
        <v>1668</v>
      </c>
      <c r="D422" s="155"/>
      <c r="E422" s="155"/>
      <c r="F422" s="154" t="s">
        <v>1669</v>
      </c>
      <c r="G422" s="154">
        <v>0.0</v>
      </c>
      <c r="H422" s="156">
        <v>0.0</v>
      </c>
      <c r="I422" s="154">
        <v>5.07897677E8</v>
      </c>
      <c r="J422" s="156">
        <v>0.0</v>
      </c>
      <c r="K422" s="154" t="s">
        <v>197</v>
      </c>
    </row>
    <row r="423">
      <c r="A423" s="154" t="s">
        <v>1667</v>
      </c>
      <c r="B423" s="154" t="s">
        <v>1668</v>
      </c>
      <c r="D423" s="154">
        <v>2.0</v>
      </c>
      <c r="E423" s="154" t="s">
        <v>761</v>
      </c>
      <c r="F423" s="154" t="s">
        <v>1669</v>
      </c>
      <c r="G423" s="154">
        <v>0.0</v>
      </c>
      <c r="H423" s="156">
        <v>0.0</v>
      </c>
      <c r="I423" s="154">
        <v>5.07897677E8</v>
      </c>
      <c r="J423" s="156">
        <v>0.0</v>
      </c>
      <c r="K423" s="154" t="s">
        <v>197</v>
      </c>
    </row>
    <row r="424">
      <c r="A424" s="154" t="s">
        <v>1670</v>
      </c>
      <c r="B424" s="155"/>
      <c r="C424" s="154" t="s">
        <v>1671</v>
      </c>
      <c r="D424" s="155"/>
      <c r="E424" s="155"/>
      <c r="F424" s="154" t="s">
        <v>1672</v>
      </c>
      <c r="G424" s="157" t="s">
        <v>1673</v>
      </c>
      <c r="H424" s="156">
        <v>0.0</v>
      </c>
      <c r="I424" s="156">
        <v>0.0</v>
      </c>
      <c r="J424" s="156">
        <v>0.0</v>
      </c>
      <c r="K424" s="156">
        <v>0.0</v>
      </c>
    </row>
    <row r="425">
      <c r="A425" s="154" t="s">
        <v>1670</v>
      </c>
      <c r="B425" s="154" t="s">
        <v>1671</v>
      </c>
      <c r="D425" s="154">
        <v>2.0</v>
      </c>
      <c r="E425" s="154" t="s">
        <v>761</v>
      </c>
      <c r="F425" s="154" t="s">
        <v>1672</v>
      </c>
      <c r="G425" s="157" t="s">
        <v>1673</v>
      </c>
      <c r="H425" s="156">
        <v>0.0</v>
      </c>
      <c r="I425" s="156">
        <v>0.0</v>
      </c>
      <c r="J425" s="156">
        <v>0.0</v>
      </c>
      <c r="K425" s="156">
        <v>0.0</v>
      </c>
    </row>
    <row r="426">
      <c r="A426" s="154" t="s">
        <v>1674</v>
      </c>
      <c r="B426" s="155"/>
      <c r="C426" s="154" t="s">
        <v>1675</v>
      </c>
      <c r="D426" s="155"/>
      <c r="E426" s="155"/>
      <c r="F426" s="154" t="s">
        <v>1672</v>
      </c>
      <c r="G426" s="157" t="s">
        <v>1673</v>
      </c>
      <c r="H426" s="156">
        <v>0.0</v>
      </c>
      <c r="I426" s="156">
        <v>0.0</v>
      </c>
      <c r="J426" s="156">
        <v>0.0</v>
      </c>
      <c r="K426" s="156">
        <v>0.0</v>
      </c>
    </row>
    <row r="427">
      <c r="A427" s="154" t="s">
        <v>1674</v>
      </c>
      <c r="B427" s="154" t="s">
        <v>1675</v>
      </c>
      <c r="D427" s="154">
        <v>2.0</v>
      </c>
      <c r="E427" s="154" t="s">
        <v>761</v>
      </c>
      <c r="F427" s="154" t="s">
        <v>1672</v>
      </c>
      <c r="G427" s="157" t="s">
        <v>1673</v>
      </c>
      <c r="H427" s="156">
        <v>0.0</v>
      </c>
      <c r="I427" s="156">
        <v>0.0</v>
      </c>
      <c r="J427" s="156">
        <v>0.0</v>
      </c>
      <c r="K427" s="156">
        <v>0.0</v>
      </c>
    </row>
    <row r="428">
      <c r="A428" s="154" t="s">
        <v>1676</v>
      </c>
      <c r="B428" s="155"/>
      <c r="C428" s="154" t="s">
        <v>1677</v>
      </c>
      <c r="D428" s="155"/>
      <c r="E428" s="155"/>
      <c r="F428" s="154" t="s">
        <v>1678</v>
      </c>
      <c r="G428" s="156">
        <v>0.0</v>
      </c>
      <c r="H428" s="154" t="s">
        <v>1679</v>
      </c>
      <c r="I428" s="154" t="s">
        <v>1680</v>
      </c>
      <c r="J428" s="154" t="s">
        <v>1681</v>
      </c>
      <c r="K428" s="154" t="s">
        <v>329</v>
      </c>
    </row>
    <row r="429">
      <c r="A429" s="154" t="s">
        <v>1676</v>
      </c>
      <c r="B429" s="154" t="s">
        <v>1677</v>
      </c>
      <c r="D429" s="154">
        <v>2.0</v>
      </c>
      <c r="E429" s="154" t="s">
        <v>761</v>
      </c>
      <c r="F429" s="154" t="s">
        <v>1682</v>
      </c>
      <c r="G429" s="156">
        <v>0.0</v>
      </c>
      <c r="H429" s="154" t="s">
        <v>1683</v>
      </c>
      <c r="I429" s="154" t="s">
        <v>1684</v>
      </c>
      <c r="J429" s="154" t="s">
        <v>1685</v>
      </c>
      <c r="K429" s="154" t="s">
        <v>329</v>
      </c>
    </row>
    <row r="430">
      <c r="A430" s="154" t="s">
        <v>1686</v>
      </c>
      <c r="B430" s="155"/>
      <c r="C430" s="154" t="s">
        <v>1687</v>
      </c>
      <c r="D430" s="155"/>
      <c r="E430" s="155"/>
      <c r="F430" s="154" t="s">
        <v>1688</v>
      </c>
      <c r="G430" s="154">
        <v>2445046.0</v>
      </c>
      <c r="H430" s="156">
        <v>0.0</v>
      </c>
      <c r="I430" s="154">
        <v>5.04873035E8</v>
      </c>
      <c r="J430" s="156">
        <v>0.0</v>
      </c>
      <c r="K430" s="154" t="s">
        <v>240</v>
      </c>
    </row>
    <row r="431">
      <c r="A431" s="154" t="s">
        <v>1686</v>
      </c>
      <c r="B431" s="154" t="s">
        <v>1687</v>
      </c>
      <c r="D431" s="154">
        <v>2.0</v>
      </c>
      <c r="E431" s="154" t="s">
        <v>761</v>
      </c>
      <c r="F431" s="154" t="s">
        <v>1688</v>
      </c>
      <c r="G431" s="154">
        <v>2445046.0</v>
      </c>
      <c r="H431" s="156">
        <v>0.0</v>
      </c>
      <c r="I431" s="154">
        <v>5.04873035E8</v>
      </c>
      <c r="J431" s="156">
        <v>0.0</v>
      </c>
      <c r="K431" s="154" t="s">
        <v>240</v>
      </c>
    </row>
    <row r="432">
      <c r="A432" s="154" t="s">
        <v>1689</v>
      </c>
      <c r="B432" s="155"/>
      <c r="C432" s="154" t="s">
        <v>1690</v>
      </c>
      <c r="D432" s="155"/>
      <c r="E432" s="155"/>
      <c r="F432" s="154" t="s">
        <v>1691</v>
      </c>
      <c r="G432" s="156">
        <v>0.0</v>
      </c>
      <c r="H432" s="154" t="s">
        <v>1437</v>
      </c>
      <c r="I432" s="154" t="s">
        <v>1692</v>
      </c>
      <c r="J432" s="156">
        <v>0.0</v>
      </c>
      <c r="K432" s="154" t="s">
        <v>301</v>
      </c>
    </row>
    <row r="433">
      <c r="A433" s="154" t="s">
        <v>1689</v>
      </c>
      <c r="B433" s="154" t="s">
        <v>1690</v>
      </c>
      <c r="D433" s="154">
        <v>2.0</v>
      </c>
      <c r="E433" s="154" t="s">
        <v>761</v>
      </c>
      <c r="F433" s="154" t="s">
        <v>1691</v>
      </c>
      <c r="G433" s="156">
        <v>0.0</v>
      </c>
      <c r="H433" s="154" t="s">
        <v>1437</v>
      </c>
      <c r="I433" s="154" t="s">
        <v>1692</v>
      </c>
      <c r="J433" s="156">
        <v>0.0</v>
      </c>
      <c r="K433" s="154" t="s">
        <v>301</v>
      </c>
    </row>
    <row r="434">
      <c r="A434" s="154" t="s">
        <v>1693</v>
      </c>
      <c r="B434" s="154" t="s">
        <v>1694</v>
      </c>
      <c r="D434" s="154">
        <v>2.0</v>
      </c>
      <c r="E434" s="154" t="s">
        <v>761</v>
      </c>
      <c r="F434" s="154" t="s">
        <v>1695</v>
      </c>
      <c r="G434" s="154">
        <v>5.66813482E8</v>
      </c>
      <c r="H434" s="156">
        <v>0.0</v>
      </c>
      <c r="I434" s="154">
        <v>5.66813482E8</v>
      </c>
      <c r="J434" s="156">
        <v>0.0</v>
      </c>
      <c r="K434" s="154" t="s">
        <v>197</v>
      </c>
    </row>
    <row r="435">
      <c r="A435" s="154" t="s">
        <v>1693</v>
      </c>
      <c r="B435" s="155"/>
      <c r="C435" s="154" t="s">
        <v>1694</v>
      </c>
      <c r="D435" s="155"/>
      <c r="E435" s="155"/>
      <c r="F435" s="154" t="s">
        <v>1695</v>
      </c>
      <c r="G435" s="154">
        <v>5.66813482E8</v>
      </c>
      <c r="H435" s="156">
        <v>0.0</v>
      </c>
      <c r="I435" s="154">
        <v>5.66813482E8</v>
      </c>
      <c r="J435" s="156">
        <v>0.0</v>
      </c>
      <c r="K435" s="154" t="s">
        <v>197</v>
      </c>
    </row>
    <row r="436">
      <c r="A436" s="154" t="s">
        <v>1696</v>
      </c>
      <c r="B436" s="155"/>
      <c r="C436" s="154" t="s">
        <v>1697</v>
      </c>
      <c r="D436" s="155"/>
      <c r="E436" s="155"/>
      <c r="F436" s="154" t="s">
        <v>1698</v>
      </c>
      <c r="G436" s="156">
        <v>0.0</v>
      </c>
      <c r="H436" s="156">
        <v>0.0</v>
      </c>
      <c r="I436" s="154">
        <v>5.03207972E8</v>
      </c>
      <c r="J436" s="156">
        <v>0.0</v>
      </c>
      <c r="K436" s="154" t="s">
        <v>301</v>
      </c>
    </row>
    <row r="437">
      <c r="A437" s="154" t="s">
        <v>1696</v>
      </c>
      <c r="B437" s="154" t="s">
        <v>1697</v>
      </c>
      <c r="D437" s="154">
        <v>2.0</v>
      </c>
      <c r="E437" s="154" t="s">
        <v>761</v>
      </c>
      <c r="F437" s="154" t="s">
        <v>1698</v>
      </c>
      <c r="G437" s="156">
        <v>0.0</v>
      </c>
      <c r="H437" s="156">
        <v>0.0</v>
      </c>
      <c r="I437" s="154">
        <v>5.03207972E8</v>
      </c>
      <c r="J437" s="156">
        <v>0.0</v>
      </c>
      <c r="K437" s="154" t="s">
        <v>301</v>
      </c>
    </row>
    <row r="438">
      <c r="A438" s="154" t="s">
        <v>1699</v>
      </c>
      <c r="B438" s="155"/>
      <c r="C438" s="154" t="s">
        <v>1700</v>
      </c>
      <c r="D438" s="155"/>
      <c r="E438" s="155"/>
      <c r="F438" s="154" t="s">
        <v>1701</v>
      </c>
      <c r="G438" s="154">
        <v>5.61757566E8</v>
      </c>
      <c r="H438" s="156">
        <v>0.0</v>
      </c>
      <c r="I438" s="156">
        <v>0.0</v>
      </c>
      <c r="J438" s="156">
        <v>0.0</v>
      </c>
      <c r="K438" s="154" t="s">
        <v>259</v>
      </c>
    </row>
    <row r="439">
      <c r="A439" s="154" t="s">
        <v>1699</v>
      </c>
      <c r="B439" s="154" t="s">
        <v>1700</v>
      </c>
      <c r="D439" s="154">
        <v>2.0</v>
      </c>
      <c r="E439" s="154" t="s">
        <v>761</v>
      </c>
      <c r="F439" s="154" t="s">
        <v>1701</v>
      </c>
      <c r="G439" s="154">
        <v>5.61757566E8</v>
      </c>
      <c r="H439" s="156">
        <v>0.0</v>
      </c>
      <c r="I439" s="156">
        <v>0.0</v>
      </c>
      <c r="J439" s="156">
        <v>0.0</v>
      </c>
      <c r="K439" s="154" t="s">
        <v>259</v>
      </c>
    </row>
    <row r="440">
      <c r="A440" s="154" t="s">
        <v>1702</v>
      </c>
      <c r="B440" s="155"/>
      <c r="C440" s="154" t="s">
        <v>1703</v>
      </c>
      <c r="D440" s="155"/>
      <c r="E440" s="155"/>
      <c r="F440" s="154" t="s">
        <v>1704</v>
      </c>
      <c r="G440" s="156">
        <v>0.0</v>
      </c>
      <c r="H440" s="156">
        <v>0.0</v>
      </c>
      <c r="I440" s="154" t="s">
        <v>1705</v>
      </c>
      <c r="J440" s="154" t="s">
        <v>1706</v>
      </c>
      <c r="K440" s="154" t="s">
        <v>240</v>
      </c>
    </row>
    <row r="441">
      <c r="A441" s="154" t="s">
        <v>1702</v>
      </c>
      <c r="B441" s="154" t="s">
        <v>1703</v>
      </c>
      <c r="D441" s="154">
        <v>2.0</v>
      </c>
      <c r="E441" s="154" t="s">
        <v>761</v>
      </c>
      <c r="F441" s="154" t="s">
        <v>1704</v>
      </c>
      <c r="G441" s="156">
        <v>0.0</v>
      </c>
      <c r="H441" s="156">
        <v>0.0</v>
      </c>
      <c r="I441" s="154" t="s">
        <v>1705</v>
      </c>
      <c r="J441" s="154" t="s">
        <v>1706</v>
      </c>
      <c r="K441" s="154" t="s">
        <v>240</v>
      </c>
    </row>
    <row r="442">
      <c r="A442" s="154" t="s">
        <v>1707</v>
      </c>
      <c r="B442" s="155"/>
      <c r="C442" s="154" t="s">
        <v>1708</v>
      </c>
      <c r="D442" s="155"/>
      <c r="E442" s="155"/>
      <c r="F442" s="154" t="s">
        <v>1709</v>
      </c>
      <c r="G442" s="154" t="s">
        <v>1710</v>
      </c>
      <c r="H442" s="156">
        <v>0.0</v>
      </c>
      <c r="I442" s="154">
        <v>9.71502625999E11</v>
      </c>
      <c r="J442" s="156">
        <v>0.0</v>
      </c>
      <c r="K442" s="154" t="s">
        <v>301</v>
      </c>
    </row>
    <row r="443">
      <c r="A443" s="154" t="s">
        <v>1707</v>
      </c>
      <c r="B443" s="154" t="s">
        <v>1708</v>
      </c>
      <c r="D443" s="154">
        <v>2.0</v>
      </c>
      <c r="E443" s="154" t="s">
        <v>761</v>
      </c>
      <c r="F443" s="154" t="s">
        <v>1709</v>
      </c>
      <c r="G443" s="154" t="s">
        <v>1710</v>
      </c>
      <c r="H443" s="156">
        <v>0.0</v>
      </c>
      <c r="I443" s="154">
        <v>9.71502625999E11</v>
      </c>
      <c r="J443" s="156">
        <v>0.0</v>
      </c>
      <c r="K443" s="154" t="s">
        <v>301</v>
      </c>
    </row>
    <row r="444">
      <c r="A444" s="154" t="s">
        <v>1711</v>
      </c>
      <c r="B444" s="154" t="s">
        <v>1712</v>
      </c>
      <c r="D444" s="154">
        <v>2.0</v>
      </c>
      <c r="E444" s="154" t="s">
        <v>761</v>
      </c>
      <c r="F444" s="154" t="s">
        <v>1713</v>
      </c>
      <c r="G444" s="154">
        <v>4.3592659E7</v>
      </c>
      <c r="H444" s="156">
        <v>0.0</v>
      </c>
      <c r="I444" s="154">
        <v>0.0</v>
      </c>
      <c r="J444" s="156">
        <v>0.0</v>
      </c>
      <c r="K444" s="154" t="s">
        <v>361</v>
      </c>
    </row>
    <row r="445">
      <c r="A445" s="154" t="s">
        <v>1711</v>
      </c>
      <c r="B445" s="155"/>
      <c r="C445" s="154" t="s">
        <v>1712</v>
      </c>
      <c r="D445" s="155"/>
      <c r="E445" s="155"/>
      <c r="F445" s="154" t="s">
        <v>1713</v>
      </c>
      <c r="G445" s="154">
        <v>4.3592659E7</v>
      </c>
      <c r="H445" s="156">
        <v>0.0</v>
      </c>
      <c r="I445" s="154">
        <v>0.0</v>
      </c>
      <c r="J445" s="156">
        <v>0.0</v>
      </c>
      <c r="K445" s="154" t="s">
        <v>361</v>
      </c>
    </row>
    <row r="446">
      <c r="A446" s="154" t="s">
        <v>1714</v>
      </c>
      <c r="B446" s="155"/>
      <c r="C446" s="154" t="s">
        <v>1715</v>
      </c>
      <c r="D446" s="155"/>
      <c r="E446" s="155"/>
      <c r="F446" s="154" t="s">
        <v>1716</v>
      </c>
      <c r="G446" s="156">
        <v>0.0</v>
      </c>
      <c r="H446" s="156">
        <v>0.0</v>
      </c>
      <c r="I446" s="154">
        <v>9.71506326658E11</v>
      </c>
      <c r="J446" s="156">
        <v>0.0</v>
      </c>
      <c r="K446" s="154" t="s">
        <v>939</v>
      </c>
    </row>
    <row r="447">
      <c r="A447" s="154" t="s">
        <v>1714</v>
      </c>
      <c r="B447" s="154" t="s">
        <v>1715</v>
      </c>
      <c r="D447" s="154">
        <v>2.0</v>
      </c>
      <c r="E447" s="154" t="s">
        <v>761</v>
      </c>
      <c r="F447" s="154" t="s">
        <v>1716</v>
      </c>
      <c r="G447" s="156">
        <v>0.0</v>
      </c>
      <c r="H447" s="156">
        <v>0.0</v>
      </c>
      <c r="I447" s="154">
        <v>9.71506326658E11</v>
      </c>
      <c r="J447" s="156">
        <v>0.0</v>
      </c>
      <c r="K447" s="154" t="s">
        <v>939</v>
      </c>
    </row>
    <row r="448">
      <c r="A448" s="154" t="s">
        <v>1717</v>
      </c>
      <c r="B448" s="155"/>
      <c r="C448" s="154" t="s">
        <v>1718</v>
      </c>
      <c r="D448" s="155"/>
      <c r="E448" s="155"/>
      <c r="F448" s="154" t="s">
        <v>1719</v>
      </c>
      <c r="G448" s="156">
        <v>0.0</v>
      </c>
      <c r="H448" s="156">
        <v>0.0</v>
      </c>
      <c r="I448" s="154" t="s">
        <v>1720</v>
      </c>
      <c r="J448" s="156">
        <v>0.0</v>
      </c>
      <c r="K448" s="154" t="s">
        <v>361</v>
      </c>
    </row>
    <row r="449">
      <c r="A449" s="154" t="s">
        <v>1717</v>
      </c>
      <c r="B449" s="154" t="s">
        <v>1718</v>
      </c>
      <c r="D449" s="154">
        <v>2.0</v>
      </c>
      <c r="E449" s="154" t="s">
        <v>761</v>
      </c>
      <c r="F449" s="154" t="s">
        <v>1719</v>
      </c>
      <c r="G449" s="156">
        <v>0.0</v>
      </c>
      <c r="H449" s="156">
        <v>0.0</v>
      </c>
      <c r="I449" s="154" t="s">
        <v>1720</v>
      </c>
      <c r="J449" s="156">
        <v>0.0</v>
      </c>
      <c r="K449" s="154" t="s">
        <v>361</v>
      </c>
    </row>
    <row r="450">
      <c r="A450" s="154" t="s">
        <v>1721</v>
      </c>
      <c r="B450" s="154" t="s">
        <v>1722</v>
      </c>
      <c r="D450" s="154">
        <v>2.0</v>
      </c>
      <c r="E450" s="154" t="s">
        <v>761</v>
      </c>
      <c r="F450" s="154" t="s">
        <v>1723</v>
      </c>
      <c r="G450" s="154">
        <v>5.02836692E8</v>
      </c>
      <c r="H450" s="156">
        <v>0.0</v>
      </c>
      <c r="I450" s="156">
        <v>0.0</v>
      </c>
      <c r="J450" s="156">
        <v>0.0</v>
      </c>
      <c r="K450" s="154" t="s">
        <v>259</v>
      </c>
    </row>
    <row r="451">
      <c r="A451" s="154" t="s">
        <v>1721</v>
      </c>
      <c r="B451" s="155"/>
      <c r="C451" s="154" t="s">
        <v>1722</v>
      </c>
      <c r="D451" s="155"/>
      <c r="E451" s="155"/>
      <c r="F451" s="154" t="s">
        <v>1724</v>
      </c>
      <c r="G451" s="154">
        <v>5.06570855E8</v>
      </c>
      <c r="H451" s="156">
        <v>0.0</v>
      </c>
      <c r="I451" s="156">
        <v>0.0</v>
      </c>
      <c r="J451" s="156">
        <v>0.0</v>
      </c>
      <c r="K451" s="154" t="s">
        <v>1059</v>
      </c>
    </row>
    <row r="452">
      <c r="A452" s="154" t="s">
        <v>1725</v>
      </c>
      <c r="B452" s="154" t="s">
        <v>1726</v>
      </c>
      <c r="D452" s="154">
        <v>2.0</v>
      </c>
      <c r="E452" s="154" t="s">
        <v>761</v>
      </c>
      <c r="F452" s="154" t="s">
        <v>1727</v>
      </c>
      <c r="G452" s="156">
        <v>0.0</v>
      </c>
      <c r="H452" s="156">
        <v>0.0</v>
      </c>
      <c r="I452" s="154">
        <v>5.67756339E8</v>
      </c>
      <c r="J452" s="156">
        <v>0.0</v>
      </c>
      <c r="K452" s="154" t="s">
        <v>259</v>
      </c>
    </row>
    <row r="453">
      <c r="A453" s="154" t="s">
        <v>1725</v>
      </c>
      <c r="B453" s="155"/>
      <c r="C453" s="154" t="s">
        <v>1726</v>
      </c>
      <c r="D453" s="155"/>
      <c r="E453" s="155"/>
      <c r="F453" s="154" t="s">
        <v>1727</v>
      </c>
      <c r="G453" s="156">
        <v>0.0</v>
      </c>
      <c r="H453" s="156">
        <v>0.0</v>
      </c>
      <c r="I453" s="154">
        <v>5.67756339E8</v>
      </c>
      <c r="J453" s="156">
        <v>0.0</v>
      </c>
      <c r="K453" s="154" t="s">
        <v>259</v>
      </c>
    </row>
    <row r="454">
      <c r="A454" s="154" t="s">
        <v>1728</v>
      </c>
      <c r="B454" s="154" t="s">
        <v>1729</v>
      </c>
      <c r="D454" s="154">
        <v>2.0</v>
      </c>
      <c r="E454" s="154" t="s">
        <v>761</v>
      </c>
      <c r="F454" s="154" t="s">
        <v>1730</v>
      </c>
      <c r="G454" s="154">
        <v>4.2275584E7</v>
      </c>
      <c r="H454" s="156">
        <v>0.0</v>
      </c>
      <c r="I454" s="154">
        <v>5.02137823E8</v>
      </c>
      <c r="J454" s="156">
        <v>0.0</v>
      </c>
      <c r="K454" s="154" t="s">
        <v>1731</v>
      </c>
    </row>
    <row r="455">
      <c r="A455" s="154" t="s">
        <v>1728</v>
      </c>
      <c r="B455" s="155"/>
      <c r="C455" s="154" t="s">
        <v>1729</v>
      </c>
      <c r="D455" s="155"/>
      <c r="E455" s="155"/>
      <c r="F455" s="154" t="s">
        <v>1730</v>
      </c>
      <c r="G455" s="154">
        <v>4.2275584E7</v>
      </c>
      <c r="H455" s="156">
        <v>0.0</v>
      </c>
      <c r="I455" s="154">
        <v>5.02137823E8</v>
      </c>
      <c r="J455" s="156">
        <v>0.0</v>
      </c>
      <c r="K455" s="154" t="s">
        <v>1731</v>
      </c>
    </row>
    <row r="456">
      <c r="A456" s="154" t="s">
        <v>1732</v>
      </c>
      <c r="B456" s="154" t="s">
        <v>1733</v>
      </c>
      <c r="D456" s="154">
        <v>2.0</v>
      </c>
      <c r="E456" s="154" t="s">
        <v>761</v>
      </c>
      <c r="F456" s="154" t="s">
        <v>1734</v>
      </c>
      <c r="G456" s="154">
        <v>4.2275584E7</v>
      </c>
      <c r="H456" s="156">
        <v>0.0</v>
      </c>
      <c r="I456" s="154">
        <v>9.71506586897E11</v>
      </c>
      <c r="J456" s="156">
        <v>0.0</v>
      </c>
      <c r="K456" s="154" t="s">
        <v>1731</v>
      </c>
    </row>
    <row r="457">
      <c r="A457" s="154" t="s">
        <v>1732</v>
      </c>
      <c r="B457" s="155"/>
      <c r="C457" s="154" t="s">
        <v>1733</v>
      </c>
      <c r="D457" s="155"/>
      <c r="E457" s="155"/>
      <c r="F457" s="154" t="s">
        <v>1735</v>
      </c>
      <c r="G457" s="156">
        <v>0.0</v>
      </c>
      <c r="H457" s="156">
        <v>0.0</v>
      </c>
      <c r="I457" s="154" t="s">
        <v>1736</v>
      </c>
      <c r="J457" s="154" t="s">
        <v>1737</v>
      </c>
      <c r="K457" s="154" t="s">
        <v>1731</v>
      </c>
    </row>
    <row r="458">
      <c r="A458" s="154" t="s">
        <v>1738</v>
      </c>
      <c r="B458" s="154" t="s">
        <v>1739</v>
      </c>
      <c r="D458" s="154">
        <v>2.0</v>
      </c>
      <c r="E458" s="154" t="s">
        <v>761</v>
      </c>
      <c r="F458" s="154" t="s">
        <v>1740</v>
      </c>
      <c r="G458" s="156">
        <v>0.0</v>
      </c>
      <c r="H458" s="156">
        <v>0.0</v>
      </c>
      <c r="I458" s="154" t="s">
        <v>1741</v>
      </c>
      <c r="J458" s="156">
        <v>0.0</v>
      </c>
      <c r="K458" s="154" t="s">
        <v>776</v>
      </c>
    </row>
    <row r="459">
      <c r="A459" s="154" t="s">
        <v>1738</v>
      </c>
      <c r="B459" s="155"/>
      <c r="C459" s="154" t="s">
        <v>1739</v>
      </c>
      <c r="D459" s="155"/>
      <c r="E459" s="155"/>
      <c r="F459" s="154" t="s">
        <v>1740</v>
      </c>
      <c r="G459" s="156">
        <v>0.0</v>
      </c>
      <c r="H459" s="156">
        <v>0.0</v>
      </c>
      <c r="I459" s="154" t="s">
        <v>1741</v>
      </c>
      <c r="J459" s="156">
        <v>0.0</v>
      </c>
      <c r="K459" s="154" t="s">
        <v>776</v>
      </c>
    </row>
    <row r="460">
      <c r="A460" s="154" t="s">
        <v>1742</v>
      </c>
      <c r="B460" s="154" t="s">
        <v>1743</v>
      </c>
      <c r="D460" s="154">
        <v>2.0</v>
      </c>
      <c r="E460" s="154" t="s">
        <v>761</v>
      </c>
      <c r="F460" s="154" t="s">
        <v>1744</v>
      </c>
      <c r="G460" s="154">
        <v>5.08350556E8</v>
      </c>
      <c r="H460" s="156">
        <v>0.0</v>
      </c>
      <c r="I460" s="156">
        <v>0.0</v>
      </c>
      <c r="J460" s="156">
        <v>0.0</v>
      </c>
      <c r="K460" s="154" t="s">
        <v>206</v>
      </c>
    </row>
    <row r="461">
      <c r="A461" s="154" t="s">
        <v>1742</v>
      </c>
      <c r="B461" s="155"/>
      <c r="C461" s="154" t="s">
        <v>1743</v>
      </c>
      <c r="D461" s="155"/>
      <c r="E461" s="155"/>
      <c r="F461" s="154" t="s">
        <v>1744</v>
      </c>
      <c r="G461" s="154">
        <v>5.08350556E8</v>
      </c>
      <c r="H461" s="156">
        <v>0.0</v>
      </c>
      <c r="I461" s="156">
        <v>0.0</v>
      </c>
      <c r="J461" s="156">
        <v>0.0</v>
      </c>
      <c r="K461" s="154" t="s">
        <v>206</v>
      </c>
    </row>
    <row r="462">
      <c r="A462" s="154" t="s">
        <v>1745</v>
      </c>
      <c r="B462" s="154" t="s">
        <v>1746</v>
      </c>
      <c r="D462" s="154">
        <v>2.0</v>
      </c>
      <c r="E462" s="154" t="s">
        <v>761</v>
      </c>
      <c r="F462" s="154" t="s">
        <v>1747</v>
      </c>
      <c r="G462" s="154">
        <v>0.0</v>
      </c>
      <c r="H462" s="156">
        <v>0.0</v>
      </c>
      <c r="I462" s="154">
        <v>9.71506245289E11</v>
      </c>
      <c r="J462" s="156">
        <v>0.0</v>
      </c>
      <c r="K462" s="154" t="s">
        <v>361</v>
      </c>
    </row>
    <row r="463">
      <c r="A463" s="154" t="s">
        <v>1745</v>
      </c>
      <c r="B463" s="155"/>
      <c r="C463" s="154" t="s">
        <v>1746</v>
      </c>
      <c r="D463" s="155"/>
      <c r="E463" s="155"/>
      <c r="F463" s="154" t="s">
        <v>1748</v>
      </c>
      <c r="G463" s="154">
        <v>455487.0</v>
      </c>
      <c r="H463" s="156">
        <v>0.0</v>
      </c>
      <c r="I463" s="154">
        <v>455487.0</v>
      </c>
      <c r="J463" s="156">
        <v>0.0</v>
      </c>
      <c r="K463" s="154" t="s">
        <v>361</v>
      </c>
    </row>
    <row r="464">
      <c r="A464" s="154" t="s">
        <v>1749</v>
      </c>
      <c r="B464" s="154" t="s">
        <v>1750</v>
      </c>
      <c r="D464" s="154">
        <v>2.0</v>
      </c>
      <c r="E464" s="154" t="s">
        <v>761</v>
      </c>
      <c r="F464" s="154" t="s">
        <v>1751</v>
      </c>
      <c r="G464" s="154">
        <v>4.3351555E7</v>
      </c>
      <c r="H464" s="156">
        <v>0.0</v>
      </c>
      <c r="I464" s="154">
        <v>5.0155768E8</v>
      </c>
      <c r="J464" s="156">
        <v>0.0</v>
      </c>
      <c r="K464" s="154" t="s">
        <v>361</v>
      </c>
    </row>
    <row r="465">
      <c r="A465" s="154" t="s">
        <v>1749</v>
      </c>
      <c r="B465" s="155"/>
      <c r="C465" s="154" t="s">
        <v>1750</v>
      </c>
      <c r="D465" s="155"/>
      <c r="E465" s="155"/>
      <c r="F465" s="154" t="s">
        <v>1751</v>
      </c>
      <c r="G465" s="154">
        <v>4.3351555E7</v>
      </c>
      <c r="H465" s="156">
        <v>0.0</v>
      </c>
      <c r="I465" s="154">
        <v>5.0155768E8</v>
      </c>
      <c r="J465" s="156">
        <v>0.0</v>
      </c>
      <c r="K465" s="154" t="s">
        <v>361</v>
      </c>
    </row>
    <row r="466">
      <c r="A466" s="154" t="s">
        <v>1752</v>
      </c>
      <c r="B466" s="155"/>
      <c r="C466" s="154" t="s">
        <v>1753</v>
      </c>
      <c r="D466" s="155"/>
      <c r="E466" s="155"/>
      <c r="F466" s="154" t="s">
        <v>1754</v>
      </c>
      <c r="G466" s="154" t="s">
        <v>1755</v>
      </c>
      <c r="H466" s="156">
        <v>0.0</v>
      </c>
      <c r="I466" s="154">
        <v>9.71506541525E11</v>
      </c>
      <c r="J466" s="156">
        <v>0.0</v>
      </c>
      <c r="K466" s="154" t="s">
        <v>361</v>
      </c>
    </row>
    <row r="467">
      <c r="A467" s="154" t="s">
        <v>1752</v>
      </c>
      <c r="B467" s="154" t="s">
        <v>1753</v>
      </c>
      <c r="D467" s="154">
        <v>2.0</v>
      </c>
      <c r="E467" s="154" t="s">
        <v>761</v>
      </c>
      <c r="F467" s="154" t="s">
        <v>1754</v>
      </c>
      <c r="G467" s="154" t="s">
        <v>1755</v>
      </c>
      <c r="H467" s="156">
        <v>0.0</v>
      </c>
      <c r="I467" s="154">
        <v>9.71506541525E11</v>
      </c>
      <c r="J467" s="156">
        <v>0.0</v>
      </c>
      <c r="K467" s="154" t="s">
        <v>361</v>
      </c>
    </row>
    <row r="468">
      <c r="A468" s="154" t="s">
        <v>1756</v>
      </c>
      <c r="B468" s="154" t="s">
        <v>1757</v>
      </c>
      <c r="D468" s="154">
        <v>2.0</v>
      </c>
      <c r="E468" s="154" t="s">
        <v>761</v>
      </c>
      <c r="F468" s="154" t="s">
        <v>1758</v>
      </c>
      <c r="G468" s="154">
        <v>5.01142844E8</v>
      </c>
      <c r="H468" s="156">
        <v>0.0</v>
      </c>
      <c r="I468" s="154">
        <v>9.71501142844E11</v>
      </c>
      <c r="J468" s="156">
        <v>0.0</v>
      </c>
      <c r="K468" s="154" t="s">
        <v>818</v>
      </c>
    </row>
    <row r="469">
      <c r="A469" s="154" t="s">
        <v>1756</v>
      </c>
      <c r="B469" s="155"/>
      <c r="C469" s="154" t="s">
        <v>1757</v>
      </c>
      <c r="D469" s="155"/>
      <c r="E469" s="155"/>
      <c r="F469" s="154" t="s">
        <v>1758</v>
      </c>
      <c r="G469" s="154">
        <v>5.01142844E8</v>
      </c>
      <c r="H469" s="156">
        <v>0.0</v>
      </c>
      <c r="I469" s="154">
        <v>9.71501142844E11</v>
      </c>
      <c r="J469" s="156">
        <v>0.0</v>
      </c>
      <c r="K469" s="154" t="s">
        <v>818</v>
      </c>
    </row>
    <row r="470">
      <c r="A470" s="154" t="s">
        <v>1759</v>
      </c>
      <c r="B470" s="154" t="s">
        <v>1760</v>
      </c>
      <c r="D470" s="154">
        <v>2.0</v>
      </c>
      <c r="E470" s="154" t="s">
        <v>761</v>
      </c>
      <c r="F470" s="154" t="s">
        <v>1761</v>
      </c>
      <c r="G470" s="154">
        <v>4.602414E7</v>
      </c>
      <c r="H470" s="156">
        <v>0.0</v>
      </c>
      <c r="I470" s="154">
        <v>5.0624939E8</v>
      </c>
      <c r="J470" s="156">
        <v>0.0</v>
      </c>
      <c r="K470" s="154" t="s">
        <v>361</v>
      </c>
    </row>
    <row r="471">
      <c r="A471" s="154" t="s">
        <v>1759</v>
      </c>
      <c r="B471" s="155"/>
      <c r="C471" s="154" t="s">
        <v>1760</v>
      </c>
      <c r="D471" s="155"/>
      <c r="E471" s="155"/>
      <c r="F471" s="154" t="s">
        <v>1762</v>
      </c>
      <c r="G471" s="154">
        <v>4.602414E7</v>
      </c>
      <c r="H471" s="156">
        <v>0.0</v>
      </c>
      <c r="I471" s="154">
        <v>5.0454417E8</v>
      </c>
      <c r="J471" s="156">
        <v>0.0</v>
      </c>
      <c r="K471" s="154" t="s">
        <v>361</v>
      </c>
    </row>
    <row r="472">
      <c r="A472" s="154" t="s">
        <v>1763</v>
      </c>
      <c r="B472" s="155"/>
      <c r="C472" s="154" t="s">
        <v>1764</v>
      </c>
      <c r="D472" s="155"/>
      <c r="E472" s="155"/>
      <c r="F472" s="154" t="s">
        <v>792</v>
      </c>
      <c r="G472" s="154" t="s">
        <v>793</v>
      </c>
      <c r="H472" s="154" t="s">
        <v>794</v>
      </c>
      <c r="I472" s="156">
        <v>0.0</v>
      </c>
      <c r="J472" s="156">
        <v>0.0</v>
      </c>
      <c r="K472" s="156">
        <v>0.0</v>
      </c>
    </row>
    <row r="473">
      <c r="A473" s="154" t="s">
        <v>1763</v>
      </c>
      <c r="B473" s="154" t="s">
        <v>1764</v>
      </c>
      <c r="C473" s="155"/>
      <c r="D473" s="154">
        <v>2.0</v>
      </c>
      <c r="E473" s="154" t="s">
        <v>1237</v>
      </c>
      <c r="F473" s="154" t="s">
        <v>792</v>
      </c>
      <c r="G473" s="154" t="s">
        <v>793</v>
      </c>
      <c r="H473" s="154" t="s">
        <v>794</v>
      </c>
      <c r="I473" s="156">
        <v>0.0</v>
      </c>
      <c r="J473" s="156">
        <v>0.0</v>
      </c>
      <c r="K473" s="156">
        <v>0.0</v>
      </c>
    </row>
    <row r="474">
      <c r="A474" s="154" t="s">
        <v>1765</v>
      </c>
      <c r="B474" s="154" t="s">
        <v>1766</v>
      </c>
      <c r="C474" s="155"/>
      <c r="D474" s="154">
        <v>2.0</v>
      </c>
      <c r="E474" s="154" t="s">
        <v>1237</v>
      </c>
      <c r="F474" s="154" t="s">
        <v>1767</v>
      </c>
      <c r="G474" s="154">
        <v>0.0</v>
      </c>
      <c r="H474" s="156">
        <v>0.0</v>
      </c>
      <c r="I474" s="154">
        <v>9.71508477311E11</v>
      </c>
      <c r="J474" s="156">
        <v>0.0</v>
      </c>
      <c r="K474" s="154" t="s">
        <v>361</v>
      </c>
      <c r="L474" s="88" t="s">
        <v>1768</v>
      </c>
    </row>
    <row r="475">
      <c r="A475" s="154" t="s">
        <v>1765</v>
      </c>
      <c r="B475" s="155"/>
      <c r="C475" s="154" t="s">
        <v>1766</v>
      </c>
      <c r="D475" s="155"/>
      <c r="E475" s="155"/>
      <c r="F475" s="154" t="s">
        <v>1767</v>
      </c>
      <c r="G475" s="154">
        <v>0.0</v>
      </c>
      <c r="H475" s="156">
        <v>0.0</v>
      </c>
      <c r="I475" s="154">
        <v>9.71508477311E11</v>
      </c>
      <c r="J475" s="156">
        <v>0.0</v>
      </c>
      <c r="K475" s="154" t="s">
        <v>361</v>
      </c>
    </row>
    <row r="476">
      <c r="A476" s="154" t="s">
        <v>1769</v>
      </c>
      <c r="B476" s="155"/>
      <c r="C476" s="154" t="s">
        <v>1770</v>
      </c>
      <c r="D476" s="155"/>
      <c r="E476" s="155"/>
      <c r="F476" s="154" t="s">
        <v>1771</v>
      </c>
      <c r="G476" s="156">
        <v>0.0</v>
      </c>
      <c r="H476" s="156">
        <v>0.0</v>
      </c>
      <c r="I476" s="154">
        <v>5.07577772E8</v>
      </c>
      <c r="J476" s="156">
        <v>0.0</v>
      </c>
      <c r="K476" s="154" t="s">
        <v>207</v>
      </c>
      <c r="L476" s="88" t="s">
        <v>1772</v>
      </c>
    </row>
    <row r="477">
      <c r="A477" s="154" t="s">
        <v>1769</v>
      </c>
      <c r="B477" s="154" t="s">
        <v>1770</v>
      </c>
      <c r="C477" s="155"/>
      <c r="D477" s="154">
        <v>2.0</v>
      </c>
      <c r="E477" s="154" t="s">
        <v>1237</v>
      </c>
      <c r="F477" s="154" t="s">
        <v>1771</v>
      </c>
      <c r="G477" s="156">
        <v>0.0</v>
      </c>
      <c r="H477" s="156">
        <v>0.0</v>
      </c>
      <c r="I477" s="154">
        <v>5.07577772E8</v>
      </c>
      <c r="J477" s="156">
        <v>0.0</v>
      </c>
      <c r="K477" s="154" t="s">
        <v>207</v>
      </c>
    </row>
    <row r="478">
      <c r="A478" s="154" t="s">
        <v>1773</v>
      </c>
      <c r="B478" s="155"/>
      <c r="C478" s="154" t="s">
        <v>1774</v>
      </c>
      <c r="D478" s="155"/>
      <c r="E478" s="155"/>
      <c r="F478" s="154" t="s">
        <v>1238</v>
      </c>
      <c r="G478" s="154">
        <v>4.7018111E7</v>
      </c>
      <c r="H478" s="154" t="s">
        <v>1239</v>
      </c>
      <c r="I478" s="156">
        <v>0.0</v>
      </c>
      <c r="J478" s="156">
        <v>0.0</v>
      </c>
      <c r="K478" s="156">
        <v>0.0</v>
      </c>
    </row>
    <row r="479">
      <c r="A479" s="154" t="s">
        <v>1773</v>
      </c>
      <c r="B479" s="154" t="s">
        <v>1774</v>
      </c>
      <c r="C479" s="155"/>
      <c r="D479" s="154">
        <v>2.0</v>
      </c>
      <c r="E479" s="154" t="s">
        <v>1237</v>
      </c>
      <c r="F479" s="154" t="s">
        <v>1238</v>
      </c>
      <c r="G479" s="154">
        <v>4.7018111E7</v>
      </c>
      <c r="H479" s="154" t="s">
        <v>1239</v>
      </c>
      <c r="I479" s="156">
        <v>0.0</v>
      </c>
      <c r="J479" s="156">
        <v>0.0</v>
      </c>
      <c r="K479" s="156">
        <v>0.0</v>
      </c>
    </row>
    <row r="480">
      <c r="A480" s="154" t="s">
        <v>1775</v>
      </c>
      <c r="B480" s="154" t="s">
        <v>1776</v>
      </c>
      <c r="C480" s="155"/>
      <c r="D480" s="154">
        <v>2.0</v>
      </c>
      <c r="E480" s="154" t="s">
        <v>1237</v>
      </c>
      <c r="F480" s="154" t="s">
        <v>1238</v>
      </c>
      <c r="G480" s="154">
        <v>4.7018111E7</v>
      </c>
      <c r="H480" s="154" t="s">
        <v>1239</v>
      </c>
      <c r="I480" s="156">
        <v>0.0</v>
      </c>
      <c r="J480" s="156">
        <v>0.0</v>
      </c>
      <c r="K480" s="156">
        <v>0.0</v>
      </c>
      <c r="L480" s="88" t="s">
        <v>1777</v>
      </c>
    </row>
    <row r="481">
      <c r="A481" s="154" t="s">
        <v>1775</v>
      </c>
      <c r="B481" s="155"/>
      <c r="C481" s="154" t="s">
        <v>1776</v>
      </c>
      <c r="D481" s="155"/>
      <c r="E481" s="155"/>
      <c r="F481" s="154" t="s">
        <v>1238</v>
      </c>
      <c r="G481" s="154">
        <v>4.7018111E7</v>
      </c>
      <c r="H481" s="154" t="s">
        <v>1239</v>
      </c>
      <c r="I481" s="156">
        <v>0.0</v>
      </c>
      <c r="J481" s="156">
        <v>0.0</v>
      </c>
      <c r="K481" s="156">
        <v>0.0</v>
      </c>
    </row>
    <row r="482">
      <c r="A482" s="154" t="s">
        <v>1778</v>
      </c>
      <c r="B482" s="155"/>
      <c r="C482" s="154" t="s">
        <v>1779</v>
      </c>
      <c r="D482" s="155"/>
      <c r="E482" s="155"/>
      <c r="F482" s="154" t="s">
        <v>1238</v>
      </c>
      <c r="G482" s="154">
        <v>4.7018111E7</v>
      </c>
      <c r="H482" s="154" t="s">
        <v>1239</v>
      </c>
      <c r="I482" s="156">
        <v>0.0</v>
      </c>
      <c r="J482" s="156">
        <v>0.0</v>
      </c>
      <c r="K482" s="156">
        <v>0.0</v>
      </c>
    </row>
    <row r="483">
      <c r="A483" s="154" t="s">
        <v>1778</v>
      </c>
      <c r="B483" s="154" t="s">
        <v>1779</v>
      </c>
      <c r="C483" s="155"/>
      <c r="D483" s="154">
        <v>2.0</v>
      </c>
      <c r="E483" s="154" t="s">
        <v>1237</v>
      </c>
      <c r="F483" s="154" t="s">
        <v>1238</v>
      </c>
      <c r="G483" s="154">
        <v>4.7018111E7</v>
      </c>
      <c r="H483" s="154" t="s">
        <v>1239</v>
      </c>
      <c r="I483" s="156">
        <v>0.0</v>
      </c>
      <c r="J483" s="156">
        <v>0.0</v>
      </c>
      <c r="K483" s="156">
        <v>0.0</v>
      </c>
    </row>
    <row r="484">
      <c r="A484" s="154" t="s">
        <v>1780</v>
      </c>
      <c r="B484" s="154" t="s">
        <v>1781</v>
      </c>
      <c r="C484" s="155"/>
      <c r="D484" s="154">
        <v>2.0</v>
      </c>
      <c r="E484" s="154" t="s">
        <v>1237</v>
      </c>
      <c r="F484" s="154" t="s">
        <v>1238</v>
      </c>
      <c r="G484" s="154">
        <v>4.7018111E7</v>
      </c>
      <c r="H484" s="154" t="s">
        <v>1239</v>
      </c>
      <c r="I484" s="156">
        <v>0.0</v>
      </c>
      <c r="J484" s="156">
        <v>0.0</v>
      </c>
      <c r="K484" s="156">
        <v>0.0</v>
      </c>
    </row>
    <row r="485">
      <c r="A485" s="154" t="s">
        <v>1780</v>
      </c>
      <c r="B485" s="155"/>
      <c r="C485" s="154" t="s">
        <v>1781</v>
      </c>
      <c r="D485" s="155"/>
      <c r="E485" s="155"/>
      <c r="F485" s="154" t="s">
        <v>1238</v>
      </c>
      <c r="G485" s="154">
        <v>4.7018111E7</v>
      </c>
      <c r="H485" s="154" t="s">
        <v>1239</v>
      </c>
      <c r="I485" s="156">
        <v>0.0</v>
      </c>
      <c r="J485" s="156">
        <v>0.0</v>
      </c>
      <c r="K485" s="156">
        <v>0.0</v>
      </c>
    </row>
    <row r="486">
      <c r="A486" s="154" t="s">
        <v>1782</v>
      </c>
      <c r="B486" s="154" t="s">
        <v>1783</v>
      </c>
      <c r="C486" s="155"/>
      <c r="D486" s="154">
        <v>2.0</v>
      </c>
      <c r="E486" s="154" t="s">
        <v>1237</v>
      </c>
      <c r="F486" s="154" t="s">
        <v>1238</v>
      </c>
      <c r="G486" s="154">
        <v>4.7018111E7</v>
      </c>
      <c r="H486" s="154" t="s">
        <v>1239</v>
      </c>
      <c r="I486" s="156">
        <v>0.0</v>
      </c>
      <c r="J486" s="156">
        <v>0.0</v>
      </c>
      <c r="K486" s="156">
        <v>0.0</v>
      </c>
    </row>
    <row r="487">
      <c r="A487" s="154" t="s">
        <v>1782</v>
      </c>
      <c r="B487" s="155"/>
      <c r="C487" s="154" t="s">
        <v>1783</v>
      </c>
      <c r="D487" s="155"/>
      <c r="E487" s="155"/>
      <c r="F487" s="154" t="s">
        <v>1238</v>
      </c>
      <c r="G487" s="154">
        <v>4.7018111E7</v>
      </c>
      <c r="H487" s="154" t="s">
        <v>1239</v>
      </c>
      <c r="I487" s="156">
        <v>0.0</v>
      </c>
      <c r="J487" s="156">
        <v>0.0</v>
      </c>
      <c r="K487" s="156">
        <v>0.0</v>
      </c>
    </row>
    <row r="488">
      <c r="A488" s="154" t="s">
        <v>1784</v>
      </c>
      <c r="B488" s="154" t="s">
        <v>1785</v>
      </c>
      <c r="C488" s="155"/>
      <c r="D488" s="154">
        <v>2.0</v>
      </c>
      <c r="E488" s="154" t="s">
        <v>1237</v>
      </c>
      <c r="F488" s="154" t="s">
        <v>1238</v>
      </c>
      <c r="G488" s="154">
        <v>4.7018111E7</v>
      </c>
      <c r="H488" s="154" t="s">
        <v>1239</v>
      </c>
      <c r="I488" s="156">
        <v>0.0</v>
      </c>
      <c r="J488" s="156">
        <v>0.0</v>
      </c>
      <c r="K488" s="156">
        <v>0.0</v>
      </c>
    </row>
    <row r="489">
      <c r="A489" s="154" t="s">
        <v>1784</v>
      </c>
      <c r="B489" s="155"/>
      <c r="C489" s="154" t="s">
        <v>1785</v>
      </c>
      <c r="D489" s="155"/>
      <c r="E489" s="155"/>
      <c r="F489" s="154" t="s">
        <v>1238</v>
      </c>
      <c r="G489" s="154">
        <v>4.7018111E7</v>
      </c>
      <c r="H489" s="154" t="s">
        <v>1239</v>
      </c>
      <c r="I489" s="156">
        <v>0.0</v>
      </c>
      <c r="J489" s="156">
        <v>0.0</v>
      </c>
      <c r="K489" s="156">
        <v>0.0</v>
      </c>
    </row>
    <row r="490">
      <c r="A490" s="154" t="s">
        <v>1786</v>
      </c>
      <c r="B490" s="154" t="s">
        <v>1787</v>
      </c>
      <c r="C490" s="155"/>
      <c r="D490" s="154">
        <v>2.0</v>
      </c>
      <c r="E490" s="154" t="s">
        <v>1237</v>
      </c>
      <c r="F490" s="154" t="s">
        <v>1788</v>
      </c>
      <c r="G490" s="154">
        <v>5.56419152E8</v>
      </c>
      <c r="H490" s="156">
        <v>0.0</v>
      </c>
      <c r="I490" s="154">
        <v>5.56419152E8</v>
      </c>
      <c r="J490" s="156">
        <v>0.0</v>
      </c>
      <c r="K490" s="154" t="s">
        <v>259</v>
      </c>
      <c r="L490" s="88" t="s">
        <v>1789</v>
      </c>
    </row>
    <row r="491">
      <c r="A491" s="154" t="s">
        <v>1786</v>
      </c>
      <c r="B491" s="155"/>
      <c r="C491" s="154" t="s">
        <v>1787</v>
      </c>
      <c r="D491" s="155"/>
      <c r="E491" s="155"/>
      <c r="F491" s="154" t="s">
        <v>1790</v>
      </c>
      <c r="G491" s="156">
        <v>0.0</v>
      </c>
      <c r="H491" s="154" t="s">
        <v>1791</v>
      </c>
      <c r="I491" s="154" t="s">
        <v>1792</v>
      </c>
      <c r="J491" s="154" t="s">
        <v>1793</v>
      </c>
      <c r="K491" s="154" t="s">
        <v>259</v>
      </c>
      <c r="L491" s="88" t="s">
        <v>1789</v>
      </c>
    </row>
    <row r="492">
      <c r="A492" s="154" t="s">
        <v>1794</v>
      </c>
      <c r="B492" s="155"/>
      <c r="C492" s="154" t="s">
        <v>1795</v>
      </c>
      <c r="D492" s="155"/>
      <c r="E492" s="155"/>
      <c r="F492" s="154" t="s">
        <v>1796</v>
      </c>
      <c r="G492" s="154" t="s">
        <v>1797</v>
      </c>
      <c r="H492" s="154" t="s">
        <v>1798</v>
      </c>
      <c r="I492" s="156">
        <v>0.0</v>
      </c>
      <c r="J492" s="156">
        <v>0.0</v>
      </c>
      <c r="K492" s="156">
        <v>0.0</v>
      </c>
    </row>
    <row r="493">
      <c r="A493" s="154" t="s">
        <v>1794</v>
      </c>
      <c r="B493" s="154" t="s">
        <v>1795</v>
      </c>
      <c r="C493" s="155"/>
      <c r="D493" s="154">
        <v>2.0</v>
      </c>
      <c r="E493" s="154" t="s">
        <v>1237</v>
      </c>
      <c r="F493" s="154" t="s">
        <v>1796</v>
      </c>
      <c r="G493" s="154" t="s">
        <v>1797</v>
      </c>
      <c r="H493" s="154" t="s">
        <v>1798</v>
      </c>
      <c r="I493" s="156">
        <v>0.0</v>
      </c>
      <c r="J493" s="156">
        <v>0.0</v>
      </c>
      <c r="K493" s="156">
        <v>0.0</v>
      </c>
    </row>
    <row r="494">
      <c r="A494" s="154" t="s">
        <v>1799</v>
      </c>
      <c r="B494" s="154" t="s">
        <v>1800</v>
      </c>
      <c r="D494" s="154">
        <v>2.0</v>
      </c>
      <c r="E494" s="154" t="s">
        <v>761</v>
      </c>
      <c r="F494" s="154" t="s">
        <v>1801</v>
      </c>
      <c r="G494" s="156">
        <v>0.0</v>
      </c>
      <c r="H494" s="154" t="s">
        <v>1802</v>
      </c>
      <c r="I494" s="154" t="s">
        <v>1803</v>
      </c>
      <c r="J494" s="156">
        <v>0.0</v>
      </c>
      <c r="K494" s="154" t="s">
        <v>361</v>
      </c>
    </row>
    <row r="495">
      <c r="A495" s="154" t="s">
        <v>1799</v>
      </c>
      <c r="B495" s="155"/>
      <c r="C495" s="154" t="s">
        <v>1800</v>
      </c>
      <c r="D495" s="155"/>
      <c r="E495" s="155"/>
      <c r="F495" s="154" t="s">
        <v>1801</v>
      </c>
      <c r="G495" s="156">
        <v>0.0</v>
      </c>
      <c r="H495" s="154" t="s">
        <v>1802</v>
      </c>
      <c r="I495" s="154" t="s">
        <v>1803</v>
      </c>
      <c r="J495" s="156">
        <v>0.0</v>
      </c>
      <c r="K495" s="154" t="s">
        <v>361</v>
      </c>
    </row>
    <row r="496">
      <c r="A496" s="154" t="s">
        <v>1804</v>
      </c>
      <c r="B496" s="155"/>
      <c r="C496" s="154" t="s">
        <v>1805</v>
      </c>
      <c r="D496" s="155"/>
      <c r="E496" s="155"/>
      <c r="F496" s="154" t="s">
        <v>1806</v>
      </c>
      <c r="G496" s="156">
        <v>0.0</v>
      </c>
      <c r="H496" s="154" t="s">
        <v>1807</v>
      </c>
      <c r="I496" s="154" t="s">
        <v>1808</v>
      </c>
      <c r="J496" s="156">
        <v>0.0</v>
      </c>
      <c r="K496" s="154" t="s">
        <v>760</v>
      </c>
    </row>
    <row r="497">
      <c r="A497" s="154" t="s">
        <v>1804</v>
      </c>
      <c r="B497" s="154" t="s">
        <v>1805</v>
      </c>
      <c r="D497" s="154">
        <v>2.0</v>
      </c>
      <c r="E497" s="154" t="s">
        <v>761</v>
      </c>
      <c r="F497" s="154" t="s">
        <v>1190</v>
      </c>
      <c r="G497" s="154">
        <v>5.0851975E8</v>
      </c>
      <c r="H497" s="154" t="s">
        <v>1191</v>
      </c>
      <c r="I497" s="156">
        <v>0.0</v>
      </c>
      <c r="J497" s="156">
        <v>0.0</v>
      </c>
      <c r="K497" s="156">
        <v>0.0</v>
      </c>
    </row>
    <row r="498">
      <c r="A498" s="154" t="s">
        <v>1809</v>
      </c>
      <c r="B498" s="155"/>
      <c r="C498" s="154" t="s">
        <v>1810</v>
      </c>
      <c r="D498" s="155"/>
      <c r="E498" s="155"/>
      <c r="F498" s="154" t="s">
        <v>1811</v>
      </c>
      <c r="G498" s="156">
        <v>0.0</v>
      </c>
      <c r="H498" s="154" t="s">
        <v>1812</v>
      </c>
      <c r="I498" s="154" t="s">
        <v>1813</v>
      </c>
      <c r="J498" s="156">
        <v>0.0</v>
      </c>
      <c r="K498" s="154" t="s">
        <v>1814</v>
      </c>
    </row>
    <row r="499">
      <c r="A499" s="154" t="s">
        <v>1809</v>
      </c>
      <c r="B499" s="154" t="s">
        <v>1810</v>
      </c>
      <c r="D499" s="154">
        <v>2.0</v>
      </c>
      <c r="E499" s="154" t="s">
        <v>761</v>
      </c>
      <c r="F499" s="154" t="s">
        <v>1815</v>
      </c>
      <c r="G499" s="154" t="s">
        <v>1816</v>
      </c>
      <c r="H499" s="154" t="s">
        <v>1817</v>
      </c>
      <c r="I499" s="154" t="s">
        <v>1818</v>
      </c>
      <c r="J499" s="156">
        <v>0.0</v>
      </c>
      <c r="K499" s="154" t="s">
        <v>776</v>
      </c>
    </row>
    <row r="500">
      <c r="A500" s="154" t="s">
        <v>1819</v>
      </c>
      <c r="B500" s="154" t="s">
        <v>1820</v>
      </c>
      <c r="D500" s="154">
        <v>2.0</v>
      </c>
      <c r="E500" s="154" t="s">
        <v>761</v>
      </c>
      <c r="F500" s="154" t="s">
        <v>1821</v>
      </c>
      <c r="G500" s="154">
        <v>0.0</v>
      </c>
      <c r="H500" s="156">
        <v>0.0</v>
      </c>
      <c r="I500" s="154">
        <v>5.06461345E8</v>
      </c>
      <c r="J500" s="156">
        <v>0.0</v>
      </c>
      <c r="K500" s="154" t="s">
        <v>361</v>
      </c>
    </row>
    <row r="501">
      <c r="A501" s="154" t="s">
        <v>1819</v>
      </c>
      <c r="B501" s="155"/>
      <c r="C501" s="154" t="s">
        <v>1820</v>
      </c>
      <c r="D501" s="155"/>
      <c r="E501" s="155"/>
      <c r="F501" s="154" t="s">
        <v>1821</v>
      </c>
      <c r="G501" s="154">
        <v>0.0</v>
      </c>
      <c r="H501" s="156">
        <v>0.0</v>
      </c>
      <c r="I501" s="154">
        <v>5.06461345E8</v>
      </c>
      <c r="J501" s="156">
        <v>0.0</v>
      </c>
      <c r="K501" s="154" t="s">
        <v>361</v>
      </c>
    </row>
    <row r="502">
      <c r="A502" s="154" t="s">
        <v>1822</v>
      </c>
      <c r="B502" s="155"/>
      <c r="C502" s="154" t="s">
        <v>1823</v>
      </c>
      <c r="D502" s="155"/>
      <c r="E502" s="155"/>
      <c r="F502" s="154" t="s">
        <v>1824</v>
      </c>
      <c r="G502" s="156">
        <v>0.0</v>
      </c>
      <c r="H502" s="154" t="s">
        <v>1193</v>
      </c>
      <c r="I502" s="154" t="s">
        <v>1825</v>
      </c>
      <c r="J502" s="154" t="s">
        <v>1826</v>
      </c>
      <c r="K502" s="154" t="s">
        <v>1537</v>
      </c>
    </row>
    <row r="503">
      <c r="A503" s="154" t="s">
        <v>1822</v>
      </c>
      <c r="B503" s="154" t="s">
        <v>1823</v>
      </c>
      <c r="C503" s="155"/>
      <c r="D503" s="154">
        <v>2.0</v>
      </c>
      <c r="E503" s="154" t="s">
        <v>1237</v>
      </c>
      <c r="F503" s="154" t="s">
        <v>1824</v>
      </c>
      <c r="G503" s="156">
        <v>0.0</v>
      </c>
      <c r="H503" s="154" t="s">
        <v>1193</v>
      </c>
      <c r="I503" s="154" t="s">
        <v>1825</v>
      </c>
      <c r="J503" s="154" t="s">
        <v>1826</v>
      </c>
      <c r="K503" s="154" t="s">
        <v>1537</v>
      </c>
    </row>
    <row r="504">
      <c r="A504" s="154" t="s">
        <v>1827</v>
      </c>
      <c r="B504" s="154" t="s">
        <v>1828</v>
      </c>
      <c r="C504" s="155"/>
      <c r="D504" s="154">
        <v>2.0</v>
      </c>
      <c r="E504" s="154" t="s">
        <v>1237</v>
      </c>
      <c r="F504" s="154" t="s">
        <v>1829</v>
      </c>
      <c r="G504" s="154">
        <v>5.03670361E8</v>
      </c>
      <c r="H504" s="156">
        <v>0.0</v>
      </c>
      <c r="I504" s="154">
        <v>9.66505812518E11</v>
      </c>
      <c r="J504" s="156">
        <v>0.0</v>
      </c>
      <c r="K504" s="154" t="s">
        <v>914</v>
      </c>
    </row>
    <row r="505">
      <c r="A505" s="154" t="s">
        <v>1827</v>
      </c>
      <c r="B505" s="155"/>
      <c r="C505" s="154" t="s">
        <v>1828</v>
      </c>
      <c r="D505" s="155"/>
      <c r="E505" s="155"/>
      <c r="F505" s="154" t="s">
        <v>1829</v>
      </c>
      <c r="G505" s="154">
        <v>5.03670361E8</v>
      </c>
      <c r="H505" s="156">
        <v>0.0</v>
      </c>
      <c r="I505" s="154">
        <v>9.66505812518E11</v>
      </c>
      <c r="J505" s="156">
        <v>0.0</v>
      </c>
      <c r="K505" s="154" t="s">
        <v>914</v>
      </c>
    </row>
    <row r="506">
      <c r="A506" s="154" t="s">
        <v>1830</v>
      </c>
      <c r="B506" s="154" t="s">
        <v>1831</v>
      </c>
      <c r="C506" s="155"/>
      <c r="D506" s="154">
        <v>2.0</v>
      </c>
      <c r="E506" s="154" t="s">
        <v>1237</v>
      </c>
      <c r="F506" s="154" t="s">
        <v>1832</v>
      </c>
      <c r="G506" s="156">
        <v>0.0</v>
      </c>
      <c r="H506" s="154" t="s">
        <v>1833</v>
      </c>
      <c r="I506" s="154" t="s">
        <v>1834</v>
      </c>
      <c r="J506" s="156">
        <v>0.0</v>
      </c>
      <c r="K506" s="154" t="s">
        <v>207</v>
      </c>
    </row>
    <row r="507">
      <c r="A507" s="154" t="s">
        <v>1830</v>
      </c>
      <c r="B507" s="155"/>
      <c r="C507" s="154" t="s">
        <v>1831</v>
      </c>
      <c r="D507" s="155"/>
      <c r="E507" s="155"/>
      <c r="F507" s="154" t="s">
        <v>1832</v>
      </c>
      <c r="G507" s="156">
        <v>0.0</v>
      </c>
      <c r="H507" s="154" t="s">
        <v>1833</v>
      </c>
      <c r="I507" s="154" t="s">
        <v>1834</v>
      </c>
      <c r="J507" s="156">
        <v>0.0</v>
      </c>
      <c r="K507" s="154" t="s">
        <v>207</v>
      </c>
    </row>
    <row r="508">
      <c r="A508" s="154" t="s">
        <v>1835</v>
      </c>
      <c r="B508" s="154" t="s">
        <v>1836</v>
      </c>
      <c r="C508" s="155"/>
      <c r="D508" s="154">
        <v>2.0</v>
      </c>
      <c r="E508" s="154" t="s">
        <v>1237</v>
      </c>
      <c r="F508" s="154" t="s">
        <v>1837</v>
      </c>
      <c r="G508" s="156">
        <v>0.0</v>
      </c>
      <c r="H508" s="154" t="s">
        <v>1838</v>
      </c>
      <c r="I508" s="154" t="s">
        <v>1839</v>
      </c>
      <c r="J508" s="154" t="s">
        <v>1840</v>
      </c>
      <c r="K508" s="154" t="s">
        <v>846</v>
      </c>
    </row>
    <row r="509">
      <c r="A509" s="154" t="s">
        <v>1835</v>
      </c>
      <c r="B509" s="155"/>
      <c r="C509" s="154" t="s">
        <v>1836</v>
      </c>
      <c r="D509" s="155"/>
      <c r="E509" s="155"/>
      <c r="F509" s="154" t="s">
        <v>1837</v>
      </c>
      <c r="G509" s="156">
        <v>0.0</v>
      </c>
      <c r="H509" s="154" t="s">
        <v>1838</v>
      </c>
      <c r="I509" s="154" t="s">
        <v>1839</v>
      </c>
      <c r="J509" s="154" t="s">
        <v>1840</v>
      </c>
      <c r="K509" s="154" t="s">
        <v>846</v>
      </c>
    </row>
    <row r="510">
      <c r="A510" s="154" t="s">
        <v>1841</v>
      </c>
      <c r="B510" s="154" t="s">
        <v>1842</v>
      </c>
      <c r="C510" s="155"/>
      <c r="D510" s="154">
        <v>2.0</v>
      </c>
      <c r="E510" s="154" t="s">
        <v>1237</v>
      </c>
      <c r="F510" s="154" t="s">
        <v>1270</v>
      </c>
      <c r="G510" s="156">
        <v>0.0</v>
      </c>
      <c r="H510" s="154" t="s">
        <v>1271</v>
      </c>
      <c r="I510" s="154" t="s">
        <v>1272</v>
      </c>
      <c r="J510" s="154" t="s">
        <v>1273</v>
      </c>
      <c r="K510" s="154" t="s">
        <v>846</v>
      </c>
    </row>
    <row r="511">
      <c r="A511" s="154" t="s">
        <v>1841</v>
      </c>
      <c r="B511" s="155"/>
      <c r="C511" s="154" t="s">
        <v>1842</v>
      </c>
      <c r="D511" s="155"/>
      <c r="E511" s="155"/>
      <c r="F511" s="154" t="s">
        <v>1270</v>
      </c>
      <c r="G511" s="156">
        <v>0.0</v>
      </c>
      <c r="H511" s="154" t="s">
        <v>1271</v>
      </c>
      <c r="I511" s="154" t="s">
        <v>1272</v>
      </c>
      <c r="J511" s="154" t="s">
        <v>1273</v>
      </c>
      <c r="K511" s="154" t="s">
        <v>846</v>
      </c>
    </row>
    <row r="512">
      <c r="A512" s="154" t="s">
        <v>1843</v>
      </c>
      <c r="B512" s="155"/>
      <c r="C512" s="154" t="s">
        <v>1844</v>
      </c>
      <c r="D512" s="155"/>
      <c r="E512" s="155"/>
      <c r="F512" s="154" t="s">
        <v>1238</v>
      </c>
      <c r="G512" s="154">
        <v>4.7018111E7</v>
      </c>
      <c r="H512" s="154" t="s">
        <v>1239</v>
      </c>
      <c r="I512" s="156">
        <v>0.0</v>
      </c>
      <c r="J512" s="156">
        <v>0.0</v>
      </c>
      <c r="K512" s="156">
        <v>0.0</v>
      </c>
    </row>
    <row r="513">
      <c r="A513" s="154" t="s">
        <v>1843</v>
      </c>
      <c r="B513" s="154" t="s">
        <v>1844</v>
      </c>
      <c r="C513" s="155"/>
      <c r="D513" s="154">
        <v>2.0</v>
      </c>
      <c r="E513" s="154" t="s">
        <v>1237</v>
      </c>
      <c r="F513" s="154" t="s">
        <v>1238</v>
      </c>
      <c r="G513" s="154">
        <v>4.7018111E7</v>
      </c>
      <c r="H513" s="154" t="s">
        <v>1239</v>
      </c>
      <c r="I513" s="156">
        <v>0.0</v>
      </c>
      <c r="J513" s="156">
        <v>0.0</v>
      </c>
      <c r="K513" s="156">
        <v>0.0</v>
      </c>
    </row>
    <row r="514">
      <c r="A514" s="154" t="s">
        <v>1845</v>
      </c>
      <c r="B514" s="154" t="s">
        <v>1846</v>
      </c>
      <c r="C514" s="155"/>
      <c r="D514" s="154">
        <v>2.0</v>
      </c>
      <c r="E514" s="154" t="s">
        <v>1237</v>
      </c>
      <c r="F514" s="154" t="s">
        <v>1238</v>
      </c>
      <c r="G514" s="154">
        <v>4.7018111E7</v>
      </c>
      <c r="H514" s="154" t="s">
        <v>1239</v>
      </c>
      <c r="I514" s="156">
        <v>0.0</v>
      </c>
      <c r="J514" s="156">
        <v>0.0</v>
      </c>
      <c r="K514" s="156">
        <v>0.0</v>
      </c>
    </row>
    <row r="515">
      <c r="A515" s="154" t="s">
        <v>1845</v>
      </c>
      <c r="B515" s="155"/>
      <c r="C515" s="154" t="s">
        <v>1846</v>
      </c>
      <c r="D515" s="155"/>
      <c r="E515" s="155"/>
      <c r="F515" s="154" t="s">
        <v>1238</v>
      </c>
      <c r="G515" s="154">
        <v>4.7018111E7</v>
      </c>
      <c r="H515" s="154" t="s">
        <v>1239</v>
      </c>
      <c r="I515" s="156">
        <v>0.0</v>
      </c>
      <c r="J515" s="156">
        <v>0.0</v>
      </c>
      <c r="K515" s="156">
        <v>0.0</v>
      </c>
    </row>
    <row r="516">
      <c r="A516" s="154" t="s">
        <v>1847</v>
      </c>
      <c r="B516" s="155"/>
      <c r="C516" s="154" t="s">
        <v>1848</v>
      </c>
      <c r="D516" s="155"/>
      <c r="E516" s="155"/>
      <c r="F516" s="154" t="s">
        <v>1238</v>
      </c>
      <c r="G516" s="154">
        <v>4.7018111E7</v>
      </c>
      <c r="H516" s="154" t="s">
        <v>1239</v>
      </c>
      <c r="I516" s="156">
        <v>0.0</v>
      </c>
      <c r="J516" s="156">
        <v>0.0</v>
      </c>
      <c r="K516" s="156">
        <v>0.0</v>
      </c>
    </row>
    <row r="517">
      <c r="A517" s="154" t="s">
        <v>1847</v>
      </c>
      <c r="B517" s="154" t="s">
        <v>1848</v>
      </c>
      <c r="C517" s="155"/>
      <c r="D517" s="154">
        <v>2.0</v>
      </c>
      <c r="E517" s="154" t="s">
        <v>1237</v>
      </c>
      <c r="F517" s="154" t="s">
        <v>1238</v>
      </c>
      <c r="G517" s="154">
        <v>4.7018111E7</v>
      </c>
      <c r="H517" s="154" t="s">
        <v>1239</v>
      </c>
      <c r="I517" s="156">
        <v>0.0</v>
      </c>
      <c r="J517" s="156">
        <v>0.0</v>
      </c>
      <c r="K517" s="156">
        <v>0.0</v>
      </c>
    </row>
    <row r="518">
      <c r="A518" s="154" t="s">
        <v>1849</v>
      </c>
      <c r="B518" s="155"/>
      <c r="C518" s="154" t="s">
        <v>1850</v>
      </c>
      <c r="D518" s="155"/>
      <c r="E518" s="155"/>
      <c r="F518" s="154" t="s">
        <v>1289</v>
      </c>
      <c r="G518" s="156">
        <v>0.0</v>
      </c>
      <c r="H518" s="154" t="s">
        <v>1290</v>
      </c>
      <c r="I518" s="154" t="s">
        <v>1291</v>
      </c>
      <c r="J518" s="156">
        <v>0.0</v>
      </c>
      <c r="K518" s="154" t="s">
        <v>207</v>
      </c>
    </row>
    <row r="519">
      <c r="A519" s="154" t="s">
        <v>1849</v>
      </c>
      <c r="B519" s="154" t="s">
        <v>1850</v>
      </c>
      <c r="C519" s="155"/>
      <c r="D519" s="154">
        <v>2.0</v>
      </c>
      <c r="E519" s="154" t="s">
        <v>1237</v>
      </c>
      <c r="F519" s="154" t="s">
        <v>1289</v>
      </c>
      <c r="G519" s="156">
        <v>0.0</v>
      </c>
      <c r="H519" s="154" t="s">
        <v>1290</v>
      </c>
      <c r="I519" s="154" t="s">
        <v>1291</v>
      </c>
      <c r="J519" s="156">
        <v>0.0</v>
      </c>
      <c r="K519" s="154" t="s">
        <v>207</v>
      </c>
    </row>
    <row r="520">
      <c r="A520" s="154" t="s">
        <v>1851</v>
      </c>
      <c r="B520" s="154" t="s">
        <v>1852</v>
      </c>
      <c r="C520" s="155"/>
      <c r="D520" s="154">
        <v>2.0</v>
      </c>
      <c r="E520" s="154" t="s">
        <v>1237</v>
      </c>
      <c r="F520" s="154" t="s">
        <v>1289</v>
      </c>
      <c r="G520" s="156">
        <v>0.0</v>
      </c>
      <c r="H520" s="154" t="s">
        <v>1290</v>
      </c>
      <c r="I520" s="154" t="s">
        <v>1291</v>
      </c>
      <c r="J520" s="156">
        <v>0.0</v>
      </c>
      <c r="K520" s="154" t="s">
        <v>207</v>
      </c>
    </row>
    <row r="521">
      <c r="A521" s="154" t="s">
        <v>1851</v>
      </c>
      <c r="B521" s="155"/>
      <c r="C521" s="154" t="s">
        <v>1852</v>
      </c>
      <c r="D521" s="155"/>
      <c r="E521" s="155"/>
      <c r="F521" s="154" t="s">
        <v>1289</v>
      </c>
      <c r="G521" s="156">
        <v>0.0</v>
      </c>
      <c r="H521" s="154" t="s">
        <v>1290</v>
      </c>
      <c r="I521" s="154" t="s">
        <v>1291</v>
      </c>
      <c r="J521" s="156">
        <v>0.0</v>
      </c>
      <c r="K521" s="154" t="s">
        <v>207</v>
      </c>
    </row>
    <row r="522">
      <c r="A522" s="154" t="s">
        <v>1853</v>
      </c>
      <c r="B522" s="155"/>
      <c r="C522" s="154" t="s">
        <v>1854</v>
      </c>
      <c r="D522" s="155"/>
      <c r="E522" s="155"/>
      <c r="F522" s="154" t="s">
        <v>1855</v>
      </c>
      <c r="G522" s="154">
        <v>2.5588519E7</v>
      </c>
      <c r="H522" s="156">
        <v>0.0</v>
      </c>
      <c r="I522" s="154">
        <v>5.08133067E8</v>
      </c>
      <c r="J522" s="156">
        <v>0.0</v>
      </c>
      <c r="K522" s="154" t="s">
        <v>197</v>
      </c>
    </row>
    <row r="523">
      <c r="A523" s="154" t="s">
        <v>1853</v>
      </c>
      <c r="B523" s="154" t="s">
        <v>1854</v>
      </c>
      <c r="C523" s="155"/>
      <c r="D523" s="154">
        <v>2.0</v>
      </c>
      <c r="E523" s="154" t="s">
        <v>1237</v>
      </c>
      <c r="F523" s="154" t="s">
        <v>1856</v>
      </c>
      <c r="G523" s="154">
        <v>2.6667281E7</v>
      </c>
      <c r="H523" s="156">
        <v>0.0</v>
      </c>
      <c r="I523" s="154">
        <v>5.06667281E8</v>
      </c>
      <c r="J523" s="156">
        <v>0.0</v>
      </c>
      <c r="K523" s="154" t="s">
        <v>197</v>
      </c>
    </row>
    <row r="524">
      <c r="A524" s="154" t="s">
        <v>1857</v>
      </c>
      <c r="B524" s="154" t="s">
        <v>1858</v>
      </c>
      <c r="D524" s="154">
        <v>2.0</v>
      </c>
      <c r="E524" s="154" t="s">
        <v>761</v>
      </c>
      <c r="F524" s="154" t="s">
        <v>1859</v>
      </c>
      <c r="G524" s="154">
        <v>9.66505407622E11</v>
      </c>
      <c r="H524" s="156">
        <v>0.0</v>
      </c>
      <c r="I524" s="154">
        <v>1.0</v>
      </c>
      <c r="J524" s="156">
        <v>0.0</v>
      </c>
      <c r="K524" s="154" t="s">
        <v>914</v>
      </c>
    </row>
    <row r="525">
      <c r="A525" s="154" t="s">
        <v>1857</v>
      </c>
      <c r="B525" s="155"/>
      <c r="C525" s="154" t="s">
        <v>1858</v>
      </c>
      <c r="D525" s="155"/>
      <c r="E525" s="155"/>
      <c r="F525" s="154" t="s">
        <v>1859</v>
      </c>
      <c r="G525" s="154">
        <v>9.66505407622E11</v>
      </c>
      <c r="H525" s="156">
        <v>0.0</v>
      </c>
      <c r="I525" s="154">
        <v>1.0</v>
      </c>
      <c r="J525" s="156">
        <v>0.0</v>
      </c>
      <c r="K525" s="154" t="s">
        <v>914</v>
      </c>
    </row>
    <row r="526">
      <c r="A526" s="154" t="s">
        <v>1860</v>
      </c>
      <c r="B526" s="154" t="s">
        <v>1861</v>
      </c>
      <c r="D526" s="154">
        <v>2.0</v>
      </c>
      <c r="E526" s="154" t="s">
        <v>761</v>
      </c>
      <c r="F526" s="154" t="s">
        <v>1862</v>
      </c>
      <c r="G526" s="154">
        <v>9.71509531078E11</v>
      </c>
      <c r="H526" s="156">
        <v>0.0</v>
      </c>
      <c r="I526" s="154">
        <v>9.66564282333E11</v>
      </c>
      <c r="J526" s="156">
        <v>0.0</v>
      </c>
      <c r="K526" s="154" t="s">
        <v>914</v>
      </c>
    </row>
    <row r="527">
      <c r="A527" s="154" t="s">
        <v>1860</v>
      </c>
      <c r="B527" s="155"/>
      <c r="C527" s="154" t="s">
        <v>1861</v>
      </c>
      <c r="D527" s="155"/>
      <c r="E527" s="155"/>
      <c r="F527" s="154" t="s">
        <v>1862</v>
      </c>
      <c r="G527" s="154">
        <v>9.71509531078E11</v>
      </c>
      <c r="H527" s="156">
        <v>0.0</v>
      </c>
      <c r="I527" s="154">
        <v>9.66564282333E11</v>
      </c>
      <c r="J527" s="156">
        <v>0.0</v>
      </c>
      <c r="K527" s="154" t="s">
        <v>914</v>
      </c>
    </row>
    <row r="528">
      <c r="A528" s="154" t="s">
        <v>1863</v>
      </c>
      <c r="B528" s="154" t="s">
        <v>1864</v>
      </c>
      <c r="D528" s="154">
        <v>2.0</v>
      </c>
      <c r="E528" s="154" t="s">
        <v>761</v>
      </c>
      <c r="F528" s="154" t="s">
        <v>1865</v>
      </c>
      <c r="G528" s="156">
        <v>0.0</v>
      </c>
      <c r="H528" s="154" t="s">
        <v>1866</v>
      </c>
      <c r="I528" s="154" t="s">
        <v>1867</v>
      </c>
      <c r="J528" s="154" t="s">
        <v>1868</v>
      </c>
      <c r="K528" s="154" t="s">
        <v>1731</v>
      </c>
    </row>
    <row r="529">
      <c r="A529" s="154" t="s">
        <v>1863</v>
      </c>
      <c r="B529" s="155"/>
      <c r="C529" s="154" t="s">
        <v>1864</v>
      </c>
      <c r="D529" s="155"/>
      <c r="E529" s="155"/>
      <c r="F529" s="154" t="s">
        <v>1865</v>
      </c>
      <c r="G529" s="156">
        <v>0.0</v>
      </c>
      <c r="H529" s="154" t="s">
        <v>1866</v>
      </c>
      <c r="I529" s="154" t="s">
        <v>1867</v>
      </c>
      <c r="J529" s="154" t="s">
        <v>1868</v>
      </c>
      <c r="K529" s="154" t="s">
        <v>1731</v>
      </c>
    </row>
    <row r="530">
      <c r="A530" s="154" t="s">
        <v>1869</v>
      </c>
      <c r="B530" s="154" t="s">
        <v>1870</v>
      </c>
      <c r="D530" s="154">
        <v>2.0</v>
      </c>
      <c r="E530" s="154" t="s">
        <v>761</v>
      </c>
      <c r="F530" s="154" t="s">
        <v>1871</v>
      </c>
      <c r="G530" s="156">
        <v>0.0</v>
      </c>
      <c r="H530" s="156">
        <v>0.0</v>
      </c>
      <c r="I530" s="154" t="s">
        <v>1872</v>
      </c>
      <c r="J530" s="154" t="s">
        <v>1873</v>
      </c>
      <c r="K530" s="154" t="s">
        <v>1874</v>
      </c>
    </row>
    <row r="531">
      <c r="A531" s="154" t="s">
        <v>1869</v>
      </c>
      <c r="B531" s="155"/>
      <c r="C531" s="154" t="s">
        <v>1870</v>
      </c>
      <c r="D531" s="155"/>
      <c r="E531" s="155"/>
      <c r="F531" s="154" t="s">
        <v>1871</v>
      </c>
      <c r="G531" s="156">
        <v>0.0</v>
      </c>
      <c r="H531" s="156">
        <v>0.0</v>
      </c>
      <c r="I531" s="154" t="s">
        <v>1872</v>
      </c>
      <c r="J531" s="154" t="s">
        <v>1873</v>
      </c>
      <c r="K531" s="154" t="s">
        <v>1874</v>
      </c>
    </row>
    <row r="532">
      <c r="A532" s="154" t="s">
        <v>1875</v>
      </c>
      <c r="B532" s="155"/>
      <c r="C532" s="154" t="s">
        <v>1876</v>
      </c>
      <c r="D532" s="155"/>
      <c r="E532" s="155"/>
      <c r="F532" s="154" t="s">
        <v>1877</v>
      </c>
      <c r="G532" s="154">
        <v>0.0</v>
      </c>
      <c r="H532" s="156">
        <v>0.0</v>
      </c>
      <c r="I532" s="154">
        <v>9.7150650206E11</v>
      </c>
      <c r="J532" s="156">
        <v>0.0</v>
      </c>
      <c r="K532" s="154" t="s">
        <v>361</v>
      </c>
    </row>
    <row r="533">
      <c r="A533" s="154" t="s">
        <v>1875</v>
      </c>
      <c r="B533" s="154" t="s">
        <v>1876</v>
      </c>
      <c r="D533" s="154">
        <v>2.0</v>
      </c>
      <c r="E533" s="154" t="s">
        <v>761</v>
      </c>
      <c r="F533" s="154" t="s">
        <v>1877</v>
      </c>
      <c r="G533" s="154">
        <v>0.0</v>
      </c>
      <c r="H533" s="156">
        <v>0.0</v>
      </c>
      <c r="I533" s="154">
        <v>9.7150650206E11</v>
      </c>
      <c r="J533" s="156">
        <v>0.0</v>
      </c>
      <c r="K533" s="154" t="s">
        <v>361</v>
      </c>
    </row>
    <row r="534">
      <c r="A534" s="154" t="s">
        <v>1878</v>
      </c>
      <c r="B534" s="154" t="s">
        <v>1879</v>
      </c>
      <c r="D534" s="154">
        <v>2.0</v>
      </c>
      <c r="E534" s="154" t="s">
        <v>761</v>
      </c>
      <c r="F534" s="154" t="s">
        <v>1880</v>
      </c>
      <c r="G534" s="154">
        <v>4.3966123E7</v>
      </c>
      <c r="H534" s="156">
        <v>0.0</v>
      </c>
      <c r="I534" s="154">
        <v>9.71507484944E11</v>
      </c>
      <c r="J534" s="156">
        <v>0.0</v>
      </c>
      <c r="K534" s="154" t="s">
        <v>361</v>
      </c>
    </row>
    <row r="535">
      <c r="A535" s="154" t="s">
        <v>1878</v>
      </c>
      <c r="B535" s="155"/>
      <c r="C535" s="154" t="s">
        <v>1879</v>
      </c>
      <c r="D535" s="155"/>
      <c r="E535" s="155"/>
      <c r="F535" s="154" t="s">
        <v>1881</v>
      </c>
      <c r="G535" s="154">
        <v>4.3966123E7</v>
      </c>
      <c r="H535" s="156">
        <v>0.0</v>
      </c>
      <c r="I535" s="154">
        <v>9.71507484944E11</v>
      </c>
      <c r="J535" s="156">
        <v>0.0</v>
      </c>
      <c r="K535" s="154" t="s">
        <v>361</v>
      </c>
    </row>
    <row r="536">
      <c r="A536" s="154" t="s">
        <v>1882</v>
      </c>
      <c r="B536" s="155"/>
      <c r="C536" s="154" t="s">
        <v>1883</v>
      </c>
      <c r="D536" s="155"/>
      <c r="E536" s="155"/>
      <c r="F536" s="154" t="s">
        <v>1884</v>
      </c>
      <c r="G536" s="154">
        <v>5.06257055E8</v>
      </c>
      <c r="H536" s="156">
        <v>0.0</v>
      </c>
      <c r="I536" s="154">
        <v>9.71506257055E11</v>
      </c>
      <c r="J536" s="156">
        <v>0.0</v>
      </c>
      <c r="K536" s="154" t="s">
        <v>1151</v>
      </c>
    </row>
    <row r="537">
      <c r="A537" s="154" t="s">
        <v>1882</v>
      </c>
      <c r="B537" s="154" t="s">
        <v>1883</v>
      </c>
      <c r="D537" s="154">
        <v>2.0</v>
      </c>
      <c r="E537" s="154" t="s">
        <v>761</v>
      </c>
      <c r="F537" s="154" t="s">
        <v>1884</v>
      </c>
      <c r="G537" s="154">
        <v>5.06257055E8</v>
      </c>
      <c r="H537" s="156">
        <v>0.0</v>
      </c>
      <c r="I537" s="154">
        <v>9.71506257055E11</v>
      </c>
      <c r="J537" s="156">
        <v>0.0</v>
      </c>
      <c r="K537" s="154" t="s">
        <v>1151</v>
      </c>
    </row>
    <row r="538">
      <c r="A538" s="154" t="s">
        <v>1885</v>
      </c>
      <c r="B538" s="155"/>
      <c r="C538" s="154" t="s">
        <v>1886</v>
      </c>
      <c r="D538" s="155"/>
      <c r="E538" s="155"/>
      <c r="F538" s="154" t="s">
        <v>1887</v>
      </c>
      <c r="G538" s="156">
        <v>0.0</v>
      </c>
      <c r="H538" s="154" t="s">
        <v>1888</v>
      </c>
      <c r="I538" s="154" t="s">
        <v>1889</v>
      </c>
      <c r="J538" s="154" t="s">
        <v>1890</v>
      </c>
      <c r="K538" s="154" t="s">
        <v>1891</v>
      </c>
    </row>
    <row r="539">
      <c r="A539" s="154" t="s">
        <v>1885</v>
      </c>
      <c r="B539" s="154" t="s">
        <v>1886</v>
      </c>
      <c r="D539" s="154">
        <v>2.0</v>
      </c>
      <c r="E539" s="154" t="s">
        <v>761</v>
      </c>
      <c r="F539" s="154" t="s">
        <v>1887</v>
      </c>
      <c r="G539" s="156">
        <v>0.0</v>
      </c>
      <c r="H539" s="154" t="s">
        <v>1888</v>
      </c>
      <c r="I539" s="154" t="s">
        <v>1889</v>
      </c>
      <c r="J539" s="154" t="s">
        <v>1890</v>
      </c>
      <c r="K539" s="154" t="s">
        <v>1891</v>
      </c>
    </row>
    <row r="540">
      <c r="A540" s="154" t="s">
        <v>1892</v>
      </c>
      <c r="B540" s="155"/>
      <c r="C540" s="154" t="s">
        <v>1893</v>
      </c>
      <c r="D540" s="155"/>
      <c r="E540" s="155"/>
      <c r="F540" s="154" t="s">
        <v>1190</v>
      </c>
      <c r="G540" s="154">
        <v>5.0851975E8</v>
      </c>
      <c r="H540" s="154" t="s">
        <v>1191</v>
      </c>
      <c r="I540" s="156">
        <v>0.0</v>
      </c>
      <c r="J540" s="156">
        <v>0.0</v>
      </c>
      <c r="K540" s="156">
        <v>0.0</v>
      </c>
    </row>
    <row r="541">
      <c r="A541" s="154" t="s">
        <v>1892</v>
      </c>
      <c r="B541" s="154" t="s">
        <v>1893</v>
      </c>
      <c r="D541" s="154">
        <v>2.0</v>
      </c>
      <c r="E541" s="154" t="s">
        <v>761</v>
      </c>
      <c r="F541" s="154" t="s">
        <v>1190</v>
      </c>
      <c r="G541" s="154">
        <v>5.0851975E8</v>
      </c>
      <c r="H541" s="154" t="s">
        <v>1191</v>
      </c>
      <c r="I541" s="156">
        <v>0.0</v>
      </c>
      <c r="J541" s="156">
        <v>0.0</v>
      </c>
      <c r="K541" s="156">
        <v>0.0</v>
      </c>
    </row>
    <row r="542">
      <c r="A542" s="154" t="s">
        <v>1894</v>
      </c>
      <c r="B542" s="155"/>
      <c r="C542" s="154" t="s">
        <v>1895</v>
      </c>
      <c r="D542" s="155"/>
      <c r="E542" s="155"/>
      <c r="F542" s="154" t="s">
        <v>1896</v>
      </c>
      <c r="G542" s="154">
        <v>5.01142745E8</v>
      </c>
      <c r="H542" s="156">
        <v>0.0</v>
      </c>
      <c r="I542" s="156">
        <v>0.0</v>
      </c>
      <c r="J542" s="156">
        <v>0.0</v>
      </c>
      <c r="K542" s="154" t="s">
        <v>914</v>
      </c>
    </row>
    <row r="543">
      <c r="A543" s="154" t="s">
        <v>1894</v>
      </c>
      <c r="B543" s="154" t="s">
        <v>1895</v>
      </c>
      <c r="D543" s="154">
        <v>2.0</v>
      </c>
      <c r="E543" s="154" t="s">
        <v>761</v>
      </c>
      <c r="F543" s="154" t="s">
        <v>1896</v>
      </c>
      <c r="G543" s="154">
        <v>5.01142745E8</v>
      </c>
      <c r="H543" s="156">
        <v>0.0</v>
      </c>
      <c r="I543" s="156">
        <v>0.0</v>
      </c>
      <c r="J543" s="156">
        <v>0.0</v>
      </c>
      <c r="K543" s="154" t="s">
        <v>914</v>
      </c>
    </row>
    <row r="544">
      <c r="A544" s="154" t="s">
        <v>1897</v>
      </c>
      <c r="B544" s="154" t="s">
        <v>1898</v>
      </c>
      <c r="D544" s="154">
        <v>2.0</v>
      </c>
      <c r="E544" s="154" t="s">
        <v>761</v>
      </c>
      <c r="F544" s="154" t="s">
        <v>1899</v>
      </c>
      <c r="G544" s="156">
        <v>0.0</v>
      </c>
      <c r="H544" s="156">
        <v>0.0</v>
      </c>
      <c r="I544" s="154">
        <v>0.0</v>
      </c>
      <c r="J544" s="156">
        <v>0.0</v>
      </c>
      <c r="K544" s="154" t="s">
        <v>365</v>
      </c>
    </row>
    <row r="545">
      <c r="A545" s="154" t="s">
        <v>1897</v>
      </c>
      <c r="B545" s="155"/>
      <c r="C545" s="154" t="s">
        <v>1898</v>
      </c>
      <c r="D545" s="155"/>
      <c r="E545" s="155"/>
      <c r="F545" s="154" t="s">
        <v>1899</v>
      </c>
      <c r="G545" s="156">
        <v>0.0</v>
      </c>
      <c r="H545" s="156">
        <v>0.0</v>
      </c>
      <c r="I545" s="154">
        <v>0.0</v>
      </c>
      <c r="J545" s="156">
        <v>0.0</v>
      </c>
      <c r="K545" s="154" t="s">
        <v>365</v>
      </c>
    </row>
    <row r="546">
      <c r="A546" s="154" t="s">
        <v>1900</v>
      </c>
      <c r="B546" s="154" t="s">
        <v>1901</v>
      </c>
      <c r="D546" s="154">
        <v>2.0</v>
      </c>
      <c r="E546" s="154" t="s">
        <v>761</v>
      </c>
      <c r="F546" s="154" t="s">
        <v>1902</v>
      </c>
      <c r="G546" s="154">
        <v>4.3436619E7</v>
      </c>
      <c r="H546" s="154" t="s">
        <v>1903</v>
      </c>
      <c r="I546" s="154">
        <v>5.05595776E8</v>
      </c>
      <c r="J546" s="156">
        <v>0.0</v>
      </c>
      <c r="K546" s="154" t="s">
        <v>259</v>
      </c>
    </row>
    <row r="547">
      <c r="A547" s="154" t="s">
        <v>1900</v>
      </c>
      <c r="B547" s="155"/>
      <c r="C547" s="154" t="s">
        <v>1901</v>
      </c>
      <c r="D547" s="155"/>
      <c r="E547" s="155"/>
      <c r="F547" s="154" t="s">
        <v>1902</v>
      </c>
      <c r="G547" s="154">
        <v>4.3436619E7</v>
      </c>
      <c r="H547" s="154" t="s">
        <v>1903</v>
      </c>
      <c r="I547" s="154">
        <v>5.05595776E8</v>
      </c>
      <c r="J547" s="156">
        <v>0.0</v>
      </c>
      <c r="K547" s="154" t="s">
        <v>259</v>
      </c>
    </row>
    <row r="548">
      <c r="A548" s="154" t="s">
        <v>1904</v>
      </c>
      <c r="B548" s="155"/>
      <c r="C548" s="154" t="s">
        <v>1905</v>
      </c>
      <c r="D548" s="155"/>
      <c r="E548" s="155"/>
      <c r="F548" s="154" t="s">
        <v>1906</v>
      </c>
      <c r="G548" s="156">
        <v>0.0</v>
      </c>
      <c r="H548" s="156">
        <v>0.0</v>
      </c>
      <c r="I548" s="154">
        <v>9.6892884804E10</v>
      </c>
      <c r="J548" s="156">
        <v>0.0</v>
      </c>
      <c r="K548" s="154" t="s">
        <v>301</v>
      </c>
    </row>
    <row r="549">
      <c r="A549" s="154" t="s">
        <v>1904</v>
      </c>
      <c r="B549" s="154" t="s">
        <v>1905</v>
      </c>
      <c r="D549" s="154">
        <v>2.0</v>
      </c>
      <c r="E549" s="154" t="s">
        <v>761</v>
      </c>
      <c r="F549" s="154" t="s">
        <v>1906</v>
      </c>
      <c r="G549" s="156">
        <v>0.0</v>
      </c>
      <c r="H549" s="156">
        <v>0.0</v>
      </c>
      <c r="I549" s="154">
        <v>9.6892884804E10</v>
      </c>
      <c r="J549" s="156">
        <v>0.0</v>
      </c>
      <c r="K549" s="154" t="s">
        <v>301</v>
      </c>
    </row>
    <row r="550">
      <c r="A550" s="154" t="s">
        <v>1907</v>
      </c>
      <c r="B550" s="154" t="s">
        <v>1908</v>
      </c>
      <c r="D550" s="154">
        <v>2.0</v>
      </c>
      <c r="E550" s="154" t="s">
        <v>761</v>
      </c>
      <c r="F550" s="154" t="s">
        <v>1909</v>
      </c>
      <c r="G550" s="154">
        <v>4.3326552E7</v>
      </c>
      <c r="H550" s="156">
        <v>0.0</v>
      </c>
      <c r="I550" s="154">
        <v>5.61712441E8</v>
      </c>
      <c r="J550" s="156">
        <v>0.0</v>
      </c>
      <c r="K550" s="154" t="s">
        <v>259</v>
      </c>
    </row>
    <row r="551">
      <c r="A551" s="154" t="s">
        <v>1907</v>
      </c>
      <c r="B551" s="155"/>
      <c r="C551" s="154" t="s">
        <v>1908</v>
      </c>
      <c r="D551" s="155"/>
      <c r="E551" s="155"/>
      <c r="F551" s="154" t="s">
        <v>1909</v>
      </c>
      <c r="G551" s="154">
        <v>4.3326552E7</v>
      </c>
      <c r="H551" s="156">
        <v>0.0</v>
      </c>
      <c r="I551" s="154">
        <v>5.61712441E8</v>
      </c>
      <c r="J551" s="156">
        <v>0.0</v>
      </c>
      <c r="K551" s="154" t="s">
        <v>259</v>
      </c>
    </row>
    <row r="552">
      <c r="A552" s="154" t="s">
        <v>1910</v>
      </c>
      <c r="B552" s="154" t="s">
        <v>1911</v>
      </c>
      <c r="D552" s="154">
        <v>2.0</v>
      </c>
      <c r="E552" s="154" t="s">
        <v>761</v>
      </c>
      <c r="F552" s="154" t="s">
        <v>1912</v>
      </c>
      <c r="G552" s="154">
        <v>4.2833139E7</v>
      </c>
      <c r="H552" s="156">
        <v>0.0</v>
      </c>
      <c r="I552" s="154" t="s">
        <v>1913</v>
      </c>
      <c r="J552" s="156">
        <v>0.0</v>
      </c>
      <c r="K552" s="154" t="s">
        <v>361</v>
      </c>
    </row>
    <row r="553">
      <c r="A553" s="154" t="s">
        <v>1910</v>
      </c>
      <c r="B553" s="155"/>
      <c r="C553" s="154" t="s">
        <v>1911</v>
      </c>
      <c r="D553" s="155"/>
      <c r="E553" s="155"/>
      <c r="F553" s="154" t="s">
        <v>1912</v>
      </c>
      <c r="G553" s="154">
        <v>4.2833139E7</v>
      </c>
      <c r="H553" s="156">
        <v>0.0</v>
      </c>
      <c r="I553" s="154" t="s">
        <v>1913</v>
      </c>
      <c r="J553" s="156">
        <v>0.0</v>
      </c>
      <c r="K553" s="154" t="s">
        <v>361</v>
      </c>
    </row>
    <row r="554">
      <c r="A554" s="154" t="s">
        <v>1914</v>
      </c>
      <c r="B554" s="154" t="s">
        <v>1915</v>
      </c>
      <c r="D554" s="154">
        <v>2.0</v>
      </c>
      <c r="E554" s="154" t="s">
        <v>761</v>
      </c>
      <c r="F554" s="154" t="s">
        <v>1916</v>
      </c>
      <c r="G554" s="156">
        <v>0.0</v>
      </c>
      <c r="H554" s="154" t="s">
        <v>1917</v>
      </c>
      <c r="I554" s="154" t="s">
        <v>1918</v>
      </c>
      <c r="J554" s="154" t="s">
        <v>1919</v>
      </c>
      <c r="K554" s="154" t="s">
        <v>914</v>
      </c>
    </row>
    <row r="555">
      <c r="A555" s="154" t="s">
        <v>1914</v>
      </c>
      <c r="B555" s="155"/>
      <c r="C555" s="154" t="s">
        <v>1915</v>
      </c>
      <c r="D555" s="155"/>
      <c r="E555" s="155"/>
      <c r="F555" s="154" t="s">
        <v>1916</v>
      </c>
      <c r="G555" s="156">
        <v>0.0</v>
      </c>
      <c r="H555" s="154" t="s">
        <v>1917</v>
      </c>
      <c r="I555" s="154" t="s">
        <v>1918</v>
      </c>
      <c r="J555" s="154" t="s">
        <v>1919</v>
      </c>
      <c r="K555" s="154" t="s">
        <v>914</v>
      </c>
    </row>
    <row r="556">
      <c r="A556" s="154" t="s">
        <v>1920</v>
      </c>
      <c r="B556" s="154" t="s">
        <v>1921</v>
      </c>
      <c r="D556" s="154">
        <v>2.0</v>
      </c>
      <c r="E556" s="154" t="s">
        <v>761</v>
      </c>
      <c r="F556" s="154" t="s">
        <v>1922</v>
      </c>
      <c r="G556" s="154" t="s">
        <v>1923</v>
      </c>
      <c r="H556" s="156">
        <v>0.0</v>
      </c>
      <c r="I556" s="154">
        <v>9.71504820766E11</v>
      </c>
      <c r="J556" s="156">
        <v>0.0</v>
      </c>
      <c r="K556" s="154" t="s">
        <v>361</v>
      </c>
    </row>
    <row r="557">
      <c r="A557" s="154" t="s">
        <v>1920</v>
      </c>
      <c r="B557" s="155"/>
      <c r="C557" s="154" t="s">
        <v>1921</v>
      </c>
      <c r="D557" s="155"/>
      <c r="E557" s="155"/>
      <c r="F557" s="154" t="s">
        <v>1924</v>
      </c>
      <c r="G557" s="156">
        <v>0.0</v>
      </c>
      <c r="H557" s="156">
        <v>0.0</v>
      </c>
      <c r="I557" s="154">
        <v>5.03506647E8</v>
      </c>
      <c r="J557" s="156">
        <v>0.0</v>
      </c>
      <c r="K557" s="154" t="s">
        <v>361</v>
      </c>
    </row>
    <row r="558">
      <c r="A558" s="154" t="s">
        <v>1925</v>
      </c>
      <c r="B558" s="155"/>
      <c r="C558" s="154" t="s">
        <v>1926</v>
      </c>
      <c r="D558" s="155"/>
      <c r="E558" s="155"/>
      <c r="F558" s="154" t="s">
        <v>1927</v>
      </c>
      <c r="G558" s="154">
        <v>5.02523411E8</v>
      </c>
      <c r="H558" s="156">
        <v>0.0</v>
      </c>
      <c r="I558" s="154">
        <v>9.66555269797E11</v>
      </c>
      <c r="J558" s="156">
        <v>0.0</v>
      </c>
      <c r="K558" s="154" t="s">
        <v>914</v>
      </c>
    </row>
    <row r="559">
      <c r="A559" s="154" t="s">
        <v>1925</v>
      </c>
      <c r="B559" s="154" t="s">
        <v>1926</v>
      </c>
      <c r="D559" s="154">
        <v>2.0</v>
      </c>
      <c r="E559" s="154" t="s">
        <v>761</v>
      </c>
      <c r="F559" s="154" t="s">
        <v>1927</v>
      </c>
      <c r="G559" s="154">
        <v>5.02523411E8</v>
      </c>
      <c r="H559" s="156">
        <v>0.0</v>
      </c>
      <c r="I559" s="154">
        <v>9.66555269797E11</v>
      </c>
      <c r="J559" s="156">
        <v>0.0</v>
      </c>
      <c r="K559" s="154" t="s">
        <v>914</v>
      </c>
    </row>
    <row r="560">
      <c r="A560" s="154" t="s">
        <v>1928</v>
      </c>
      <c r="B560" s="155"/>
      <c r="C560" s="154" t="s">
        <v>1929</v>
      </c>
      <c r="D560" s="155"/>
      <c r="E560" s="155"/>
      <c r="F560" s="154" t="s">
        <v>1619</v>
      </c>
      <c r="G560" s="154">
        <v>4.3903333E7</v>
      </c>
      <c r="H560" s="154" t="s">
        <v>1620</v>
      </c>
      <c r="I560" s="156">
        <v>0.0</v>
      </c>
      <c r="J560" s="156">
        <v>0.0</v>
      </c>
      <c r="K560" s="156">
        <v>0.0</v>
      </c>
    </row>
    <row r="561">
      <c r="A561" s="154" t="s">
        <v>1928</v>
      </c>
      <c r="B561" s="154" t="s">
        <v>1929</v>
      </c>
      <c r="D561" s="154">
        <v>2.0</v>
      </c>
      <c r="E561" s="154" t="s">
        <v>761</v>
      </c>
      <c r="F561" s="154" t="s">
        <v>1930</v>
      </c>
      <c r="G561" s="154">
        <v>4.40776788475E12</v>
      </c>
      <c r="H561" s="156">
        <v>0.0</v>
      </c>
      <c r="I561" s="154">
        <v>9.71503891133E11</v>
      </c>
      <c r="J561" s="156">
        <v>0.0</v>
      </c>
      <c r="K561" s="154" t="s">
        <v>259</v>
      </c>
    </row>
    <row r="562">
      <c r="A562" s="154" t="s">
        <v>1931</v>
      </c>
      <c r="B562" s="154" t="s">
        <v>1932</v>
      </c>
      <c r="D562" s="154">
        <v>2.0</v>
      </c>
      <c r="E562" s="154" t="s">
        <v>761</v>
      </c>
      <c r="F562" s="154" t="s">
        <v>1933</v>
      </c>
      <c r="G562" s="156">
        <v>0.0</v>
      </c>
      <c r="H562" s="154" t="s">
        <v>1934</v>
      </c>
      <c r="I562" s="154" t="s">
        <v>1935</v>
      </c>
      <c r="J562" s="156">
        <v>0.0</v>
      </c>
      <c r="K562" s="154" t="s">
        <v>1408</v>
      </c>
    </row>
    <row r="563">
      <c r="A563" s="154" t="s">
        <v>1931</v>
      </c>
      <c r="B563" s="155"/>
      <c r="C563" s="154" t="s">
        <v>1932</v>
      </c>
      <c r="D563" s="155"/>
      <c r="E563" s="155"/>
      <c r="F563" s="154" t="s">
        <v>1933</v>
      </c>
      <c r="G563" s="156">
        <v>0.0</v>
      </c>
      <c r="H563" s="154" t="s">
        <v>1934</v>
      </c>
      <c r="I563" s="154" t="s">
        <v>1935</v>
      </c>
      <c r="J563" s="156">
        <v>0.0</v>
      </c>
      <c r="K563" s="154" t="s">
        <v>1408</v>
      </c>
    </row>
    <row r="564">
      <c r="A564" s="154" t="s">
        <v>1936</v>
      </c>
      <c r="B564" s="154" t="s">
        <v>1937</v>
      </c>
      <c r="D564" s="154">
        <v>2.0</v>
      </c>
      <c r="E564" s="154" t="s">
        <v>761</v>
      </c>
      <c r="F564" s="154" t="s">
        <v>994</v>
      </c>
      <c r="G564" s="154">
        <v>5.0979726E8</v>
      </c>
      <c r="H564" s="154" t="s">
        <v>995</v>
      </c>
      <c r="I564" s="156">
        <v>0.0</v>
      </c>
      <c r="J564" s="156">
        <v>0.0</v>
      </c>
      <c r="K564" s="156">
        <v>0.0</v>
      </c>
    </row>
    <row r="565">
      <c r="A565" s="154" t="s">
        <v>1936</v>
      </c>
      <c r="B565" s="155"/>
      <c r="C565" s="154" t="s">
        <v>1937</v>
      </c>
      <c r="D565" s="155"/>
      <c r="E565" s="155"/>
      <c r="F565" s="154" t="s">
        <v>1938</v>
      </c>
      <c r="G565" s="156">
        <v>0.0</v>
      </c>
      <c r="H565" s="156">
        <v>0.0</v>
      </c>
      <c r="I565" s="154">
        <v>5.62520088E8</v>
      </c>
      <c r="J565" s="156">
        <v>0.0</v>
      </c>
      <c r="K565" s="154" t="s">
        <v>240</v>
      </c>
    </row>
    <row r="566">
      <c r="A566" s="154" t="s">
        <v>1939</v>
      </c>
      <c r="B566" s="154" t="s">
        <v>1940</v>
      </c>
      <c r="D566" s="154">
        <v>2.0</v>
      </c>
      <c r="E566" s="154" t="s">
        <v>761</v>
      </c>
      <c r="F566" s="154" t="s">
        <v>1941</v>
      </c>
      <c r="G566" s="156">
        <v>0.0</v>
      </c>
      <c r="H566" s="154" t="s">
        <v>1942</v>
      </c>
      <c r="I566" s="154" t="s">
        <v>1943</v>
      </c>
      <c r="J566" s="154" t="s">
        <v>1944</v>
      </c>
      <c r="K566" s="154" t="s">
        <v>1945</v>
      </c>
    </row>
    <row r="567">
      <c r="A567" s="154" t="s">
        <v>1939</v>
      </c>
      <c r="B567" s="155"/>
      <c r="C567" s="154" t="s">
        <v>1940</v>
      </c>
      <c r="D567" s="155"/>
      <c r="E567" s="155"/>
      <c r="F567" s="154" t="s">
        <v>1941</v>
      </c>
      <c r="G567" s="156">
        <v>0.0</v>
      </c>
      <c r="H567" s="154" t="s">
        <v>1942</v>
      </c>
      <c r="I567" s="154" t="s">
        <v>1943</v>
      </c>
      <c r="J567" s="154" t="s">
        <v>1944</v>
      </c>
      <c r="K567" s="154" t="s">
        <v>1945</v>
      </c>
    </row>
    <row r="568">
      <c r="A568" s="154" t="s">
        <v>1946</v>
      </c>
      <c r="B568" s="155"/>
      <c r="C568" s="154" t="s">
        <v>1947</v>
      </c>
      <c r="D568" s="155"/>
      <c r="E568" s="155"/>
      <c r="F568" s="154" t="s">
        <v>1948</v>
      </c>
      <c r="G568" s="154">
        <v>971.0</v>
      </c>
      <c r="H568" s="154" t="s">
        <v>1949</v>
      </c>
      <c r="I568" s="154" t="s">
        <v>1950</v>
      </c>
      <c r="J568" s="154" t="s">
        <v>1951</v>
      </c>
      <c r="K568" s="154" t="s">
        <v>329</v>
      </c>
    </row>
    <row r="569">
      <c r="A569" s="154" t="s">
        <v>1946</v>
      </c>
      <c r="B569" s="154" t="s">
        <v>1947</v>
      </c>
      <c r="D569" s="154">
        <v>2.0</v>
      </c>
      <c r="E569" s="154" t="s">
        <v>761</v>
      </c>
      <c r="F569" s="154" t="s">
        <v>1948</v>
      </c>
      <c r="G569" s="154">
        <v>971.0</v>
      </c>
      <c r="H569" s="154" t="s">
        <v>1949</v>
      </c>
      <c r="I569" s="154" t="s">
        <v>1950</v>
      </c>
      <c r="J569" s="154" t="s">
        <v>1951</v>
      </c>
      <c r="K569" s="154" t="s">
        <v>329</v>
      </c>
    </row>
    <row r="570">
      <c r="A570" s="154" t="s">
        <v>1952</v>
      </c>
      <c r="B570" s="155"/>
      <c r="C570" s="154" t="s">
        <v>1953</v>
      </c>
      <c r="D570" s="155"/>
      <c r="E570" s="155"/>
      <c r="F570" s="154" t="s">
        <v>1954</v>
      </c>
      <c r="G570" s="154">
        <v>0.0</v>
      </c>
      <c r="H570" s="156">
        <v>0.0</v>
      </c>
      <c r="I570" s="156">
        <v>0.0</v>
      </c>
      <c r="J570" s="156">
        <v>0.0</v>
      </c>
      <c r="K570" s="156">
        <v>0.0</v>
      </c>
    </row>
    <row r="571">
      <c r="A571" s="154" t="s">
        <v>1952</v>
      </c>
      <c r="B571" s="154" t="s">
        <v>1953</v>
      </c>
      <c r="D571" s="154">
        <v>2.0</v>
      </c>
      <c r="E571" s="154" t="s">
        <v>761</v>
      </c>
      <c r="F571" s="154" t="s">
        <v>1954</v>
      </c>
      <c r="G571" s="154">
        <v>0.0</v>
      </c>
      <c r="H571" s="156">
        <v>0.0</v>
      </c>
      <c r="I571" s="156">
        <v>0.0</v>
      </c>
      <c r="J571" s="156">
        <v>0.0</v>
      </c>
      <c r="K571" s="156">
        <v>0.0</v>
      </c>
    </row>
    <row r="572">
      <c r="A572" s="154" t="s">
        <v>1955</v>
      </c>
      <c r="B572" s="154" t="s">
        <v>1956</v>
      </c>
      <c r="D572" s="154">
        <v>2.0</v>
      </c>
      <c r="E572" s="154" t="s">
        <v>761</v>
      </c>
      <c r="F572" s="154" t="s">
        <v>1957</v>
      </c>
      <c r="G572" s="156">
        <v>0.0</v>
      </c>
      <c r="H572" s="156">
        <v>0.0</v>
      </c>
      <c r="I572" s="154" t="s">
        <v>1958</v>
      </c>
      <c r="J572" s="154" t="s">
        <v>1959</v>
      </c>
      <c r="K572" s="154" t="s">
        <v>818</v>
      </c>
    </row>
    <row r="573">
      <c r="A573" s="154" t="s">
        <v>1955</v>
      </c>
      <c r="B573" s="155"/>
      <c r="C573" s="154" t="s">
        <v>1956</v>
      </c>
      <c r="D573" s="155"/>
      <c r="E573" s="155"/>
      <c r="F573" s="154" t="s">
        <v>1957</v>
      </c>
      <c r="G573" s="156">
        <v>0.0</v>
      </c>
      <c r="H573" s="156">
        <v>0.0</v>
      </c>
      <c r="I573" s="154" t="s">
        <v>1958</v>
      </c>
      <c r="J573" s="154" t="s">
        <v>1959</v>
      </c>
      <c r="K573" s="154" t="s">
        <v>818</v>
      </c>
    </row>
    <row r="574">
      <c r="A574" s="154" t="s">
        <v>1960</v>
      </c>
      <c r="B574" s="154" t="s">
        <v>1961</v>
      </c>
      <c r="D574" s="154">
        <v>2.0</v>
      </c>
      <c r="E574" s="154" t="s">
        <v>761</v>
      </c>
      <c r="F574" s="154" t="s">
        <v>1962</v>
      </c>
      <c r="G574" s="156">
        <v>0.0</v>
      </c>
      <c r="H574" s="154" t="s">
        <v>1963</v>
      </c>
      <c r="I574" s="154" t="s">
        <v>1964</v>
      </c>
      <c r="J574" s="154" t="s">
        <v>1965</v>
      </c>
      <c r="K574" s="154" t="s">
        <v>301</v>
      </c>
    </row>
    <row r="575">
      <c r="A575" s="154" t="s">
        <v>1960</v>
      </c>
      <c r="B575" s="155"/>
      <c r="C575" s="154" t="s">
        <v>1961</v>
      </c>
      <c r="D575" s="155"/>
      <c r="E575" s="155"/>
      <c r="F575" s="154" t="s">
        <v>1962</v>
      </c>
      <c r="G575" s="156">
        <v>0.0</v>
      </c>
      <c r="H575" s="154" t="s">
        <v>1963</v>
      </c>
      <c r="I575" s="154" t="s">
        <v>1964</v>
      </c>
      <c r="J575" s="154" t="s">
        <v>1965</v>
      </c>
      <c r="K575" s="154" t="s">
        <v>301</v>
      </c>
    </row>
    <row r="576">
      <c r="A576" s="154" t="s">
        <v>1966</v>
      </c>
      <c r="B576" s="154" t="s">
        <v>1967</v>
      </c>
      <c r="D576" s="154">
        <v>2.0</v>
      </c>
      <c r="E576" s="154" t="s">
        <v>761</v>
      </c>
      <c r="F576" s="154" t="s">
        <v>1968</v>
      </c>
      <c r="G576" s="154">
        <v>5.08751814E8</v>
      </c>
      <c r="H576" s="156">
        <v>0.0</v>
      </c>
      <c r="I576" s="154">
        <v>5.08751814E8</v>
      </c>
      <c r="J576" s="156">
        <v>0.0</v>
      </c>
      <c r="K576" s="154" t="s">
        <v>197</v>
      </c>
    </row>
    <row r="577">
      <c r="A577" s="154" t="s">
        <v>1966</v>
      </c>
      <c r="B577" s="155"/>
      <c r="C577" s="154" t="s">
        <v>1967</v>
      </c>
      <c r="D577" s="155"/>
      <c r="E577" s="155"/>
      <c r="F577" s="154" t="s">
        <v>1968</v>
      </c>
      <c r="G577" s="154">
        <v>5.08751814E8</v>
      </c>
      <c r="H577" s="156">
        <v>0.0</v>
      </c>
      <c r="I577" s="154">
        <v>5.08751814E8</v>
      </c>
      <c r="J577" s="156">
        <v>0.0</v>
      </c>
      <c r="K577" s="154" t="s">
        <v>197</v>
      </c>
    </row>
    <row r="578">
      <c r="A578" s="154" t="s">
        <v>1969</v>
      </c>
      <c r="B578" s="155"/>
      <c r="C578" s="154" t="s">
        <v>1970</v>
      </c>
      <c r="D578" s="155"/>
      <c r="E578" s="155"/>
      <c r="F578" s="154" t="s">
        <v>1971</v>
      </c>
      <c r="G578" s="156">
        <v>0.0</v>
      </c>
      <c r="H578" s="156">
        <v>0.0</v>
      </c>
      <c r="I578" s="154">
        <v>5.06410212E8</v>
      </c>
      <c r="J578" s="156">
        <v>0.0</v>
      </c>
      <c r="K578" s="154" t="s">
        <v>259</v>
      </c>
    </row>
    <row r="579">
      <c r="A579" s="154" t="s">
        <v>1969</v>
      </c>
      <c r="B579" s="154" t="s">
        <v>1970</v>
      </c>
      <c r="D579" s="154">
        <v>2.0</v>
      </c>
      <c r="E579" s="154" t="s">
        <v>761</v>
      </c>
      <c r="F579" s="154" t="s">
        <v>1971</v>
      </c>
      <c r="G579" s="156">
        <v>0.0</v>
      </c>
      <c r="H579" s="156">
        <v>0.0</v>
      </c>
      <c r="I579" s="154">
        <v>5.06410212E8</v>
      </c>
      <c r="J579" s="156">
        <v>0.0</v>
      </c>
      <c r="K579" s="154" t="s">
        <v>259</v>
      </c>
    </row>
    <row r="580">
      <c r="A580" s="154" t="s">
        <v>1972</v>
      </c>
      <c r="B580" s="155"/>
      <c r="C580" s="154" t="s">
        <v>1973</v>
      </c>
      <c r="D580" s="155"/>
      <c r="E580" s="155"/>
      <c r="F580" s="154" t="s">
        <v>1974</v>
      </c>
      <c r="G580" s="156">
        <v>0.0</v>
      </c>
      <c r="H580" s="156">
        <v>0.0</v>
      </c>
      <c r="I580" s="154">
        <v>9.71566068265E11</v>
      </c>
      <c r="J580" s="156">
        <v>0.0</v>
      </c>
      <c r="K580" s="154" t="s">
        <v>361</v>
      </c>
    </row>
    <row r="581">
      <c r="A581" s="154" t="s">
        <v>1972</v>
      </c>
      <c r="B581" s="154" t="s">
        <v>1973</v>
      </c>
      <c r="D581" s="154">
        <v>2.0</v>
      </c>
      <c r="E581" s="154" t="s">
        <v>761</v>
      </c>
      <c r="F581" s="154" t="s">
        <v>1975</v>
      </c>
      <c r="G581" s="156">
        <v>0.0</v>
      </c>
      <c r="H581" s="156">
        <v>0.0</v>
      </c>
      <c r="I581" s="154">
        <v>9.71507162409E11</v>
      </c>
      <c r="J581" s="156">
        <v>0.0</v>
      </c>
      <c r="K581" s="154" t="s">
        <v>361</v>
      </c>
    </row>
    <row r="582">
      <c r="A582" s="154" t="s">
        <v>1976</v>
      </c>
      <c r="B582" s="154" t="s">
        <v>1977</v>
      </c>
      <c r="D582" s="154">
        <v>2.0</v>
      </c>
      <c r="E582" s="154" t="s">
        <v>761</v>
      </c>
      <c r="F582" s="154" t="s">
        <v>1978</v>
      </c>
      <c r="G582" s="156">
        <v>0.0</v>
      </c>
      <c r="H582" s="156">
        <v>0.0</v>
      </c>
      <c r="I582" s="154">
        <v>5.56640044E8</v>
      </c>
      <c r="J582" s="156">
        <v>0.0</v>
      </c>
      <c r="K582" s="154" t="s">
        <v>914</v>
      </c>
    </row>
    <row r="583">
      <c r="A583" s="154" t="s">
        <v>1976</v>
      </c>
      <c r="B583" s="155"/>
      <c r="C583" s="154" t="s">
        <v>1977</v>
      </c>
      <c r="D583" s="155"/>
      <c r="E583" s="155"/>
      <c r="F583" s="154" t="s">
        <v>1978</v>
      </c>
      <c r="G583" s="156">
        <v>0.0</v>
      </c>
      <c r="H583" s="156">
        <v>0.0</v>
      </c>
      <c r="I583" s="154">
        <v>5.56640044E8</v>
      </c>
      <c r="J583" s="156">
        <v>0.0</v>
      </c>
      <c r="K583" s="154" t="s">
        <v>914</v>
      </c>
    </row>
    <row r="584">
      <c r="A584" s="154" t="s">
        <v>1979</v>
      </c>
      <c r="B584" s="155"/>
      <c r="C584" s="154" t="s">
        <v>1980</v>
      </c>
      <c r="D584" s="155"/>
      <c r="E584" s="155"/>
      <c r="F584" s="154" t="s">
        <v>1981</v>
      </c>
      <c r="G584" s="156">
        <v>0.0</v>
      </c>
      <c r="H584" s="156">
        <v>0.0</v>
      </c>
      <c r="I584" s="154">
        <v>0.0</v>
      </c>
      <c r="J584" s="156">
        <v>0.0</v>
      </c>
      <c r="K584" s="154" t="s">
        <v>760</v>
      </c>
    </row>
    <row r="585">
      <c r="A585" s="154" t="s">
        <v>1979</v>
      </c>
      <c r="B585" s="154" t="s">
        <v>1980</v>
      </c>
      <c r="D585" s="154">
        <v>2.0</v>
      </c>
      <c r="E585" s="154" t="s">
        <v>761</v>
      </c>
      <c r="F585" s="154" t="s">
        <v>1981</v>
      </c>
      <c r="G585" s="156">
        <v>0.0</v>
      </c>
      <c r="H585" s="156">
        <v>0.0</v>
      </c>
      <c r="I585" s="154">
        <v>0.0</v>
      </c>
      <c r="J585" s="156">
        <v>0.0</v>
      </c>
      <c r="K585" s="154" t="s">
        <v>760</v>
      </c>
    </row>
    <row r="586">
      <c r="A586" s="154" t="s">
        <v>1982</v>
      </c>
      <c r="B586" s="154" t="s">
        <v>1983</v>
      </c>
      <c r="C586" s="155"/>
      <c r="D586" s="154">
        <v>2.0</v>
      </c>
      <c r="E586" s="154" t="s">
        <v>897</v>
      </c>
      <c r="F586" s="154" t="s">
        <v>1984</v>
      </c>
      <c r="G586" s="156">
        <v>0.0</v>
      </c>
      <c r="H586" s="156">
        <v>0.0</v>
      </c>
      <c r="I586" s="156">
        <v>0.0</v>
      </c>
      <c r="J586" s="156">
        <v>0.0</v>
      </c>
      <c r="K586" s="154" t="s">
        <v>207</v>
      </c>
    </row>
    <row r="587">
      <c r="A587" s="154" t="s">
        <v>1982</v>
      </c>
      <c r="B587" s="155"/>
      <c r="C587" s="154" t="s">
        <v>1983</v>
      </c>
      <c r="D587" s="155"/>
      <c r="E587" s="155"/>
      <c r="F587" s="154" t="s">
        <v>1984</v>
      </c>
      <c r="G587" s="156">
        <v>0.0</v>
      </c>
      <c r="H587" s="156">
        <v>0.0</v>
      </c>
      <c r="I587" s="156">
        <v>0.0</v>
      </c>
      <c r="J587" s="156">
        <v>0.0</v>
      </c>
      <c r="K587" s="154" t="s">
        <v>207</v>
      </c>
    </row>
    <row r="588">
      <c r="A588" s="154" t="s">
        <v>1985</v>
      </c>
      <c r="B588" s="154" t="s">
        <v>1986</v>
      </c>
      <c r="C588" s="155"/>
      <c r="D588" s="154">
        <v>2.0</v>
      </c>
      <c r="E588" s="154" t="s">
        <v>897</v>
      </c>
      <c r="F588" s="154" t="s">
        <v>1987</v>
      </c>
      <c r="G588" s="154">
        <v>4.3329204E7</v>
      </c>
      <c r="H588" s="156">
        <v>0.0</v>
      </c>
      <c r="I588" s="156">
        <v>0.0</v>
      </c>
      <c r="J588" s="156">
        <v>0.0</v>
      </c>
      <c r="K588" s="156">
        <v>0.0</v>
      </c>
    </row>
    <row r="589">
      <c r="A589" s="154" t="s">
        <v>1985</v>
      </c>
      <c r="B589" s="155"/>
      <c r="C589" s="154" t="s">
        <v>1986</v>
      </c>
      <c r="D589" s="155"/>
      <c r="E589" s="155"/>
      <c r="F589" s="154" t="s">
        <v>1987</v>
      </c>
      <c r="G589" s="154">
        <v>4.3329204E7</v>
      </c>
      <c r="H589" s="156">
        <v>0.0</v>
      </c>
      <c r="I589" s="156">
        <v>0.0</v>
      </c>
      <c r="J589" s="156">
        <v>0.0</v>
      </c>
      <c r="K589" s="156">
        <v>0.0</v>
      </c>
    </row>
    <row r="590">
      <c r="A590" s="154" t="s">
        <v>1988</v>
      </c>
      <c r="B590" s="154" t="s">
        <v>1989</v>
      </c>
      <c r="C590" s="155"/>
      <c r="D590" s="154">
        <v>2.0</v>
      </c>
      <c r="E590" s="154" t="s">
        <v>897</v>
      </c>
      <c r="F590" s="154" t="s">
        <v>1987</v>
      </c>
      <c r="G590" s="154">
        <v>4.3329204E7</v>
      </c>
      <c r="H590" s="156">
        <v>0.0</v>
      </c>
      <c r="I590" s="156">
        <v>0.0</v>
      </c>
      <c r="J590" s="156">
        <v>0.0</v>
      </c>
      <c r="K590" s="156">
        <v>0.0</v>
      </c>
    </row>
    <row r="591">
      <c r="A591" s="154" t="s">
        <v>1988</v>
      </c>
      <c r="B591" s="155"/>
      <c r="C591" s="154" t="s">
        <v>1989</v>
      </c>
      <c r="D591" s="155"/>
      <c r="E591" s="155"/>
      <c r="F591" s="154" t="s">
        <v>1987</v>
      </c>
      <c r="G591" s="154">
        <v>4.3329204E7</v>
      </c>
      <c r="H591" s="156">
        <v>0.0</v>
      </c>
      <c r="I591" s="156">
        <v>0.0</v>
      </c>
      <c r="J591" s="156">
        <v>0.0</v>
      </c>
      <c r="K591" s="156">
        <v>0.0</v>
      </c>
    </row>
    <row r="592">
      <c r="A592" s="154" t="s">
        <v>1990</v>
      </c>
      <c r="B592" s="154" t="s">
        <v>1991</v>
      </c>
      <c r="C592" s="155"/>
      <c r="D592" s="154">
        <v>2.0</v>
      </c>
      <c r="E592" s="154" t="s">
        <v>897</v>
      </c>
      <c r="F592" s="154" t="s">
        <v>1987</v>
      </c>
      <c r="G592" s="154">
        <v>4.3329204E7</v>
      </c>
      <c r="H592" s="156">
        <v>0.0</v>
      </c>
      <c r="I592" s="156">
        <v>0.0</v>
      </c>
      <c r="J592" s="156">
        <v>0.0</v>
      </c>
      <c r="K592" s="156">
        <v>0.0</v>
      </c>
    </row>
    <row r="593">
      <c r="A593" s="154" t="s">
        <v>1990</v>
      </c>
      <c r="B593" s="155"/>
      <c r="C593" s="154" t="s">
        <v>1991</v>
      </c>
      <c r="D593" s="155"/>
      <c r="E593" s="155"/>
      <c r="F593" s="154" t="s">
        <v>1987</v>
      </c>
      <c r="G593" s="154">
        <v>4.3329204E7</v>
      </c>
      <c r="H593" s="156">
        <v>0.0</v>
      </c>
      <c r="I593" s="156">
        <v>0.0</v>
      </c>
      <c r="J593" s="156">
        <v>0.0</v>
      </c>
      <c r="K593" s="156">
        <v>0.0</v>
      </c>
    </row>
    <row r="594">
      <c r="A594" s="154" t="s">
        <v>1992</v>
      </c>
      <c r="B594" s="154" t="s">
        <v>1993</v>
      </c>
      <c r="C594" s="155"/>
      <c r="D594" s="154">
        <v>2.0</v>
      </c>
      <c r="E594" s="154" t="s">
        <v>897</v>
      </c>
      <c r="F594" s="154" t="s">
        <v>1994</v>
      </c>
      <c r="G594" s="154">
        <v>5.0611669E8</v>
      </c>
      <c r="H594" s="156">
        <v>0.0</v>
      </c>
      <c r="I594" s="154">
        <v>5.63375151E8</v>
      </c>
      <c r="J594" s="156">
        <v>0.0</v>
      </c>
      <c r="K594" s="154" t="s">
        <v>846</v>
      </c>
    </row>
    <row r="595">
      <c r="A595" s="154" t="s">
        <v>1992</v>
      </c>
      <c r="B595" s="155"/>
      <c r="C595" s="154" t="s">
        <v>1993</v>
      </c>
      <c r="D595" s="155"/>
      <c r="E595" s="155"/>
      <c r="F595" s="154" t="s">
        <v>1994</v>
      </c>
      <c r="G595" s="154">
        <v>5.0611669E8</v>
      </c>
      <c r="H595" s="156">
        <v>0.0</v>
      </c>
      <c r="I595" s="154">
        <v>5.63375151E8</v>
      </c>
      <c r="J595" s="156">
        <v>0.0</v>
      </c>
      <c r="K595" s="154" t="s">
        <v>846</v>
      </c>
    </row>
    <row r="596">
      <c r="A596" s="154" t="s">
        <v>1995</v>
      </c>
      <c r="B596" s="155"/>
      <c r="C596" s="154" t="s">
        <v>1996</v>
      </c>
      <c r="D596" s="155"/>
      <c r="E596" s="155"/>
      <c r="F596" s="154" t="s">
        <v>1997</v>
      </c>
      <c r="G596" s="156">
        <v>0.0</v>
      </c>
      <c r="H596" s="156">
        <v>0.0</v>
      </c>
      <c r="I596" s="154">
        <v>9.715064548E11</v>
      </c>
      <c r="J596" s="156">
        <v>0.0</v>
      </c>
      <c r="K596" s="154" t="s">
        <v>207</v>
      </c>
    </row>
    <row r="597">
      <c r="A597" s="154" t="s">
        <v>1995</v>
      </c>
      <c r="B597" s="154" t="s">
        <v>1996</v>
      </c>
      <c r="D597" s="154">
        <v>2.0</v>
      </c>
      <c r="E597" s="154" t="s">
        <v>761</v>
      </c>
      <c r="F597" s="154" t="s">
        <v>1997</v>
      </c>
      <c r="G597" s="156">
        <v>0.0</v>
      </c>
      <c r="H597" s="156">
        <v>0.0</v>
      </c>
      <c r="I597" s="154">
        <v>9.715064548E11</v>
      </c>
      <c r="J597" s="156">
        <v>0.0</v>
      </c>
      <c r="K597" s="154" t="s">
        <v>207</v>
      </c>
    </row>
    <row r="598">
      <c r="A598" s="154" t="s">
        <v>1998</v>
      </c>
      <c r="B598" s="155"/>
      <c r="C598" s="154" t="s">
        <v>1999</v>
      </c>
      <c r="D598" s="155"/>
      <c r="E598" s="155"/>
      <c r="F598" s="154" t="s">
        <v>2000</v>
      </c>
      <c r="G598" s="154">
        <v>4.3911111E7</v>
      </c>
      <c r="H598" s="156">
        <v>0.0</v>
      </c>
      <c r="I598" s="154">
        <v>5.01890693E8</v>
      </c>
      <c r="J598" s="156">
        <v>0.0</v>
      </c>
      <c r="K598" s="154" t="s">
        <v>240</v>
      </c>
    </row>
    <row r="599">
      <c r="A599" s="154" t="s">
        <v>1998</v>
      </c>
      <c r="B599" s="154" t="s">
        <v>1999</v>
      </c>
      <c r="D599" s="154">
        <v>2.0</v>
      </c>
      <c r="E599" s="154" t="s">
        <v>761</v>
      </c>
      <c r="F599" s="154" t="s">
        <v>2000</v>
      </c>
      <c r="G599" s="154">
        <v>4.3911111E7</v>
      </c>
      <c r="H599" s="156">
        <v>0.0</v>
      </c>
      <c r="I599" s="154">
        <v>5.01890693E8</v>
      </c>
      <c r="J599" s="156">
        <v>0.0</v>
      </c>
      <c r="K599" s="154" t="s">
        <v>240</v>
      </c>
    </row>
    <row r="600">
      <c r="A600" s="154" t="s">
        <v>2001</v>
      </c>
      <c r="B600" s="154" t="s">
        <v>2002</v>
      </c>
      <c r="D600" s="154">
        <v>2.0</v>
      </c>
      <c r="E600" s="154" t="s">
        <v>761</v>
      </c>
      <c r="F600" s="154" t="s">
        <v>2003</v>
      </c>
      <c r="G600" s="156">
        <v>0.0</v>
      </c>
      <c r="H600" s="154" t="s">
        <v>2004</v>
      </c>
      <c r="I600" s="154" t="s">
        <v>2005</v>
      </c>
      <c r="J600" s="154" t="s">
        <v>2006</v>
      </c>
      <c r="K600" s="154" t="s">
        <v>197</v>
      </c>
    </row>
    <row r="601">
      <c r="A601" s="154" t="s">
        <v>2001</v>
      </c>
      <c r="B601" s="155"/>
      <c r="C601" s="154" t="s">
        <v>2002</v>
      </c>
      <c r="D601" s="155"/>
      <c r="E601" s="155"/>
      <c r="F601" s="154" t="s">
        <v>2003</v>
      </c>
      <c r="G601" s="156">
        <v>0.0</v>
      </c>
      <c r="H601" s="154" t="s">
        <v>2004</v>
      </c>
      <c r="I601" s="154" t="s">
        <v>2005</v>
      </c>
      <c r="J601" s="154" t="s">
        <v>2006</v>
      </c>
      <c r="K601" s="154" t="s">
        <v>197</v>
      </c>
    </row>
    <row r="602">
      <c r="A602" s="154" t="s">
        <v>2007</v>
      </c>
      <c r="B602" s="154" t="s">
        <v>2008</v>
      </c>
      <c r="D602" s="154">
        <v>2.0</v>
      </c>
      <c r="E602" s="154" t="s">
        <v>761</v>
      </c>
      <c r="F602" s="154" t="s">
        <v>2009</v>
      </c>
      <c r="G602" s="156">
        <v>0.0</v>
      </c>
      <c r="H602" s="156">
        <v>0.0</v>
      </c>
      <c r="I602" s="154" t="s">
        <v>2010</v>
      </c>
      <c r="J602" s="154" t="s">
        <v>2011</v>
      </c>
      <c r="K602" s="154" t="s">
        <v>361</v>
      </c>
    </row>
    <row r="603">
      <c r="A603" s="154" t="s">
        <v>2007</v>
      </c>
      <c r="B603" s="155"/>
      <c r="C603" s="154" t="s">
        <v>2008</v>
      </c>
      <c r="D603" s="155"/>
      <c r="E603" s="155"/>
      <c r="F603" s="154" t="s">
        <v>2012</v>
      </c>
      <c r="G603" s="156">
        <v>0.0</v>
      </c>
      <c r="H603" s="156">
        <v>0.0</v>
      </c>
      <c r="I603" s="154" t="s">
        <v>2013</v>
      </c>
      <c r="J603" s="156">
        <v>0.0</v>
      </c>
      <c r="K603" s="154" t="s">
        <v>361</v>
      </c>
    </row>
    <row r="604">
      <c r="A604" s="154" t="s">
        <v>2014</v>
      </c>
      <c r="B604" s="155"/>
      <c r="C604" s="154" t="s">
        <v>2015</v>
      </c>
      <c r="D604" s="155"/>
      <c r="E604" s="155"/>
      <c r="F604" s="154" t="s">
        <v>2016</v>
      </c>
      <c r="G604" s="156">
        <v>0.0</v>
      </c>
      <c r="H604" s="156">
        <v>0.0</v>
      </c>
      <c r="I604" s="154">
        <v>5.06136622E8</v>
      </c>
      <c r="J604" s="156">
        <v>0.0</v>
      </c>
      <c r="K604" s="154" t="s">
        <v>776</v>
      </c>
    </row>
    <row r="605">
      <c r="A605" s="154" t="s">
        <v>2014</v>
      </c>
      <c r="B605" s="154" t="s">
        <v>2015</v>
      </c>
      <c r="D605" s="154">
        <v>2.0</v>
      </c>
      <c r="E605" s="154" t="s">
        <v>761</v>
      </c>
      <c r="F605" s="154" t="s">
        <v>2017</v>
      </c>
      <c r="G605" s="154">
        <v>0.0</v>
      </c>
      <c r="H605" s="156">
        <v>0.0</v>
      </c>
      <c r="I605" s="154">
        <v>9.71506619005E11</v>
      </c>
      <c r="J605" s="156">
        <v>0.0</v>
      </c>
      <c r="K605" s="154" t="s">
        <v>776</v>
      </c>
    </row>
    <row r="606">
      <c r="A606" s="154" t="s">
        <v>2018</v>
      </c>
      <c r="B606" s="155"/>
      <c r="C606" s="154" t="s">
        <v>2019</v>
      </c>
      <c r="D606" s="155"/>
      <c r="E606" s="155"/>
      <c r="F606" s="154" t="s">
        <v>2020</v>
      </c>
      <c r="G606" s="154" t="s">
        <v>2021</v>
      </c>
      <c r="H606" s="154" t="s">
        <v>2022</v>
      </c>
      <c r="I606" s="156">
        <v>0.0</v>
      </c>
      <c r="J606" s="156">
        <v>0.0</v>
      </c>
      <c r="K606" s="156">
        <v>0.0</v>
      </c>
    </row>
    <row r="607">
      <c r="A607" s="154" t="s">
        <v>2018</v>
      </c>
      <c r="B607" s="154" t="s">
        <v>2019</v>
      </c>
      <c r="D607" s="154">
        <v>2.0</v>
      </c>
      <c r="E607" s="154" t="s">
        <v>761</v>
      </c>
      <c r="F607" s="154" t="s">
        <v>2020</v>
      </c>
      <c r="G607" s="154" t="s">
        <v>2021</v>
      </c>
      <c r="H607" s="154" t="s">
        <v>2022</v>
      </c>
      <c r="I607" s="156">
        <v>0.0</v>
      </c>
      <c r="J607" s="156">
        <v>0.0</v>
      </c>
      <c r="K607" s="156">
        <v>0.0</v>
      </c>
    </row>
    <row r="608">
      <c r="A608" s="154" t="s">
        <v>2023</v>
      </c>
      <c r="B608" s="155"/>
      <c r="C608" s="154" t="s">
        <v>2024</v>
      </c>
      <c r="D608" s="155"/>
      <c r="E608" s="155"/>
      <c r="F608" s="154" t="s">
        <v>2025</v>
      </c>
      <c r="G608" s="156">
        <v>0.0</v>
      </c>
      <c r="H608" s="154" t="s">
        <v>2026</v>
      </c>
      <c r="I608" s="154">
        <v>5.06626699E8</v>
      </c>
      <c r="J608" s="156">
        <v>0.0</v>
      </c>
      <c r="K608" s="154" t="s">
        <v>207</v>
      </c>
    </row>
    <row r="609">
      <c r="A609" s="154" t="s">
        <v>2023</v>
      </c>
      <c r="B609" s="154" t="s">
        <v>2024</v>
      </c>
      <c r="D609" s="154">
        <v>2.0</v>
      </c>
      <c r="E609" s="154" t="s">
        <v>761</v>
      </c>
      <c r="F609" s="154" t="s">
        <v>2025</v>
      </c>
      <c r="G609" s="156">
        <v>0.0</v>
      </c>
      <c r="H609" s="154" t="s">
        <v>2026</v>
      </c>
      <c r="I609" s="154">
        <v>5.06626699E8</v>
      </c>
      <c r="J609" s="156">
        <v>0.0</v>
      </c>
      <c r="K609" s="154" t="s">
        <v>207</v>
      </c>
    </row>
    <row r="610">
      <c r="A610" s="154" t="s">
        <v>2027</v>
      </c>
      <c r="B610" s="154" t="s">
        <v>2028</v>
      </c>
      <c r="D610" s="154">
        <v>2.0</v>
      </c>
      <c r="E610" s="154" t="s">
        <v>761</v>
      </c>
      <c r="F610" s="154" t="s">
        <v>2029</v>
      </c>
      <c r="G610" s="156">
        <v>0.0</v>
      </c>
      <c r="H610" s="154" t="s">
        <v>2030</v>
      </c>
      <c r="I610" s="154" t="s">
        <v>2031</v>
      </c>
      <c r="J610" s="154" t="s">
        <v>2032</v>
      </c>
      <c r="K610" s="154" t="s">
        <v>361</v>
      </c>
    </row>
    <row r="611">
      <c r="A611" s="154" t="s">
        <v>2027</v>
      </c>
      <c r="B611" s="155"/>
      <c r="C611" s="154" t="s">
        <v>2028</v>
      </c>
      <c r="D611" s="155"/>
      <c r="E611" s="155"/>
      <c r="F611" s="154" t="s">
        <v>2029</v>
      </c>
      <c r="G611" s="156">
        <v>0.0</v>
      </c>
      <c r="H611" s="154" t="s">
        <v>2030</v>
      </c>
      <c r="I611" s="154" t="s">
        <v>2031</v>
      </c>
      <c r="J611" s="154" t="s">
        <v>2032</v>
      </c>
      <c r="K611" s="154" t="s">
        <v>361</v>
      </c>
    </row>
    <row r="612">
      <c r="A612" s="154" t="s">
        <v>2033</v>
      </c>
      <c r="B612" s="155"/>
      <c r="C612" s="154" t="s">
        <v>2034</v>
      </c>
      <c r="D612" s="155"/>
      <c r="E612" s="155"/>
      <c r="F612" s="154" t="s">
        <v>2035</v>
      </c>
      <c r="G612" s="154">
        <v>971.0</v>
      </c>
      <c r="H612" s="154" t="s">
        <v>2036</v>
      </c>
      <c r="I612" s="154" t="s">
        <v>2037</v>
      </c>
      <c r="J612" s="154" t="s">
        <v>2038</v>
      </c>
      <c r="K612" s="154" t="s">
        <v>760</v>
      </c>
    </row>
    <row r="613">
      <c r="A613" s="154" t="s">
        <v>2033</v>
      </c>
      <c r="B613" s="154" t="s">
        <v>2034</v>
      </c>
      <c r="D613" s="154">
        <v>2.0</v>
      </c>
      <c r="E613" s="154" t="s">
        <v>761</v>
      </c>
      <c r="F613" s="154" t="s">
        <v>2035</v>
      </c>
      <c r="G613" s="154">
        <v>971.0</v>
      </c>
      <c r="H613" s="154" t="s">
        <v>2036</v>
      </c>
      <c r="I613" s="154" t="s">
        <v>2037</v>
      </c>
      <c r="J613" s="154" t="s">
        <v>2038</v>
      </c>
      <c r="K613" s="154" t="s">
        <v>760</v>
      </c>
    </row>
    <row r="614">
      <c r="A614" s="154" t="s">
        <v>2039</v>
      </c>
      <c r="B614" s="154" t="s">
        <v>2040</v>
      </c>
      <c r="D614" s="154">
        <v>2.0</v>
      </c>
      <c r="E614" s="154" t="s">
        <v>761</v>
      </c>
      <c r="F614" s="154" t="s">
        <v>2041</v>
      </c>
      <c r="G614" s="154">
        <v>4.360774E7</v>
      </c>
      <c r="H614" s="156">
        <v>0.0</v>
      </c>
      <c r="I614" s="154">
        <v>5.06614084E8</v>
      </c>
      <c r="J614" s="156">
        <v>0.0</v>
      </c>
      <c r="K614" s="154" t="s">
        <v>1891</v>
      </c>
    </row>
    <row r="615">
      <c r="A615" s="154" t="s">
        <v>2039</v>
      </c>
      <c r="B615" s="155"/>
      <c r="C615" s="154" t="s">
        <v>2040</v>
      </c>
      <c r="D615" s="155"/>
      <c r="E615" s="155"/>
      <c r="F615" s="154" t="s">
        <v>2041</v>
      </c>
      <c r="G615" s="154">
        <v>4.360774E7</v>
      </c>
      <c r="H615" s="156">
        <v>0.0</v>
      </c>
      <c r="I615" s="154">
        <v>5.06614084E8</v>
      </c>
      <c r="J615" s="156">
        <v>0.0</v>
      </c>
      <c r="K615" s="154" t="s">
        <v>1891</v>
      </c>
    </row>
    <row r="616">
      <c r="A616" s="154" t="s">
        <v>2042</v>
      </c>
      <c r="B616" s="155"/>
      <c r="C616" s="154" t="s">
        <v>2043</v>
      </c>
      <c r="D616" s="155"/>
      <c r="E616" s="155"/>
      <c r="F616" s="154" t="s">
        <v>2044</v>
      </c>
      <c r="G616" s="154">
        <v>5.62565992E8</v>
      </c>
      <c r="H616" s="156">
        <v>0.0</v>
      </c>
      <c r="I616" s="154">
        <v>9.71562565992E11</v>
      </c>
      <c r="J616" s="156">
        <v>0.0</v>
      </c>
      <c r="K616" s="154" t="s">
        <v>914</v>
      </c>
    </row>
    <row r="617">
      <c r="A617" s="154" t="s">
        <v>2042</v>
      </c>
      <c r="B617" s="154" t="s">
        <v>2043</v>
      </c>
      <c r="D617" s="154">
        <v>2.0</v>
      </c>
      <c r="E617" s="154" t="s">
        <v>761</v>
      </c>
      <c r="F617" s="154" t="s">
        <v>2044</v>
      </c>
      <c r="G617" s="154">
        <v>5.62565992E8</v>
      </c>
      <c r="H617" s="156">
        <v>0.0</v>
      </c>
      <c r="I617" s="154">
        <v>9.71562565992E11</v>
      </c>
      <c r="J617" s="156">
        <v>0.0</v>
      </c>
      <c r="K617" s="154" t="s">
        <v>914</v>
      </c>
    </row>
    <row r="618">
      <c r="A618" s="154" t="s">
        <v>2045</v>
      </c>
      <c r="B618" s="155"/>
      <c r="C618" s="154" t="s">
        <v>2046</v>
      </c>
      <c r="D618" s="155"/>
      <c r="E618" s="155"/>
      <c r="F618" s="154" t="s">
        <v>2047</v>
      </c>
      <c r="G618" s="154" t="s">
        <v>2048</v>
      </c>
      <c r="H618" s="154" t="s">
        <v>2049</v>
      </c>
      <c r="I618" s="154" t="s">
        <v>2050</v>
      </c>
      <c r="J618" s="156">
        <v>0.0</v>
      </c>
      <c r="K618" s="154" t="s">
        <v>207</v>
      </c>
    </row>
    <row r="619">
      <c r="A619" s="154" t="s">
        <v>2045</v>
      </c>
      <c r="B619" s="154" t="s">
        <v>2046</v>
      </c>
      <c r="D619" s="154">
        <v>2.0</v>
      </c>
      <c r="E619" s="154" t="s">
        <v>761</v>
      </c>
      <c r="F619" s="154" t="s">
        <v>2047</v>
      </c>
      <c r="G619" s="154" t="s">
        <v>2048</v>
      </c>
      <c r="H619" s="154" t="s">
        <v>2049</v>
      </c>
      <c r="I619" s="154" t="s">
        <v>2050</v>
      </c>
      <c r="J619" s="156">
        <v>0.0</v>
      </c>
      <c r="K619" s="154" t="s">
        <v>207</v>
      </c>
    </row>
    <row r="620">
      <c r="A620" s="154" t="s">
        <v>2051</v>
      </c>
      <c r="B620" s="155"/>
      <c r="C620" s="154" t="s">
        <v>2052</v>
      </c>
      <c r="D620" s="155"/>
      <c r="E620" s="155"/>
      <c r="F620" s="154" t="s">
        <v>2053</v>
      </c>
      <c r="G620" s="156">
        <v>0.0</v>
      </c>
      <c r="H620" s="156">
        <v>0.0</v>
      </c>
      <c r="I620" s="154">
        <v>5.02930955E8</v>
      </c>
      <c r="J620" s="156">
        <v>0.0</v>
      </c>
      <c r="K620" s="154" t="s">
        <v>846</v>
      </c>
    </row>
    <row r="621">
      <c r="A621" s="154" t="s">
        <v>2051</v>
      </c>
      <c r="B621" s="154" t="s">
        <v>2052</v>
      </c>
      <c r="D621" s="154">
        <v>2.0</v>
      </c>
      <c r="E621" s="154" t="s">
        <v>761</v>
      </c>
      <c r="F621" s="154" t="s">
        <v>2053</v>
      </c>
      <c r="G621" s="156">
        <v>0.0</v>
      </c>
      <c r="H621" s="156">
        <v>0.0</v>
      </c>
      <c r="I621" s="154">
        <v>5.02930955E8</v>
      </c>
      <c r="J621" s="156">
        <v>0.0</v>
      </c>
      <c r="K621" s="154" t="s">
        <v>846</v>
      </c>
    </row>
    <row r="622">
      <c r="A622" s="154" t="s">
        <v>2054</v>
      </c>
      <c r="B622" s="154" t="s">
        <v>2055</v>
      </c>
      <c r="D622" s="154">
        <v>2.0</v>
      </c>
      <c r="E622" s="154" t="s">
        <v>761</v>
      </c>
      <c r="F622" s="154" t="s">
        <v>2056</v>
      </c>
      <c r="G622" s="154">
        <v>5.08558429E8</v>
      </c>
      <c r="H622" s="156">
        <v>0.0</v>
      </c>
      <c r="I622" s="154">
        <v>5.08558429E8</v>
      </c>
      <c r="J622" s="156">
        <v>0.0</v>
      </c>
      <c r="K622" s="154" t="s">
        <v>361</v>
      </c>
    </row>
    <row r="623">
      <c r="A623" s="154" t="s">
        <v>2054</v>
      </c>
      <c r="B623" s="155"/>
      <c r="C623" s="154" t="s">
        <v>2055</v>
      </c>
      <c r="D623" s="155"/>
      <c r="E623" s="155"/>
      <c r="F623" s="154" t="s">
        <v>2057</v>
      </c>
      <c r="G623" s="154">
        <v>5.08558429E8</v>
      </c>
      <c r="H623" s="156">
        <v>0.0</v>
      </c>
      <c r="I623" s="154">
        <v>5.53362244E8</v>
      </c>
      <c r="J623" s="156">
        <v>0.0</v>
      </c>
      <c r="K623" s="154" t="s">
        <v>361</v>
      </c>
    </row>
    <row r="624">
      <c r="A624" s="154" t="s">
        <v>2058</v>
      </c>
      <c r="B624" s="155"/>
      <c r="C624" s="154" t="s">
        <v>2059</v>
      </c>
      <c r="D624" s="155"/>
      <c r="E624" s="155"/>
      <c r="F624" s="154" t="s">
        <v>2060</v>
      </c>
      <c r="G624" s="156">
        <v>0.0</v>
      </c>
      <c r="H624" s="156">
        <v>0.0</v>
      </c>
      <c r="I624" s="154" t="s">
        <v>2061</v>
      </c>
      <c r="J624" s="156">
        <v>0.0</v>
      </c>
      <c r="K624" s="154" t="s">
        <v>259</v>
      </c>
    </row>
    <row r="625">
      <c r="A625" s="154" t="s">
        <v>2058</v>
      </c>
      <c r="B625" s="154" t="s">
        <v>2059</v>
      </c>
      <c r="D625" s="154">
        <v>2.0</v>
      </c>
      <c r="E625" s="154" t="s">
        <v>761</v>
      </c>
      <c r="F625" s="154" t="s">
        <v>2062</v>
      </c>
      <c r="G625" s="156">
        <v>0.0</v>
      </c>
      <c r="H625" s="156">
        <v>0.0</v>
      </c>
      <c r="I625" s="154">
        <v>0.0</v>
      </c>
      <c r="J625" s="156">
        <v>0.0</v>
      </c>
      <c r="K625" s="154" t="s">
        <v>259</v>
      </c>
    </row>
    <row r="626">
      <c r="A626" s="154" t="s">
        <v>2063</v>
      </c>
      <c r="B626" s="154" t="s">
        <v>2064</v>
      </c>
      <c r="D626" s="154">
        <v>2.0</v>
      </c>
      <c r="E626" s="154" t="s">
        <v>761</v>
      </c>
      <c r="F626" s="154" t="s">
        <v>1190</v>
      </c>
      <c r="G626" s="154">
        <v>5.0851975E8</v>
      </c>
      <c r="H626" s="154" t="s">
        <v>1191</v>
      </c>
      <c r="I626" s="156">
        <v>0.0</v>
      </c>
      <c r="J626" s="156">
        <v>0.0</v>
      </c>
      <c r="K626" s="156">
        <v>0.0</v>
      </c>
    </row>
    <row r="627">
      <c r="A627" s="154" t="s">
        <v>2063</v>
      </c>
      <c r="B627" s="155"/>
      <c r="C627" s="154" t="s">
        <v>2064</v>
      </c>
      <c r="D627" s="155"/>
      <c r="E627" s="155"/>
      <c r="F627" s="154" t="s">
        <v>2065</v>
      </c>
      <c r="G627" s="156">
        <v>0.0</v>
      </c>
      <c r="H627" s="156">
        <v>0.0</v>
      </c>
      <c r="I627" s="156">
        <v>0.0</v>
      </c>
      <c r="J627" s="154" t="s">
        <v>2066</v>
      </c>
      <c r="K627" s="154" t="s">
        <v>361</v>
      </c>
    </row>
    <row r="628">
      <c r="A628" s="154" t="s">
        <v>2067</v>
      </c>
      <c r="B628" s="155"/>
      <c r="C628" s="154" t="s">
        <v>2068</v>
      </c>
      <c r="D628" s="155"/>
      <c r="E628" s="155"/>
      <c r="F628" s="154" t="s">
        <v>2069</v>
      </c>
      <c r="G628" s="154">
        <v>2.4452232E7</v>
      </c>
      <c r="H628" s="156">
        <v>0.0</v>
      </c>
      <c r="I628" s="154">
        <v>9.71503134781E11</v>
      </c>
      <c r="J628" s="156">
        <v>0.0</v>
      </c>
      <c r="K628" s="154" t="s">
        <v>361</v>
      </c>
    </row>
    <row r="629">
      <c r="A629" s="154" t="s">
        <v>2067</v>
      </c>
      <c r="B629" s="154" t="s">
        <v>2068</v>
      </c>
      <c r="D629" s="154">
        <v>2.0</v>
      </c>
      <c r="E629" s="154" t="s">
        <v>761</v>
      </c>
      <c r="F629" s="154" t="s">
        <v>2069</v>
      </c>
      <c r="G629" s="154">
        <v>2.4452232E7</v>
      </c>
      <c r="H629" s="156">
        <v>0.0</v>
      </c>
      <c r="I629" s="154">
        <v>9.71503134781E11</v>
      </c>
      <c r="J629" s="156">
        <v>0.0</v>
      </c>
      <c r="K629" s="154" t="s">
        <v>361</v>
      </c>
    </row>
    <row r="630">
      <c r="A630" s="154" t="s">
        <v>2070</v>
      </c>
      <c r="B630" s="154" t="s">
        <v>2071</v>
      </c>
      <c r="D630" s="154">
        <v>2.0</v>
      </c>
      <c r="E630" s="154" t="s">
        <v>761</v>
      </c>
      <c r="F630" s="154" t="s">
        <v>1157</v>
      </c>
      <c r="G630" s="154" t="s">
        <v>1158</v>
      </c>
      <c r="H630" s="154" t="s">
        <v>1159</v>
      </c>
      <c r="I630" s="156">
        <v>0.0</v>
      </c>
      <c r="J630" s="156">
        <v>0.0</v>
      </c>
      <c r="K630" s="156">
        <v>0.0</v>
      </c>
    </row>
    <row r="631">
      <c r="A631" s="154" t="s">
        <v>2070</v>
      </c>
      <c r="B631" s="155"/>
      <c r="C631" s="154" t="s">
        <v>2071</v>
      </c>
      <c r="D631" s="155"/>
      <c r="E631" s="155"/>
      <c r="F631" s="154" t="s">
        <v>2072</v>
      </c>
      <c r="G631" s="156">
        <v>0.0</v>
      </c>
      <c r="H631" s="156">
        <v>0.0</v>
      </c>
      <c r="I631" s="154" t="s">
        <v>2073</v>
      </c>
      <c r="J631" s="154" t="s">
        <v>2074</v>
      </c>
      <c r="K631" s="154" t="s">
        <v>361</v>
      </c>
    </row>
    <row r="632">
      <c r="A632" s="154" t="s">
        <v>2075</v>
      </c>
      <c r="B632" s="155"/>
      <c r="C632" s="154" t="s">
        <v>2076</v>
      </c>
      <c r="D632" s="155"/>
      <c r="E632" s="155"/>
      <c r="F632" s="154" t="s">
        <v>2077</v>
      </c>
      <c r="G632" s="154">
        <v>5.06400242E8</v>
      </c>
      <c r="H632" s="156">
        <v>0.0</v>
      </c>
      <c r="I632" s="154">
        <v>5.52048666E8</v>
      </c>
      <c r="J632" s="156">
        <v>0.0</v>
      </c>
      <c r="K632" s="154" t="s">
        <v>1059</v>
      </c>
    </row>
    <row r="633">
      <c r="A633" s="154" t="s">
        <v>2075</v>
      </c>
      <c r="B633" s="154" t="s">
        <v>2076</v>
      </c>
      <c r="D633" s="154">
        <v>2.0</v>
      </c>
      <c r="E633" s="154" t="s">
        <v>761</v>
      </c>
      <c r="F633" s="154" t="s">
        <v>2077</v>
      </c>
      <c r="G633" s="154">
        <v>5.06400242E8</v>
      </c>
      <c r="H633" s="156">
        <v>0.0</v>
      </c>
      <c r="I633" s="154">
        <v>5.52048666E8</v>
      </c>
      <c r="J633" s="156">
        <v>0.0</v>
      </c>
      <c r="K633" s="154" t="s">
        <v>1059</v>
      </c>
    </row>
    <row r="634">
      <c r="A634" s="154" t="s">
        <v>2078</v>
      </c>
      <c r="B634" s="154" t="s">
        <v>2079</v>
      </c>
      <c r="D634" s="154">
        <v>2.0</v>
      </c>
      <c r="E634" s="154" t="s">
        <v>761</v>
      </c>
      <c r="F634" s="154" t="s">
        <v>2080</v>
      </c>
      <c r="G634" s="156">
        <v>0.0</v>
      </c>
      <c r="H634" s="156">
        <v>0.0</v>
      </c>
      <c r="I634" s="154">
        <v>5.06509668E8</v>
      </c>
      <c r="J634" s="156">
        <v>0.0</v>
      </c>
      <c r="K634" s="154" t="s">
        <v>206</v>
      </c>
    </row>
    <row r="635">
      <c r="A635" s="154" t="s">
        <v>2078</v>
      </c>
      <c r="B635" s="155"/>
      <c r="C635" s="154" t="s">
        <v>2079</v>
      </c>
      <c r="D635" s="155"/>
      <c r="E635" s="155"/>
      <c r="F635" s="154" t="s">
        <v>2081</v>
      </c>
      <c r="G635" s="156">
        <v>0.0</v>
      </c>
      <c r="H635" s="156">
        <v>0.0</v>
      </c>
      <c r="I635" s="154">
        <v>5.06509668E8</v>
      </c>
      <c r="J635" s="156">
        <v>0.0</v>
      </c>
      <c r="K635" s="154" t="s">
        <v>206</v>
      </c>
    </row>
    <row r="636">
      <c r="A636" s="154" t="s">
        <v>2082</v>
      </c>
      <c r="B636" s="155"/>
      <c r="C636" s="154" t="s">
        <v>2083</v>
      </c>
      <c r="D636" s="155"/>
      <c r="E636" s="155"/>
      <c r="F636" s="154" t="s">
        <v>2084</v>
      </c>
      <c r="G636" s="156">
        <v>0.0</v>
      </c>
      <c r="H636" s="156">
        <v>0.0</v>
      </c>
      <c r="I636" s="154">
        <v>5.08710106E8</v>
      </c>
      <c r="J636" s="156">
        <v>0.0</v>
      </c>
      <c r="K636" s="154" t="s">
        <v>259</v>
      </c>
    </row>
    <row r="637">
      <c r="A637" s="154" t="s">
        <v>2082</v>
      </c>
      <c r="B637" s="154" t="s">
        <v>2083</v>
      </c>
      <c r="D637" s="154">
        <v>2.0</v>
      </c>
      <c r="E637" s="154" t="s">
        <v>761</v>
      </c>
      <c r="F637" s="154" t="s">
        <v>2084</v>
      </c>
      <c r="G637" s="156">
        <v>0.0</v>
      </c>
      <c r="H637" s="156">
        <v>0.0</v>
      </c>
      <c r="I637" s="154">
        <v>5.08710106E8</v>
      </c>
      <c r="J637" s="156">
        <v>0.0</v>
      </c>
      <c r="K637" s="154" t="s">
        <v>259</v>
      </c>
    </row>
    <row r="638">
      <c r="A638" s="154" t="s">
        <v>2085</v>
      </c>
      <c r="B638" s="155"/>
      <c r="C638" s="154" t="s">
        <v>2086</v>
      </c>
      <c r="D638" s="155"/>
      <c r="E638" s="155"/>
      <c r="F638" s="154" t="s">
        <v>2087</v>
      </c>
      <c r="G638" s="156">
        <v>0.0</v>
      </c>
      <c r="H638" s="154" t="s">
        <v>2088</v>
      </c>
      <c r="I638" s="154" t="s">
        <v>2089</v>
      </c>
      <c r="J638" s="156">
        <v>0.0</v>
      </c>
      <c r="K638" s="154" t="s">
        <v>206</v>
      </c>
    </row>
    <row r="639">
      <c r="A639" s="154" t="s">
        <v>2085</v>
      </c>
      <c r="B639" s="154" t="s">
        <v>2086</v>
      </c>
      <c r="D639" s="154">
        <v>2.0</v>
      </c>
      <c r="E639" s="154" t="s">
        <v>761</v>
      </c>
      <c r="F639" s="154" t="s">
        <v>2087</v>
      </c>
      <c r="G639" s="156">
        <v>0.0</v>
      </c>
      <c r="H639" s="154" t="s">
        <v>2088</v>
      </c>
      <c r="I639" s="154" t="s">
        <v>2089</v>
      </c>
      <c r="J639" s="156">
        <v>0.0</v>
      </c>
      <c r="K639" s="154" t="s">
        <v>206</v>
      </c>
    </row>
    <row r="640">
      <c r="A640" s="154" t="s">
        <v>2090</v>
      </c>
      <c r="B640" s="154" t="s">
        <v>2091</v>
      </c>
      <c r="D640" s="154">
        <v>2.0</v>
      </c>
      <c r="E640" s="154" t="s">
        <v>761</v>
      </c>
      <c r="F640" s="154" t="s">
        <v>2092</v>
      </c>
      <c r="G640" s="154">
        <v>5.04598498E8</v>
      </c>
      <c r="H640" s="156">
        <v>0.0</v>
      </c>
      <c r="I640" s="156">
        <v>0.0</v>
      </c>
      <c r="J640" s="156">
        <v>0.0</v>
      </c>
      <c r="K640" s="156">
        <v>0.0</v>
      </c>
    </row>
    <row r="641">
      <c r="A641" s="154" t="s">
        <v>2090</v>
      </c>
      <c r="B641" s="155"/>
      <c r="C641" s="154" t="s">
        <v>2091</v>
      </c>
      <c r="D641" s="155"/>
      <c r="E641" s="155"/>
      <c r="F641" s="154" t="s">
        <v>2092</v>
      </c>
      <c r="G641" s="154">
        <v>5.04598498E8</v>
      </c>
      <c r="H641" s="156">
        <v>0.0</v>
      </c>
      <c r="I641" s="156">
        <v>0.0</v>
      </c>
      <c r="J641" s="156">
        <v>0.0</v>
      </c>
      <c r="K641" s="156">
        <v>0.0</v>
      </c>
    </row>
    <row r="642">
      <c r="A642" s="154" t="s">
        <v>2093</v>
      </c>
      <c r="B642" s="155"/>
      <c r="C642" s="154" t="s">
        <v>2094</v>
      </c>
      <c r="D642" s="155"/>
      <c r="E642" s="155"/>
      <c r="F642" s="154" t="s">
        <v>2095</v>
      </c>
      <c r="G642" s="154">
        <v>0.0</v>
      </c>
      <c r="H642" s="156">
        <v>0.0</v>
      </c>
      <c r="I642" s="154">
        <v>0.0</v>
      </c>
      <c r="J642" s="156">
        <v>0.0</v>
      </c>
      <c r="K642" s="154" t="s">
        <v>361</v>
      </c>
    </row>
    <row r="643">
      <c r="A643" s="154" t="s">
        <v>2093</v>
      </c>
      <c r="B643" s="154" t="s">
        <v>2094</v>
      </c>
      <c r="D643" s="154">
        <v>2.0</v>
      </c>
      <c r="E643" s="154" t="s">
        <v>761</v>
      </c>
      <c r="F643" s="154" t="s">
        <v>2096</v>
      </c>
      <c r="G643" s="154">
        <v>0.0</v>
      </c>
      <c r="H643" s="156">
        <v>0.0</v>
      </c>
      <c r="I643" s="154">
        <v>0.0</v>
      </c>
      <c r="J643" s="156">
        <v>0.0</v>
      </c>
      <c r="K643" s="154" t="s">
        <v>361</v>
      </c>
    </row>
    <row r="644">
      <c r="A644" s="154" t="s">
        <v>2097</v>
      </c>
      <c r="B644" s="154" t="s">
        <v>2098</v>
      </c>
      <c r="D644" s="154">
        <v>2.0</v>
      </c>
      <c r="E644" s="154" t="s">
        <v>897</v>
      </c>
      <c r="F644" s="154" t="s">
        <v>2099</v>
      </c>
      <c r="G644" s="156">
        <v>0.0</v>
      </c>
      <c r="H644" s="156">
        <v>0.0</v>
      </c>
      <c r="I644" s="154" t="s">
        <v>2100</v>
      </c>
      <c r="J644" s="156">
        <v>0.0</v>
      </c>
      <c r="K644" s="154" t="s">
        <v>361</v>
      </c>
    </row>
    <row r="645">
      <c r="A645" s="154" t="s">
        <v>2097</v>
      </c>
      <c r="B645" s="155"/>
      <c r="C645" s="154" t="s">
        <v>2098</v>
      </c>
      <c r="D645" s="155"/>
      <c r="E645" s="155"/>
      <c r="F645" s="154" t="s">
        <v>2101</v>
      </c>
      <c r="G645" s="156">
        <v>0.0</v>
      </c>
      <c r="H645" s="156">
        <v>0.0</v>
      </c>
      <c r="I645" s="154" t="s">
        <v>2102</v>
      </c>
      <c r="J645" s="156">
        <v>0.0</v>
      </c>
      <c r="K645" s="154" t="s">
        <v>361</v>
      </c>
    </row>
    <row r="646">
      <c r="A646" s="154" t="s">
        <v>2103</v>
      </c>
      <c r="B646" s="154" t="s">
        <v>2104</v>
      </c>
      <c r="D646" s="154">
        <v>2.0</v>
      </c>
      <c r="E646" s="154" t="s">
        <v>897</v>
      </c>
      <c r="F646" s="154" t="s">
        <v>1190</v>
      </c>
      <c r="G646" s="154">
        <v>5.0851975E8</v>
      </c>
      <c r="H646" s="154" t="s">
        <v>1191</v>
      </c>
      <c r="I646" s="156">
        <v>0.0</v>
      </c>
      <c r="J646" s="156">
        <v>0.0</v>
      </c>
      <c r="K646" s="156">
        <v>0.0</v>
      </c>
    </row>
    <row r="647">
      <c r="A647" s="154" t="s">
        <v>2103</v>
      </c>
      <c r="B647" s="155"/>
      <c r="C647" s="154" t="s">
        <v>2104</v>
      </c>
      <c r="D647" s="155"/>
      <c r="E647" s="155"/>
      <c r="F647" s="154" t="s">
        <v>1190</v>
      </c>
      <c r="G647" s="154">
        <v>5.0851975E8</v>
      </c>
      <c r="H647" s="154" t="s">
        <v>1191</v>
      </c>
      <c r="I647" s="156">
        <v>0.0</v>
      </c>
      <c r="J647" s="156">
        <v>0.0</v>
      </c>
      <c r="K647" s="156">
        <v>0.0</v>
      </c>
    </row>
    <row r="648">
      <c r="A648" s="154" t="s">
        <v>2105</v>
      </c>
      <c r="B648" s="154" t="s">
        <v>2106</v>
      </c>
      <c r="D648" s="154">
        <v>2.0</v>
      </c>
      <c r="E648" s="154" t="s">
        <v>897</v>
      </c>
      <c r="F648" s="154" t="s">
        <v>2107</v>
      </c>
      <c r="G648" s="156">
        <v>0.0</v>
      </c>
      <c r="H648" s="156">
        <v>0.0</v>
      </c>
      <c r="I648" s="154" t="s">
        <v>2108</v>
      </c>
      <c r="J648" s="156">
        <v>0.0</v>
      </c>
      <c r="K648" s="154" t="s">
        <v>846</v>
      </c>
    </row>
    <row r="649">
      <c r="A649" s="154" t="s">
        <v>2105</v>
      </c>
      <c r="B649" s="155"/>
      <c r="C649" s="154" t="s">
        <v>2106</v>
      </c>
      <c r="D649" s="155"/>
      <c r="E649" s="155"/>
      <c r="F649" s="154" t="s">
        <v>2107</v>
      </c>
      <c r="G649" s="156">
        <v>0.0</v>
      </c>
      <c r="H649" s="156">
        <v>0.0</v>
      </c>
      <c r="I649" s="154" t="s">
        <v>2108</v>
      </c>
      <c r="J649" s="156">
        <v>0.0</v>
      </c>
      <c r="K649" s="154" t="s">
        <v>846</v>
      </c>
    </row>
    <row r="650">
      <c r="A650" s="154" t="s">
        <v>2109</v>
      </c>
      <c r="B650" s="154" t="s">
        <v>2110</v>
      </c>
      <c r="D650" s="154">
        <v>2.0</v>
      </c>
      <c r="E650" s="154" t="s">
        <v>897</v>
      </c>
      <c r="F650" s="154" t="s">
        <v>2111</v>
      </c>
      <c r="G650" s="154">
        <v>4.3689339E7</v>
      </c>
      <c r="H650" s="156">
        <v>0.0</v>
      </c>
      <c r="I650" s="154">
        <v>9.71556778666E11</v>
      </c>
      <c r="J650" s="156">
        <v>0.0</v>
      </c>
      <c r="K650" s="154" t="s">
        <v>760</v>
      </c>
    </row>
    <row r="651">
      <c r="A651" s="154" t="s">
        <v>2109</v>
      </c>
      <c r="B651" s="155"/>
      <c r="C651" s="154" t="s">
        <v>2110</v>
      </c>
      <c r="D651" s="155"/>
      <c r="E651" s="155"/>
      <c r="F651" s="154" t="s">
        <v>2111</v>
      </c>
      <c r="G651" s="154">
        <v>4.3689339E7</v>
      </c>
      <c r="H651" s="156">
        <v>0.0</v>
      </c>
      <c r="I651" s="154">
        <v>9.71556778666E11</v>
      </c>
      <c r="J651" s="156">
        <v>0.0</v>
      </c>
      <c r="K651" s="154" t="s">
        <v>760</v>
      </c>
    </row>
    <row r="652">
      <c r="A652" s="154" t="s">
        <v>2112</v>
      </c>
      <c r="B652" s="155"/>
      <c r="C652" s="154" t="s">
        <v>2113</v>
      </c>
      <c r="D652" s="155"/>
      <c r="E652" s="155"/>
      <c r="F652" s="154" t="s">
        <v>2114</v>
      </c>
      <c r="G652" s="156">
        <v>0.0</v>
      </c>
      <c r="H652" s="156">
        <v>0.0</v>
      </c>
      <c r="I652" s="154" t="s">
        <v>2115</v>
      </c>
      <c r="J652" s="156">
        <v>0.0</v>
      </c>
      <c r="K652" s="154" t="s">
        <v>206</v>
      </c>
    </row>
    <row r="653">
      <c r="A653" s="154" t="s">
        <v>2112</v>
      </c>
      <c r="B653" s="154" t="s">
        <v>2113</v>
      </c>
      <c r="D653" s="154">
        <v>2.0</v>
      </c>
      <c r="E653" s="154" t="s">
        <v>761</v>
      </c>
      <c r="F653" s="154" t="s">
        <v>2114</v>
      </c>
      <c r="G653" s="156">
        <v>0.0</v>
      </c>
      <c r="H653" s="156">
        <v>0.0</v>
      </c>
      <c r="I653" s="154" t="s">
        <v>2115</v>
      </c>
      <c r="J653" s="156">
        <v>0.0</v>
      </c>
      <c r="K653" s="154" t="s">
        <v>206</v>
      </c>
    </row>
    <row r="654">
      <c r="A654" s="154" t="s">
        <v>2116</v>
      </c>
      <c r="B654" s="155"/>
      <c r="C654" s="154" t="s">
        <v>2117</v>
      </c>
      <c r="D654" s="155"/>
      <c r="E654" s="155"/>
      <c r="F654" s="154" t="s">
        <v>2118</v>
      </c>
      <c r="G654" s="154">
        <v>5.0764095E8</v>
      </c>
      <c r="H654" s="156">
        <v>0.0</v>
      </c>
      <c r="I654" s="156">
        <v>0.0</v>
      </c>
      <c r="J654" s="156">
        <v>0.0</v>
      </c>
      <c r="K654" s="154" t="s">
        <v>301</v>
      </c>
    </row>
    <row r="655">
      <c r="A655" s="154" t="s">
        <v>2116</v>
      </c>
      <c r="B655" s="154" t="s">
        <v>2117</v>
      </c>
      <c r="D655" s="154">
        <v>2.0</v>
      </c>
      <c r="E655" s="154" t="s">
        <v>761</v>
      </c>
      <c r="F655" s="154" t="s">
        <v>2118</v>
      </c>
      <c r="G655" s="154">
        <v>5.0764095E8</v>
      </c>
      <c r="H655" s="156">
        <v>0.0</v>
      </c>
      <c r="I655" s="156">
        <v>0.0</v>
      </c>
      <c r="J655" s="156">
        <v>0.0</v>
      </c>
      <c r="K655" s="154" t="s">
        <v>301</v>
      </c>
    </row>
    <row r="656">
      <c r="A656" s="154" t="s">
        <v>2119</v>
      </c>
      <c r="B656" s="154" t="s">
        <v>2120</v>
      </c>
      <c r="D656" s="154">
        <v>2.0</v>
      </c>
      <c r="E656" s="154" t="s">
        <v>761</v>
      </c>
      <c r="F656" s="154" t="s">
        <v>2121</v>
      </c>
      <c r="G656" s="154">
        <v>0.0</v>
      </c>
      <c r="H656" s="156">
        <v>0.0</v>
      </c>
      <c r="I656" s="154" t="s">
        <v>2122</v>
      </c>
      <c r="J656" s="156">
        <v>0.0</v>
      </c>
      <c r="K656" s="154" t="s">
        <v>776</v>
      </c>
    </row>
    <row r="657">
      <c r="A657" s="154" t="s">
        <v>2119</v>
      </c>
      <c r="B657" s="155"/>
      <c r="C657" s="154" t="s">
        <v>2120</v>
      </c>
      <c r="D657" s="155"/>
      <c r="E657" s="155"/>
      <c r="F657" s="154" t="s">
        <v>2121</v>
      </c>
      <c r="G657" s="154">
        <v>0.0</v>
      </c>
      <c r="H657" s="156">
        <v>0.0</v>
      </c>
      <c r="I657" s="154" t="s">
        <v>2122</v>
      </c>
      <c r="J657" s="156">
        <v>0.0</v>
      </c>
      <c r="K657" s="154" t="s">
        <v>776</v>
      </c>
    </row>
    <row r="658">
      <c r="A658" s="154" t="s">
        <v>2123</v>
      </c>
      <c r="B658" s="155"/>
      <c r="C658" s="154" t="s">
        <v>2124</v>
      </c>
      <c r="D658" s="155"/>
      <c r="E658" s="155"/>
      <c r="F658" s="154" t="s">
        <v>2125</v>
      </c>
      <c r="G658" s="154" t="s">
        <v>2126</v>
      </c>
      <c r="H658" s="154" t="s">
        <v>2127</v>
      </c>
      <c r="I658" s="154" t="s">
        <v>2128</v>
      </c>
      <c r="J658" s="154" t="s">
        <v>2126</v>
      </c>
      <c r="K658" s="154" t="s">
        <v>207</v>
      </c>
    </row>
    <row r="659">
      <c r="A659" s="154" t="s">
        <v>2123</v>
      </c>
      <c r="B659" s="154" t="s">
        <v>2124</v>
      </c>
      <c r="D659" s="154">
        <v>2.0</v>
      </c>
      <c r="E659" s="154" t="s">
        <v>761</v>
      </c>
      <c r="F659" s="154" t="s">
        <v>2125</v>
      </c>
      <c r="G659" s="154" t="s">
        <v>2126</v>
      </c>
      <c r="H659" s="154" t="s">
        <v>2127</v>
      </c>
      <c r="I659" s="154" t="s">
        <v>2128</v>
      </c>
      <c r="J659" s="154" t="s">
        <v>2126</v>
      </c>
      <c r="K659" s="154" t="s">
        <v>207</v>
      </c>
    </row>
    <row r="660">
      <c r="A660" s="154" t="s">
        <v>2129</v>
      </c>
      <c r="B660" s="155"/>
      <c r="C660" s="154" t="s">
        <v>2130</v>
      </c>
      <c r="D660" s="155"/>
      <c r="E660" s="155"/>
      <c r="F660" s="154" t="s">
        <v>2131</v>
      </c>
      <c r="G660" s="154">
        <v>4.2222126E7</v>
      </c>
      <c r="H660" s="156">
        <v>0.0</v>
      </c>
      <c r="I660" s="156">
        <v>0.0</v>
      </c>
      <c r="J660" s="156">
        <v>0.0</v>
      </c>
      <c r="K660" s="156">
        <v>0.0</v>
      </c>
    </row>
    <row r="661">
      <c r="A661" s="154" t="s">
        <v>2129</v>
      </c>
      <c r="B661" s="154" t="s">
        <v>2130</v>
      </c>
      <c r="D661" s="154">
        <v>2.0</v>
      </c>
      <c r="E661" s="154" t="s">
        <v>761</v>
      </c>
      <c r="F661" s="154" t="s">
        <v>2131</v>
      </c>
      <c r="G661" s="154">
        <v>4.2222126E7</v>
      </c>
      <c r="H661" s="156">
        <v>0.0</v>
      </c>
      <c r="I661" s="156">
        <v>0.0</v>
      </c>
      <c r="J661" s="156">
        <v>0.0</v>
      </c>
      <c r="K661" s="156">
        <v>0.0</v>
      </c>
    </row>
    <row r="662">
      <c r="A662" s="154" t="s">
        <v>2132</v>
      </c>
      <c r="B662" s="154" t="s">
        <v>2133</v>
      </c>
      <c r="D662" s="154">
        <v>2.0</v>
      </c>
      <c r="E662" s="154" t="s">
        <v>761</v>
      </c>
      <c r="F662" s="154" t="s">
        <v>2134</v>
      </c>
      <c r="G662" s="154">
        <v>6531487.0</v>
      </c>
      <c r="H662" s="156">
        <v>0.0</v>
      </c>
      <c r="I662" s="154">
        <v>9.71505959159E11</v>
      </c>
      <c r="J662" s="156">
        <v>0.0</v>
      </c>
      <c r="K662" s="154" t="s">
        <v>846</v>
      </c>
    </row>
    <row r="663">
      <c r="A663" s="154" t="s">
        <v>2132</v>
      </c>
      <c r="B663" s="155"/>
      <c r="C663" s="154" t="s">
        <v>2133</v>
      </c>
      <c r="D663" s="155"/>
      <c r="E663" s="155"/>
      <c r="F663" s="154" t="s">
        <v>2134</v>
      </c>
      <c r="G663" s="154">
        <v>6531487.0</v>
      </c>
      <c r="H663" s="156">
        <v>0.0</v>
      </c>
      <c r="I663" s="154">
        <v>9.71505959159E11</v>
      </c>
      <c r="J663" s="156">
        <v>0.0</v>
      </c>
      <c r="K663" s="154" t="s">
        <v>846</v>
      </c>
    </row>
    <row r="664">
      <c r="A664" s="154" t="s">
        <v>2135</v>
      </c>
      <c r="B664" s="154" t="s">
        <v>2136</v>
      </c>
      <c r="C664" s="155"/>
      <c r="D664" s="154">
        <v>2.0</v>
      </c>
      <c r="E664" s="154" t="s">
        <v>897</v>
      </c>
      <c r="F664" s="154" t="s">
        <v>2137</v>
      </c>
      <c r="G664" s="156">
        <v>0.0</v>
      </c>
      <c r="H664" s="154" t="s">
        <v>2138</v>
      </c>
      <c r="I664" s="154" t="s">
        <v>2139</v>
      </c>
      <c r="J664" s="156">
        <v>0.0</v>
      </c>
      <c r="K664" s="154" t="s">
        <v>253</v>
      </c>
    </row>
    <row r="665">
      <c r="A665" s="154" t="s">
        <v>2135</v>
      </c>
      <c r="B665" s="155"/>
      <c r="C665" s="154" t="s">
        <v>2136</v>
      </c>
      <c r="D665" s="155"/>
      <c r="E665" s="155"/>
      <c r="F665" s="154" t="s">
        <v>2137</v>
      </c>
      <c r="G665" s="156">
        <v>0.0</v>
      </c>
      <c r="H665" s="154" t="s">
        <v>2138</v>
      </c>
      <c r="I665" s="154" t="s">
        <v>2139</v>
      </c>
      <c r="J665" s="156">
        <v>0.0</v>
      </c>
      <c r="K665" s="154" t="s">
        <v>253</v>
      </c>
    </row>
    <row r="666">
      <c r="A666" s="154" t="s">
        <v>2140</v>
      </c>
      <c r="B666" s="154" t="s">
        <v>2141</v>
      </c>
      <c r="C666" s="155"/>
      <c r="D666" s="154">
        <v>2.0</v>
      </c>
      <c r="E666" s="154" t="s">
        <v>897</v>
      </c>
      <c r="F666" s="154" t="s">
        <v>2142</v>
      </c>
      <c r="G666" s="154">
        <v>5.01616143E8</v>
      </c>
      <c r="H666" s="156">
        <v>0.0</v>
      </c>
      <c r="I666" s="156">
        <v>0.0</v>
      </c>
      <c r="J666" s="156">
        <v>0.0</v>
      </c>
      <c r="K666" s="154" t="s">
        <v>2143</v>
      </c>
    </row>
    <row r="667">
      <c r="A667" s="154" t="s">
        <v>2140</v>
      </c>
      <c r="B667" s="155"/>
      <c r="C667" s="154" t="s">
        <v>2141</v>
      </c>
      <c r="D667" s="155"/>
      <c r="E667" s="155"/>
      <c r="F667" s="154" t="s">
        <v>2142</v>
      </c>
      <c r="G667" s="154">
        <v>5.01616143E8</v>
      </c>
      <c r="H667" s="156">
        <v>0.0</v>
      </c>
      <c r="I667" s="156">
        <v>0.0</v>
      </c>
      <c r="J667" s="156">
        <v>0.0</v>
      </c>
      <c r="K667" s="154" t="s">
        <v>2143</v>
      </c>
    </row>
    <row r="668">
      <c r="A668" s="154" t="s">
        <v>2144</v>
      </c>
      <c r="B668" s="154" t="s">
        <v>2145</v>
      </c>
      <c r="C668" s="155"/>
      <c r="D668" s="154">
        <v>2.0</v>
      </c>
      <c r="E668" s="154" t="s">
        <v>897</v>
      </c>
      <c r="F668" s="154" t="s">
        <v>2146</v>
      </c>
      <c r="G668" s="154">
        <v>4.3944678E7</v>
      </c>
      <c r="H668" s="156">
        <v>0.0</v>
      </c>
      <c r="I668" s="154">
        <v>2.6920567E7</v>
      </c>
      <c r="J668" s="156">
        <v>0.0</v>
      </c>
      <c r="K668" s="154" t="s">
        <v>760</v>
      </c>
    </row>
    <row r="669">
      <c r="A669" s="154" t="s">
        <v>2144</v>
      </c>
      <c r="B669" s="155"/>
      <c r="C669" s="154" t="s">
        <v>2145</v>
      </c>
      <c r="D669" s="155"/>
      <c r="E669" s="155"/>
      <c r="F669" s="154" t="s">
        <v>2146</v>
      </c>
      <c r="G669" s="154">
        <v>4.3944678E7</v>
      </c>
      <c r="H669" s="156">
        <v>0.0</v>
      </c>
      <c r="I669" s="154">
        <v>2.6920567E7</v>
      </c>
      <c r="J669" s="156">
        <v>0.0</v>
      </c>
      <c r="K669" s="154" t="s">
        <v>760</v>
      </c>
    </row>
    <row r="670">
      <c r="A670" s="154" t="s">
        <v>2147</v>
      </c>
      <c r="B670" s="155"/>
      <c r="C670" s="154" t="s">
        <v>2148</v>
      </c>
      <c r="D670" s="155"/>
      <c r="E670" s="155"/>
      <c r="F670" s="154" t="s">
        <v>2149</v>
      </c>
      <c r="G670" s="154">
        <v>4.0</v>
      </c>
      <c r="H670" s="156">
        <v>0.0</v>
      </c>
      <c r="I670" s="154">
        <v>5.07769836E8</v>
      </c>
      <c r="J670" s="156">
        <v>0.0</v>
      </c>
      <c r="K670" s="154" t="s">
        <v>259</v>
      </c>
    </row>
    <row r="671">
      <c r="A671" s="154" t="s">
        <v>2147</v>
      </c>
      <c r="B671" s="154" t="s">
        <v>2148</v>
      </c>
      <c r="C671" s="155"/>
      <c r="D671" s="154">
        <v>2.0</v>
      </c>
      <c r="E671" s="154" t="s">
        <v>1237</v>
      </c>
      <c r="F671" s="154" t="s">
        <v>2149</v>
      </c>
      <c r="G671" s="154">
        <v>4.0</v>
      </c>
      <c r="H671" s="156">
        <v>0.0</v>
      </c>
      <c r="I671" s="154">
        <v>5.07769836E8</v>
      </c>
      <c r="J671" s="156">
        <v>0.0</v>
      </c>
      <c r="K671" s="154" t="s">
        <v>259</v>
      </c>
    </row>
    <row r="672">
      <c r="A672" s="154" t="s">
        <v>2150</v>
      </c>
      <c r="B672" s="155"/>
      <c r="C672" s="154" t="s">
        <v>2151</v>
      </c>
      <c r="D672" s="155"/>
      <c r="E672" s="155"/>
      <c r="F672" s="154" t="s">
        <v>2152</v>
      </c>
      <c r="G672" s="154" t="s">
        <v>2153</v>
      </c>
      <c r="H672" s="156">
        <v>0.0</v>
      </c>
      <c r="I672" s="154">
        <v>9.71507181473E11</v>
      </c>
      <c r="J672" s="156">
        <v>0.0</v>
      </c>
      <c r="K672" s="154" t="s">
        <v>361</v>
      </c>
    </row>
    <row r="673">
      <c r="A673" s="154" t="s">
        <v>2150</v>
      </c>
      <c r="B673" s="154" t="s">
        <v>2151</v>
      </c>
      <c r="C673" s="155"/>
      <c r="D673" s="154">
        <v>2.0</v>
      </c>
      <c r="E673" s="154" t="s">
        <v>1237</v>
      </c>
      <c r="F673" s="154" t="s">
        <v>2154</v>
      </c>
      <c r="G673" s="154" t="s">
        <v>2155</v>
      </c>
      <c r="H673" s="154" t="s">
        <v>2156</v>
      </c>
      <c r="I673" s="154">
        <v>9.71507181473E11</v>
      </c>
      <c r="J673" s="156">
        <v>0.0</v>
      </c>
      <c r="K673" s="154" t="s">
        <v>361</v>
      </c>
    </row>
    <row r="674">
      <c r="A674" s="154" t="s">
        <v>2157</v>
      </c>
      <c r="B674" s="154" t="s">
        <v>2158</v>
      </c>
      <c r="C674" s="155"/>
      <c r="D674" s="154">
        <v>2.0</v>
      </c>
      <c r="E674" s="154" t="s">
        <v>1237</v>
      </c>
      <c r="F674" s="154" t="s">
        <v>2152</v>
      </c>
      <c r="G674" s="154" t="s">
        <v>2153</v>
      </c>
      <c r="H674" s="156">
        <v>0.0</v>
      </c>
      <c r="I674" s="154">
        <v>9.71507181473E11</v>
      </c>
      <c r="J674" s="156">
        <v>0.0</v>
      </c>
      <c r="K674" s="154" t="s">
        <v>361</v>
      </c>
    </row>
    <row r="675">
      <c r="A675" s="154" t="s">
        <v>2157</v>
      </c>
      <c r="B675" s="155"/>
      <c r="C675" s="154" t="s">
        <v>2158</v>
      </c>
      <c r="D675" s="155"/>
      <c r="E675" s="155"/>
      <c r="F675" s="154" t="s">
        <v>2154</v>
      </c>
      <c r="G675" s="154" t="s">
        <v>2155</v>
      </c>
      <c r="H675" s="154" t="s">
        <v>2156</v>
      </c>
      <c r="I675" s="154">
        <v>9.71507181473E11</v>
      </c>
      <c r="J675" s="156">
        <v>0.0</v>
      </c>
      <c r="K675" s="154" t="s">
        <v>361</v>
      </c>
    </row>
    <row r="676">
      <c r="A676" s="154" t="s">
        <v>2159</v>
      </c>
      <c r="B676" s="155"/>
      <c r="C676" s="154" t="s">
        <v>2160</v>
      </c>
      <c r="D676" s="155"/>
      <c r="E676" s="155"/>
      <c r="F676" s="154" t="s">
        <v>2161</v>
      </c>
      <c r="G676" s="154">
        <v>4.3663683E7</v>
      </c>
      <c r="H676" s="156">
        <v>0.0</v>
      </c>
      <c r="I676" s="154">
        <v>9.71554582097E11</v>
      </c>
      <c r="J676" s="156">
        <v>0.0</v>
      </c>
      <c r="K676" s="154" t="s">
        <v>361</v>
      </c>
    </row>
    <row r="677">
      <c r="A677" s="154" t="s">
        <v>2159</v>
      </c>
      <c r="B677" s="154" t="s">
        <v>2160</v>
      </c>
      <c r="C677" s="155"/>
      <c r="D677" s="154">
        <v>2.0</v>
      </c>
      <c r="E677" s="154" t="s">
        <v>1237</v>
      </c>
      <c r="F677" s="154" t="s">
        <v>2161</v>
      </c>
      <c r="G677" s="154">
        <v>4.3663683E7</v>
      </c>
      <c r="H677" s="156">
        <v>0.0</v>
      </c>
      <c r="I677" s="154">
        <v>9.71554582097E11</v>
      </c>
      <c r="J677" s="156">
        <v>0.0</v>
      </c>
      <c r="K677" s="154" t="s">
        <v>361</v>
      </c>
    </row>
    <row r="678">
      <c r="A678" s="154" t="s">
        <v>2162</v>
      </c>
      <c r="B678" s="155"/>
      <c r="C678" s="154" t="s">
        <v>2163</v>
      </c>
      <c r="D678" s="155"/>
      <c r="E678" s="155"/>
      <c r="F678" s="154" t="s">
        <v>2164</v>
      </c>
      <c r="G678" s="156">
        <v>0.0</v>
      </c>
      <c r="H678" s="156">
        <v>0.0</v>
      </c>
      <c r="I678" s="154" t="s">
        <v>2165</v>
      </c>
      <c r="J678" s="154" t="s">
        <v>2166</v>
      </c>
      <c r="K678" s="154" t="s">
        <v>2167</v>
      </c>
    </row>
    <row r="679">
      <c r="A679" s="154" t="s">
        <v>2162</v>
      </c>
      <c r="B679" s="154" t="s">
        <v>2163</v>
      </c>
      <c r="C679" s="155"/>
      <c r="D679" s="154">
        <v>2.0</v>
      </c>
      <c r="E679" s="154" t="s">
        <v>1237</v>
      </c>
      <c r="F679" s="154" t="s">
        <v>2164</v>
      </c>
      <c r="G679" s="156">
        <v>0.0</v>
      </c>
      <c r="H679" s="156">
        <v>0.0</v>
      </c>
      <c r="I679" s="154" t="s">
        <v>2165</v>
      </c>
      <c r="J679" s="154" t="s">
        <v>2166</v>
      </c>
      <c r="K679" s="154" t="s">
        <v>2167</v>
      </c>
    </row>
    <row r="680">
      <c r="A680" s="154" t="s">
        <v>2168</v>
      </c>
      <c r="B680" s="154" t="s">
        <v>2169</v>
      </c>
      <c r="C680" s="155"/>
      <c r="D680" s="154">
        <v>2.0</v>
      </c>
      <c r="E680" s="154" t="s">
        <v>897</v>
      </c>
      <c r="F680" s="154" t="s">
        <v>2170</v>
      </c>
      <c r="G680" s="154" t="s">
        <v>2171</v>
      </c>
      <c r="H680" s="156">
        <v>0.0</v>
      </c>
      <c r="I680" s="154">
        <v>9.71506520825E11</v>
      </c>
      <c r="J680" s="156">
        <v>0.0</v>
      </c>
      <c r="K680" s="154" t="s">
        <v>776</v>
      </c>
    </row>
    <row r="681">
      <c r="A681" s="154" t="s">
        <v>2168</v>
      </c>
      <c r="B681" s="155"/>
      <c r="C681" s="154" t="s">
        <v>2169</v>
      </c>
      <c r="D681" s="155"/>
      <c r="E681" s="155"/>
      <c r="F681" s="154" t="s">
        <v>2170</v>
      </c>
      <c r="G681" s="154" t="s">
        <v>2171</v>
      </c>
      <c r="H681" s="156">
        <v>0.0</v>
      </c>
      <c r="I681" s="154">
        <v>9.71506520825E11</v>
      </c>
      <c r="J681" s="156">
        <v>0.0</v>
      </c>
      <c r="K681" s="154" t="s">
        <v>776</v>
      </c>
    </row>
    <row r="682">
      <c r="A682" s="154" t="s">
        <v>2172</v>
      </c>
      <c r="B682" s="154" t="s">
        <v>2173</v>
      </c>
      <c r="C682" s="155"/>
      <c r="D682" s="154">
        <v>2.0</v>
      </c>
      <c r="E682" s="154" t="s">
        <v>897</v>
      </c>
      <c r="F682" s="154" t="s">
        <v>2174</v>
      </c>
      <c r="G682" s="154">
        <v>4.8817746E7</v>
      </c>
      <c r="H682" s="156">
        <v>0.0</v>
      </c>
      <c r="I682" s="154">
        <v>9.71501472081E11</v>
      </c>
      <c r="J682" s="156">
        <v>0.0</v>
      </c>
      <c r="K682" s="154" t="s">
        <v>361</v>
      </c>
    </row>
    <row r="683">
      <c r="A683" s="154" t="s">
        <v>2172</v>
      </c>
      <c r="B683" s="155"/>
      <c r="C683" s="154" t="s">
        <v>2173</v>
      </c>
      <c r="D683" s="155"/>
      <c r="E683" s="155"/>
      <c r="F683" s="154" t="s">
        <v>2174</v>
      </c>
      <c r="G683" s="154">
        <v>4.8817746E7</v>
      </c>
      <c r="H683" s="156">
        <v>0.0</v>
      </c>
      <c r="I683" s="154">
        <v>9.71501472081E11</v>
      </c>
      <c r="J683" s="156">
        <v>0.0</v>
      </c>
      <c r="K683" s="154" t="s">
        <v>361</v>
      </c>
    </row>
    <row r="684">
      <c r="A684" s="154" t="s">
        <v>2175</v>
      </c>
      <c r="B684" s="154" t="s">
        <v>2176</v>
      </c>
      <c r="C684" s="155"/>
      <c r="D684" s="154">
        <v>2.0</v>
      </c>
      <c r="E684" s="154" t="s">
        <v>897</v>
      </c>
      <c r="F684" s="154" t="s">
        <v>1157</v>
      </c>
      <c r="G684" s="154" t="s">
        <v>1158</v>
      </c>
      <c r="H684" s="154" t="s">
        <v>1159</v>
      </c>
      <c r="I684" s="156">
        <v>0.0</v>
      </c>
      <c r="J684" s="156">
        <v>0.0</v>
      </c>
      <c r="K684" s="156">
        <v>0.0</v>
      </c>
    </row>
    <row r="685">
      <c r="A685" s="154" t="s">
        <v>2175</v>
      </c>
      <c r="B685" s="155"/>
      <c r="C685" s="154" t="s">
        <v>2176</v>
      </c>
      <c r="D685" s="155"/>
      <c r="E685" s="155"/>
      <c r="F685" s="154" t="s">
        <v>2177</v>
      </c>
      <c r="G685" s="154">
        <v>4.33282E7</v>
      </c>
      <c r="H685" s="156">
        <v>0.0</v>
      </c>
      <c r="I685" s="154">
        <v>5.0794464E8</v>
      </c>
      <c r="J685" s="156">
        <v>0.0</v>
      </c>
      <c r="K685" s="154" t="s">
        <v>760</v>
      </c>
    </row>
    <row r="686">
      <c r="A686" s="154" t="s">
        <v>2178</v>
      </c>
      <c r="B686" s="155"/>
      <c r="C686" s="154" t="s">
        <v>2179</v>
      </c>
      <c r="D686" s="155"/>
      <c r="E686" s="155"/>
      <c r="F686" s="154" t="s">
        <v>2180</v>
      </c>
      <c r="G686" s="154">
        <v>9.7148860801E10</v>
      </c>
      <c r="H686" s="156">
        <v>0.0</v>
      </c>
      <c r="I686" s="154">
        <v>9.71506587163E11</v>
      </c>
      <c r="J686" s="156">
        <v>0.0</v>
      </c>
      <c r="K686" s="154" t="s">
        <v>361</v>
      </c>
    </row>
    <row r="687">
      <c r="A687" s="154" t="s">
        <v>2178</v>
      </c>
      <c r="B687" s="154" t="s">
        <v>2179</v>
      </c>
      <c r="C687" s="155"/>
      <c r="D687" s="154">
        <v>2.0</v>
      </c>
      <c r="E687" s="154" t="s">
        <v>897</v>
      </c>
      <c r="F687" s="154" t="s">
        <v>2181</v>
      </c>
      <c r="G687" s="154">
        <v>9.7148860801E10</v>
      </c>
      <c r="H687" s="156">
        <v>0.0</v>
      </c>
      <c r="I687" s="154">
        <v>9.71506587163E11</v>
      </c>
      <c r="J687" s="156">
        <v>0.0</v>
      </c>
      <c r="K687" s="154" t="s">
        <v>361</v>
      </c>
    </row>
    <row r="688">
      <c r="A688" s="154" t="s">
        <v>2182</v>
      </c>
      <c r="B688" s="154" t="s">
        <v>2183</v>
      </c>
      <c r="C688" s="155"/>
      <c r="D688" s="154">
        <v>2.0</v>
      </c>
      <c r="E688" s="154" t="s">
        <v>897</v>
      </c>
      <c r="F688" s="154" t="s">
        <v>2184</v>
      </c>
      <c r="G688" s="156">
        <v>0.0</v>
      </c>
      <c r="H688" s="156">
        <v>0.0</v>
      </c>
      <c r="I688" s="154">
        <v>9.71504201957E11</v>
      </c>
      <c r="J688" s="156">
        <v>0.0</v>
      </c>
      <c r="K688" s="154" t="s">
        <v>361</v>
      </c>
    </row>
    <row r="689">
      <c r="A689" s="154" t="s">
        <v>2182</v>
      </c>
      <c r="B689" s="155"/>
      <c r="C689" s="154" t="s">
        <v>2183</v>
      </c>
      <c r="D689" s="155"/>
      <c r="E689" s="155"/>
      <c r="F689" s="154" t="s">
        <v>2184</v>
      </c>
      <c r="G689" s="156">
        <v>0.0</v>
      </c>
      <c r="H689" s="156">
        <v>0.0</v>
      </c>
      <c r="I689" s="154">
        <v>9.71504201957E11</v>
      </c>
      <c r="J689" s="156">
        <v>0.0</v>
      </c>
      <c r="K689" s="154" t="s">
        <v>361</v>
      </c>
    </row>
    <row r="690">
      <c r="A690" s="154" t="s">
        <v>2185</v>
      </c>
      <c r="B690" s="155"/>
      <c r="C690" s="154" t="s">
        <v>2186</v>
      </c>
      <c r="D690" s="155"/>
      <c r="E690" s="155"/>
      <c r="F690" s="154" t="s">
        <v>2187</v>
      </c>
      <c r="G690" s="156">
        <v>0.0</v>
      </c>
      <c r="H690" s="156">
        <v>0.0</v>
      </c>
      <c r="I690" s="154">
        <v>5.58843913E8</v>
      </c>
      <c r="J690" s="156">
        <v>0.0</v>
      </c>
      <c r="K690" s="154" t="s">
        <v>2188</v>
      </c>
    </row>
    <row r="691">
      <c r="A691" s="154" t="s">
        <v>2185</v>
      </c>
      <c r="B691" s="154" t="s">
        <v>2186</v>
      </c>
      <c r="C691" s="155"/>
      <c r="D691" s="154">
        <v>2.0</v>
      </c>
      <c r="E691" s="154" t="s">
        <v>897</v>
      </c>
      <c r="F691" s="154" t="s">
        <v>2187</v>
      </c>
      <c r="G691" s="156">
        <v>0.0</v>
      </c>
      <c r="H691" s="156">
        <v>0.0</v>
      </c>
      <c r="I691" s="154">
        <v>5.58843913E8</v>
      </c>
      <c r="J691" s="156">
        <v>0.0</v>
      </c>
      <c r="K691" s="154" t="s">
        <v>2188</v>
      </c>
    </row>
    <row r="692">
      <c r="A692" s="154" t="s">
        <v>2189</v>
      </c>
      <c r="B692" s="155"/>
      <c r="C692" s="154" t="s">
        <v>2190</v>
      </c>
      <c r="D692" s="155"/>
      <c r="E692" s="155"/>
      <c r="F692" s="154" t="s">
        <v>2191</v>
      </c>
      <c r="G692" s="156">
        <v>0.0</v>
      </c>
      <c r="H692" s="154" t="s">
        <v>2192</v>
      </c>
      <c r="I692" s="154" t="s">
        <v>2193</v>
      </c>
      <c r="J692" s="154" t="s">
        <v>2194</v>
      </c>
      <c r="K692" s="154" t="s">
        <v>2195</v>
      </c>
    </row>
    <row r="693">
      <c r="A693" s="154" t="s">
        <v>2189</v>
      </c>
      <c r="B693" s="154" t="s">
        <v>2190</v>
      </c>
      <c r="C693" s="155"/>
      <c r="D693" s="154">
        <v>2.0</v>
      </c>
      <c r="E693" s="154" t="s">
        <v>897</v>
      </c>
      <c r="F693" s="154" t="s">
        <v>2191</v>
      </c>
      <c r="G693" s="156">
        <v>0.0</v>
      </c>
      <c r="H693" s="154" t="s">
        <v>2192</v>
      </c>
      <c r="I693" s="154" t="s">
        <v>2193</v>
      </c>
      <c r="J693" s="154" t="s">
        <v>2194</v>
      </c>
      <c r="K693" s="154" t="s">
        <v>2195</v>
      </c>
    </row>
    <row r="694">
      <c r="A694" s="154" t="s">
        <v>2196</v>
      </c>
      <c r="B694" s="155"/>
      <c r="C694" s="154" t="s">
        <v>2197</v>
      </c>
      <c r="D694" s="155"/>
      <c r="E694" s="155"/>
      <c r="F694" s="154" t="s">
        <v>2198</v>
      </c>
      <c r="G694" s="154" t="s">
        <v>2199</v>
      </c>
      <c r="H694" s="154" t="s">
        <v>2200</v>
      </c>
      <c r="I694" s="154">
        <v>9.71508496765E11</v>
      </c>
      <c r="J694" s="156">
        <v>0.0</v>
      </c>
      <c r="K694" s="154" t="s">
        <v>361</v>
      </c>
    </row>
    <row r="695">
      <c r="A695" s="154" t="s">
        <v>2196</v>
      </c>
      <c r="B695" s="154" t="s">
        <v>2197</v>
      </c>
      <c r="C695" s="155"/>
      <c r="D695" s="154">
        <v>2.0</v>
      </c>
      <c r="E695" s="154" t="s">
        <v>897</v>
      </c>
      <c r="F695" s="154" t="s">
        <v>2198</v>
      </c>
      <c r="G695" s="154" t="s">
        <v>2199</v>
      </c>
      <c r="H695" s="154" t="s">
        <v>2200</v>
      </c>
      <c r="I695" s="154">
        <v>9.71508496765E11</v>
      </c>
      <c r="J695" s="156">
        <v>0.0</v>
      </c>
      <c r="K695" s="154" t="s">
        <v>361</v>
      </c>
    </row>
    <row r="696">
      <c r="A696" s="154" t="s">
        <v>2201</v>
      </c>
      <c r="B696" s="155"/>
      <c r="C696" s="154" t="s">
        <v>2202</v>
      </c>
      <c r="D696" s="155"/>
      <c r="E696" s="155"/>
      <c r="F696" s="154" t="s">
        <v>2203</v>
      </c>
      <c r="G696" s="154">
        <v>5.09126362E8</v>
      </c>
      <c r="H696" s="154" t="s">
        <v>2204</v>
      </c>
      <c r="I696" s="155">
        <f t="shared" ref="I696:I697" si="5">+923218209698</f>
        <v>923218209698</v>
      </c>
      <c r="J696" s="156">
        <v>0.0</v>
      </c>
      <c r="K696" s="154" t="s">
        <v>760</v>
      </c>
    </row>
    <row r="697">
      <c r="A697" s="154" t="s">
        <v>2201</v>
      </c>
      <c r="B697" s="154" t="s">
        <v>2202</v>
      </c>
      <c r="C697" s="155"/>
      <c r="D697" s="154">
        <v>2.0</v>
      </c>
      <c r="E697" s="154" t="s">
        <v>897</v>
      </c>
      <c r="F697" s="154" t="s">
        <v>2203</v>
      </c>
      <c r="G697" s="154">
        <v>5.09126362E8</v>
      </c>
      <c r="H697" s="154" t="s">
        <v>2204</v>
      </c>
      <c r="I697" s="155">
        <f t="shared" si="5"/>
        <v>923218209698</v>
      </c>
      <c r="J697" s="156">
        <v>0.0</v>
      </c>
      <c r="K697" s="154" t="s">
        <v>760</v>
      </c>
    </row>
    <row r="698">
      <c r="A698" s="154" t="s">
        <v>2205</v>
      </c>
      <c r="B698" s="154" t="s">
        <v>2206</v>
      </c>
      <c r="C698" s="155"/>
      <c r="D698" s="154">
        <v>2.0</v>
      </c>
      <c r="E698" s="154" t="s">
        <v>897</v>
      </c>
      <c r="F698" s="154" t="s">
        <v>2207</v>
      </c>
      <c r="G698" s="154">
        <v>9.71502209766E11</v>
      </c>
      <c r="H698" s="156">
        <v>0.0</v>
      </c>
      <c r="I698" s="154">
        <v>9.71502209766E11</v>
      </c>
      <c r="J698" s="156">
        <v>0.0</v>
      </c>
      <c r="K698" s="154" t="s">
        <v>240</v>
      </c>
    </row>
    <row r="699">
      <c r="A699" s="154" t="s">
        <v>2205</v>
      </c>
      <c r="B699" s="155"/>
      <c r="C699" s="154" t="s">
        <v>2206</v>
      </c>
      <c r="D699" s="155"/>
      <c r="E699" s="155"/>
      <c r="F699" s="154" t="s">
        <v>2208</v>
      </c>
      <c r="G699" s="154">
        <v>5.06611391E8</v>
      </c>
      <c r="H699" s="156">
        <v>0.0</v>
      </c>
      <c r="I699" s="154">
        <v>9.71506611391E11</v>
      </c>
      <c r="J699" s="156">
        <v>0.0</v>
      </c>
      <c r="K699" s="154" t="s">
        <v>240</v>
      </c>
    </row>
    <row r="700">
      <c r="A700" s="154" t="s">
        <v>2209</v>
      </c>
      <c r="B700" s="154" t="s">
        <v>2210</v>
      </c>
      <c r="C700" s="155"/>
      <c r="D700" s="154">
        <v>2.0</v>
      </c>
      <c r="E700" s="154" t="s">
        <v>897</v>
      </c>
      <c r="F700" s="154" t="s">
        <v>2211</v>
      </c>
      <c r="G700" s="154">
        <v>5.54240284E8</v>
      </c>
      <c r="H700" s="156">
        <v>0.0</v>
      </c>
      <c r="I700" s="156">
        <v>0.0</v>
      </c>
      <c r="J700" s="156">
        <v>0.0</v>
      </c>
      <c r="K700" s="156">
        <v>0.0</v>
      </c>
    </row>
    <row r="701">
      <c r="A701" s="154" t="s">
        <v>2209</v>
      </c>
      <c r="B701" s="155"/>
      <c r="C701" s="154" t="s">
        <v>2210</v>
      </c>
      <c r="D701" s="155"/>
      <c r="E701" s="155"/>
      <c r="F701" s="154" t="s">
        <v>2211</v>
      </c>
      <c r="G701" s="154">
        <v>5.54240284E8</v>
      </c>
      <c r="H701" s="156">
        <v>0.0</v>
      </c>
      <c r="I701" s="156">
        <v>0.0</v>
      </c>
      <c r="J701" s="156">
        <v>0.0</v>
      </c>
      <c r="K701" s="156">
        <v>0.0</v>
      </c>
    </row>
    <row r="702">
      <c r="A702" s="154" t="s">
        <v>2212</v>
      </c>
      <c r="B702" s="155"/>
      <c r="C702" s="154" t="s">
        <v>2213</v>
      </c>
      <c r="D702" s="155"/>
      <c r="E702" s="155"/>
      <c r="F702" s="154" t="s">
        <v>2214</v>
      </c>
      <c r="G702" s="156">
        <v>0.0</v>
      </c>
      <c r="H702" s="154" t="s">
        <v>2215</v>
      </c>
      <c r="I702" s="154">
        <v>5.5574801E8</v>
      </c>
      <c r="J702" s="154" t="s">
        <v>2216</v>
      </c>
      <c r="K702" s="154" t="s">
        <v>259</v>
      </c>
    </row>
    <row r="703">
      <c r="A703" s="154" t="s">
        <v>2212</v>
      </c>
      <c r="B703" s="154" t="s">
        <v>2213</v>
      </c>
      <c r="C703" s="155"/>
      <c r="D703" s="154">
        <v>2.0</v>
      </c>
      <c r="E703" s="154" t="s">
        <v>897</v>
      </c>
      <c r="F703" s="154" t="s">
        <v>2214</v>
      </c>
      <c r="G703" s="156">
        <v>0.0</v>
      </c>
      <c r="H703" s="154" t="s">
        <v>2215</v>
      </c>
      <c r="I703" s="154">
        <v>5.5574801E8</v>
      </c>
      <c r="J703" s="154" t="s">
        <v>2216</v>
      </c>
      <c r="K703" s="154" t="s">
        <v>259</v>
      </c>
    </row>
    <row r="704">
      <c r="A704" s="154" t="s">
        <v>2217</v>
      </c>
      <c r="B704" s="154" t="s">
        <v>2218</v>
      </c>
      <c r="C704" s="155"/>
      <c r="D704" s="154">
        <v>2.0</v>
      </c>
      <c r="E704" s="154" t="s">
        <v>897</v>
      </c>
      <c r="F704" s="154" t="s">
        <v>2219</v>
      </c>
      <c r="G704" s="154">
        <v>5.63072087E8</v>
      </c>
      <c r="H704" s="156">
        <v>0.0</v>
      </c>
      <c r="I704" s="154">
        <v>9.71563072087E11</v>
      </c>
      <c r="J704" s="156">
        <v>0.0</v>
      </c>
      <c r="K704" s="154" t="s">
        <v>253</v>
      </c>
    </row>
    <row r="705">
      <c r="A705" s="154" t="s">
        <v>2217</v>
      </c>
      <c r="B705" s="155"/>
      <c r="C705" s="154" t="s">
        <v>2218</v>
      </c>
      <c r="D705" s="155"/>
      <c r="E705" s="155"/>
      <c r="F705" s="154" t="s">
        <v>2219</v>
      </c>
      <c r="G705" s="154">
        <v>5.63072087E8</v>
      </c>
      <c r="H705" s="156">
        <v>0.0</v>
      </c>
      <c r="I705" s="154">
        <v>9.71563072087E11</v>
      </c>
      <c r="J705" s="156">
        <v>0.0</v>
      </c>
      <c r="K705" s="154" t="s">
        <v>253</v>
      </c>
    </row>
    <row r="706">
      <c r="A706" s="154" t="s">
        <v>2220</v>
      </c>
      <c r="B706" s="155"/>
      <c r="C706" s="154" t="s">
        <v>2221</v>
      </c>
      <c r="D706" s="155"/>
      <c r="E706" s="155"/>
      <c r="F706" s="154" t="s">
        <v>2222</v>
      </c>
      <c r="G706" s="154">
        <v>9.7143420804E10</v>
      </c>
      <c r="H706" s="154" t="s">
        <v>2223</v>
      </c>
      <c r="I706" s="154">
        <v>5.04516187E8</v>
      </c>
      <c r="J706" s="156">
        <v>0.0</v>
      </c>
      <c r="K706" s="154" t="s">
        <v>361</v>
      </c>
    </row>
    <row r="707">
      <c r="A707" s="154" t="s">
        <v>2220</v>
      </c>
      <c r="B707" s="154" t="s">
        <v>2221</v>
      </c>
      <c r="C707" s="155"/>
      <c r="D707" s="154">
        <v>2.0</v>
      </c>
      <c r="E707" s="154" t="s">
        <v>897</v>
      </c>
      <c r="F707" s="154" t="s">
        <v>2224</v>
      </c>
      <c r="G707" s="154">
        <v>9.71504516187E11</v>
      </c>
      <c r="H707" s="154" t="s">
        <v>2223</v>
      </c>
      <c r="I707" s="154" t="s">
        <v>2225</v>
      </c>
      <c r="J707" s="156">
        <v>0.0</v>
      </c>
      <c r="K707" s="154" t="s">
        <v>361</v>
      </c>
    </row>
    <row r="708">
      <c r="A708" s="154" t="s">
        <v>2226</v>
      </c>
      <c r="B708" s="155"/>
      <c r="C708" s="154" t="s">
        <v>2227</v>
      </c>
      <c r="D708" s="155"/>
      <c r="E708" s="155"/>
      <c r="F708" s="154" t="s">
        <v>2228</v>
      </c>
      <c r="G708" s="154">
        <v>4.3911111E7</v>
      </c>
      <c r="H708" s="156">
        <v>0.0</v>
      </c>
      <c r="I708" s="154">
        <v>0.0</v>
      </c>
      <c r="J708" s="156">
        <v>0.0</v>
      </c>
      <c r="K708" s="154" t="s">
        <v>223</v>
      </c>
    </row>
    <row r="709">
      <c r="A709" s="154" t="s">
        <v>2226</v>
      </c>
      <c r="B709" s="154" t="s">
        <v>2227</v>
      </c>
      <c r="C709" s="155"/>
      <c r="D709" s="154">
        <v>2.0</v>
      </c>
      <c r="E709" s="154" t="s">
        <v>897</v>
      </c>
      <c r="F709" s="154" t="s">
        <v>2229</v>
      </c>
      <c r="G709" s="154">
        <v>4.3911111E7</v>
      </c>
      <c r="H709" s="156">
        <v>0.0</v>
      </c>
      <c r="I709" s="154">
        <v>0.0</v>
      </c>
      <c r="J709" s="156">
        <v>0.0</v>
      </c>
      <c r="K709" s="154" t="s">
        <v>818</v>
      </c>
    </row>
    <row r="710">
      <c r="A710" s="154" t="s">
        <v>2230</v>
      </c>
      <c r="B710" s="154" t="s">
        <v>2231</v>
      </c>
      <c r="C710" s="155"/>
      <c r="D710" s="154">
        <v>2.0</v>
      </c>
      <c r="E710" s="154" t="s">
        <v>897</v>
      </c>
      <c r="F710" s="154" t="s">
        <v>2232</v>
      </c>
      <c r="G710" s="154" t="s">
        <v>2233</v>
      </c>
      <c r="H710" s="156">
        <v>0.0</v>
      </c>
      <c r="I710" s="154" t="s">
        <v>2234</v>
      </c>
      <c r="J710" s="156">
        <v>0.0</v>
      </c>
      <c r="K710" s="156">
        <v>0.0</v>
      </c>
    </row>
    <row r="711">
      <c r="A711" s="154" t="s">
        <v>2230</v>
      </c>
      <c r="B711" s="155"/>
      <c r="C711" s="154" t="s">
        <v>2231</v>
      </c>
      <c r="D711" s="155"/>
      <c r="E711" s="155"/>
      <c r="F711" s="154" t="s">
        <v>2232</v>
      </c>
      <c r="G711" s="154" t="s">
        <v>2233</v>
      </c>
      <c r="H711" s="156">
        <v>0.0</v>
      </c>
      <c r="I711" s="154" t="s">
        <v>2234</v>
      </c>
      <c r="J711" s="156">
        <v>0.0</v>
      </c>
      <c r="K711" s="156">
        <v>0.0</v>
      </c>
    </row>
    <row r="712">
      <c r="A712" s="154" t="s">
        <v>2235</v>
      </c>
      <c r="B712" s="155"/>
      <c r="C712" s="154" t="s">
        <v>2236</v>
      </c>
      <c r="D712" s="155"/>
      <c r="E712" s="155"/>
      <c r="F712" s="154" t="s">
        <v>2237</v>
      </c>
      <c r="G712" s="156">
        <v>0.0</v>
      </c>
      <c r="H712" s="154" t="s">
        <v>2238</v>
      </c>
      <c r="I712" s="154" t="s">
        <v>2239</v>
      </c>
      <c r="J712" s="156">
        <v>0.0</v>
      </c>
      <c r="K712" s="154" t="s">
        <v>760</v>
      </c>
    </row>
    <row r="713">
      <c r="A713" s="154" t="s">
        <v>2235</v>
      </c>
      <c r="B713" s="154" t="s">
        <v>2236</v>
      </c>
      <c r="C713" s="155"/>
      <c r="D713" s="154">
        <v>2.0</v>
      </c>
      <c r="E713" s="154" t="s">
        <v>897</v>
      </c>
      <c r="F713" s="154" t="s">
        <v>2237</v>
      </c>
      <c r="G713" s="156">
        <v>0.0</v>
      </c>
      <c r="H713" s="154" t="s">
        <v>2238</v>
      </c>
      <c r="I713" s="154" t="s">
        <v>2239</v>
      </c>
      <c r="J713" s="156">
        <v>0.0</v>
      </c>
      <c r="K713" s="154" t="s">
        <v>760</v>
      </c>
    </row>
    <row r="714">
      <c r="A714" s="154" t="s">
        <v>2240</v>
      </c>
      <c r="B714" s="155"/>
      <c r="C714" s="154" t="s">
        <v>2241</v>
      </c>
      <c r="D714" s="155"/>
      <c r="E714" s="155"/>
      <c r="F714" s="154" t="s">
        <v>2242</v>
      </c>
      <c r="G714" s="154">
        <v>9.714395904E10</v>
      </c>
      <c r="H714" s="156">
        <v>0.0</v>
      </c>
      <c r="I714" s="154">
        <v>9.71506561369E11</v>
      </c>
      <c r="J714" s="156">
        <v>0.0</v>
      </c>
      <c r="K714" s="154" t="s">
        <v>259</v>
      </c>
    </row>
    <row r="715">
      <c r="A715" s="154" t="s">
        <v>2240</v>
      </c>
      <c r="B715" s="154" t="s">
        <v>2241</v>
      </c>
      <c r="C715" s="155"/>
      <c r="D715" s="154">
        <v>2.0</v>
      </c>
      <c r="E715" s="154" t="s">
        <v>897</v>
      </c>
      <c r="F715" s="154" t="s">
        <v>2242</v>
      </c>
      <c r="G715" s="154">
        <v>9.714395904E10</v>
      </c>
      <c r="H715" s="156">
        <v>0.0</v>
      </c>
      <c r="I715" s="154">
        <v>9.71506561369E11</v>
      </c>
      <c r="J715" s="156">
        <v>0.0</v>
      </c>
      <c r="K715" s="154" t="s">
        <v>259</v>
      </c>
    </row>
    <row r="716">
      <c r="A716" s="154" t="s">
        <v>2243</v>
      </c>
      <c r="B716" s="154" t="s">
        <v>2244</v>
      </c>
      <c r="C716" s="155"/>
      <c r="D716" s="154">
        <v>2.0</v>
      </c>
      <c r="E716" s="154" t="s">
        <v>897</v>
      </c>
      <c r="F716" s="154" t="s">
        <v>2245</v>
      </c>
      <c r="G716" s="156">
        <v>0.0</v>
      </c>
      <c r="H716" s="156">
        <v>0.0</v>
      </c>
      <c r="I716" s="154" t="s">
        <v>2246</v>
      </c>
      <c r="J716" s="154" t="s">
        <v>2247</v>
      </c>
      <c r="K716" s="154" t="s">
        <v>259</v>
      </c>
    </row>
    <row r="717">
      <c r="A717" s="154" t="s">
        <v>2243</v>
      </c>
      <c r="B717" s="155"/>
      <c r="C717" s="154" t="s">
        <v>2244</v>
      </c>
      <c r="D717" s="155"/>
      <c r="E717" s="155"/>
      <c r="F717" s="154" t="s">
        <v>2248</v>
      </c>
      <c r="G717" s="156">
        <v>0.0</v>
      </c>
      <c r="H717" s="154" t="s">
        <v>1185</v>
      </c>
      <c r="I717" s="154" t="s">
        <v>2249</v>
      </c>
      <c r="J717" s="154" t="s">
        <v>2250</v>
      </c>
      <c r="K717" s="154" t="s">
        <v>259</v>
      </c>
    </row>
    <row r="718">
      <c r="A718" s="154" t="s">
        <v>2251</v>
      </c>
      <c r="B718" s="155"/>
      <c r="C718" s="154" t="s">
        <v>2252</v>
      </c>
      <c r="D718" s="155"/>
      <c r="E718" s="155"/>
      <c r="F718" s="154" t="s">
        <v>792</v>
      </c>
      <c r="G718" s="154" t="s">
        <v>793</v>
      </c>
      <c r="H718" s="154" t="s">
        <v>794</v>
      </c>
      <c r="I718" s="156">
        <v>0.0</v>
      </c>
      <c r="J718" s="156">
        <v>0.0</v>
      </c>
      <c r="K718" s="156">
        <v>0.0</v>
      </c>
    </row>
    <row r="719">
      <c r="A719" s="154" t="s">
        <v>2251</v>
      </c>
      <c r="B719" s="154" t="s">
        <v>2252</v>
      </c>
      <c r="C719" s="155"/>
      <c r="D719" s="154">
        <v>2.0</v>
      </c>
      <c r="E719" s="154" t="s">
        <v>897</v>
      </c>
      <c r="F719" s="154" t="s">
        <v>2253</v>
      </c>
      <c r="G719" s="156">
        <v>0.0</v>
      </c>
      <c r="H719" s="156">
        <v>0.0</v>
      </c>
      <c r="I719" s="154" t="s">
        <v>2254</v>
      </c>
      <c r="J719" s="154" t="s">
        <v>2255</v>
      </c>
      <c r="K719" s="154" t="s">
        <v>301</v>
      </c>
    </row>
    <row r="720">
      <c r="A720" s="154" t="s">
        <v>2256</v>
      </c>
      <c r="B720" s="154" t="s">
        <v>2257</v>
      </c>
      <c r="C720" s="155"/>
      <c r="D720" s="154">
        <v>2.0</v>
      </c>
      <c r="E720" s="154" t="s">
        <v>1237</v>
      </c>
      <c r="F720" s="154" t="s">
        <v>1270</v>
      </c>
      <c r="G720" s="156">
        <v>0.0</v>
      </c>
      <c r="H720" s="154" t="s">
        <v>1271</v>
      </c>
      <c r="I720" s="154" t="s">
        <v>1272</v>
      </c>
      <c r="J720" s="154" t="s">
        <v>1273</v>
      </c>
      <c r="K720" s="154" t="s">
        <v>846</v>
      </c>
    </row>
    <row r="721">
      <c r="A721" s="154" t="s">
        <v>2256</v>
      </c>
      <c r="B721" s="155"/>
      <c r="C721" s="154" t="s">
        <v>2257</v>
      </c>
      <c r="D721" s="155"/>
      <c r="E721" s="155"/>
      <c r="F721" s="154" t="s">
        <v>1270</v>
      </c>
      <c r="G721" s="156">
        <v>0.0</v>
      </c>
      <c r="H721" s="154" t="s">
        <v>1271</v>
      </c>
      <c r="I721" s="154" t="s">
        <v>1272</v>
      </c>
      <c r="J721" s="154" t="s">
        <v>1273</v>
      </c>
      <c r="K721" s="154" t="s">
        <v>846</v>
      </c>
    </row>
    <row r="722">
      <c r="A722" s="154" t="s">
        <v>2258</v>
      </c>
      <c r="B722" s="154" t="s">
        <v>2259</v>
      </c>
      <c r="C722" s="155"/>
      <c r="D722" s="154">
        <v>2.0</v>
      </c>
      <c r="E722" s="154" t="s">
        <v>1237</v>
      </c>
      <c r="F722" s="154" t="s">
        <v>2260</v>
      </c>
      <c r="G722" s="156">
        <v>0.0</v>
      </c>
      <c r="H722" s="156">
        <v>0.0</v>
      </c>
      <c r="I722" s="154" t="s">
        <v>2261</v>
      </c>
      <c r="J722" s="154" t="s">
        <v>2262</v>
      </c>
      <c r="K722" s="154" t="s">
        <v>197</v>
      </c>
    </row>
    <row r="723">
      <c r="A723" s="154" t="s">
        <v>2258</v>
      </c>
      <c r="B723" s="155"/>
      <c r="C723" s="154" t="s">
        <v>2259</v>
      </c>
      <c r="D723" s="155"/>
      <c r="E723" s="155"/>
      <c r="F723" s="154" t="s">
        <v>2260</v>
      </c>
      <c r="G723" s="156">
        <v>0.0</v>
      </c>
      <c r="H723" s="156">
        <v>0.0</v>
      </c>
      <c r="I723" s="154" t="s">
        <v>2261</v>
      </c>
      <c r="J723" s="154" t="s">
        <v>2262</v>
      </c>
      <c r="K723" s="154" t="s">
        <v>197</v>
      </c>
    </row>
    <row r="724">
      <c r="A724" s="154" t="s">
        <v>2263</v>
      </c>
      <c r="B724" s="154" t="s">
        <v>2264</v>
      </c>
      <c r="C724" s="155"/>
      <c r="D724" s="154">
        <v>2.0</v>
      </c>
      <c r="E724" s="154" t="s">
        <v>1237</v>
      </c>
      <c r="F724" s="154" t="s">
        <v>2265</v>
      </c>
      <c r="G724" s="154">
        <v>9.71506166173E11</v>
      </c>
      <c r="H724" s="156">
        <v>0.0</v>
      </c>
      <c r="I724" s="154">
        <v>9.71506166173E11</v>
      </c>
      <c r="J724" s="156">
        <v>0.0</v>
      </c>
      <c r="K724" s="154" t="s">
        <v>240</v>
      </c>
    </row>
    <row r="725">
      <c r="A725" s="154" t="s">
        <v>2263</v>
      </c>
      <c r="B725" s="155"/>
      <c r="C725" s="154" t="s">
        <v>2264</v>
      </c>
      <c r="D725" s="155"/>
      <c r="E725" s="155"/>
      <c r="F725" s="154" t="s">
        <v>2265</v>
      </c>
      <c r="G725" s="154">
        <v>9.71506166173E11</v>
      </c>
      <c r="H725" s="156">
        <v>0.0</v>
      </c>
      <c r="I725" s="154">
        <v>9.71506166173E11</v>
      </c>
      <c r="J725" s="156">
        <v>0.0</v>
      </c>
      <c r="K725" s="154" t="s">
        <v>240</v>
      </c>
    </row>
    <row r="726">
      <c r="A726" s="154" t="s">
        <v>2266</v>
      </c>
      <c r="B726" s="154" t="s">
        <v>2267</v>
      </c>
      <c r="C726" s="155"/>
      <c r="D726" s="154">
        <v>2.0</v>
      </c>
      <c r="E726" s="154" t="s">
        <v>1237</v>
      </c>
      <c r="F726" s="154" t="s">
        <v>2268</v>
      </c>
      <c r="G726" s="156">
        <v>0.0</v>
      </c>
      <c r="H726" s="156">
        <v>0.0</v>
      </c>
      <c r="I726" s="154">
        <v>5.04269365E8</v>
      </c>
      <c r="J726" s="156">
        <v>0.0</v>
      </c>
      <c r="K726" s="154" t="s">
        <v>361</v>
      </c>
    </row>
    <row r="727">
      <c r="A727" s="154" t="s">
        <v>2266</v>
      </c>
      <c r="B727" s="155"/>
      <c r="C727" s="154" t="s">
        <v>2267</v>
      </c>
      <c r="D727" s="155"/>
      <c r="E727" s="155"/>
      <c r="F727" s="154" t="s">
        <v>2268</v>
      </c>
      <c r="G727" s="156">
        <v>0.0</v>
      </c>
      <c r="H727" s="156">
        <v>0.0</v>
      </c>
      <c r="I727" s="154">
        <v>5.04269365E8</v>
      </c>
      <c r="J727" s="156">
        <v>0.0</v>
      </c>
      <c r="K727" s="154" t="s">
        <v>361</v>
      </c>
    </row>
    <row r="728">
      <c r="A728" s="154" t="s">
        <v>2269</v>
      </c>
      <c r="B728" s="154" t="s">
        <v>2270</v>
      </c>
      <c r="C728" s="155"/>
      <c r="D728" s="154">
        <v>2.0</v>
      </c>
      <c r="E728" s="154" t="s">
        <v>1237</v>
      </c>
      <c r="F728" s="154" t="s">
        <v>2271</v>
      </c>
      <c r="G728" s="154">
        <v>4.2833118E7</v>
      </c>
      <c r="H728" s="156">
        <v>0.0</v>
      </c>
      <c r="I728" s="154">
        <v>5.05535392E8</v>
      </c>
      <c r="J728" s="156">
        <v>0.0</v>
      </c>
      <c r="K728" s="154" t="s">
        <v>760</v>
      </c>
    </row>
    <row r="729">
      <c r="A729" s="154" t="s">
        <v>2269</v>
      </c>
      <c r="B729" s="155"/>
      <c r="C729" s="154" t="s">
        <v>2270</v>
      </c>
      <c r="D729" s="155"/>
      <c r="E729" s="155"/>
      <c r="F729" s="154" t="s">
        <v>2271</v>
      </c>
      <c r="G729" s="154">
        <v>4.2833118E7</v>
      </c>
      <c r="H729" s="156">
        <v>0.0</v>
      </c>
      <c r="I729" s="154">
        <v>5.05535392E8</v>
      </c>
      <c r="J729" s="156">
        <v>0.0</v>
      </c>
      <c r="K729" s="154" t="s">
        <v>760</v>
      </c>
    </row>
    <row r="730">
      <c r="A730" s="154" t="s">
        <v>2272</v>
      </c>
      <c r="B730" s="155"/>
      <c r="C730" s="154" t="s">
        <v>2273</v>
      </c>
      <c r="D730" s="155"/>
      <c r="E730" s="155"/>
      <c r="F730" s="154" t="s">
        <v>2274</v>
      </c>
      <c r="G730" s="154" t="s">
        <v>2275</v>
      </c>
      <c r="H730" s="154" t="s">
        <v>1185</v>
      </c>
      <c r="I730" s="154" t="s">
        <v>2276</v>
      </c>
      <c r="J730" s="154" t="s">
        <v>2277</v>
      </c>
      <c r="K730" s="154" t="s">
        <v>361</v>
      </c>
    </row>
    <row r="731">
      <c r="A731" s="154" t="s">
        <v>2272</v>
      </c>
      <c r="B731" s="154" t="s">
        <v>2273</v>
      </c>
      <c r="C731" s="155"/>
      <c r="D731" s="154">
        <v>2.0</v>
      </c>
      <c r="E731" s="154" t="s">
        <v>1237</v>
      </c>
      <c r="F731" s="154" t="s">
        <v>2274</v>
      </c>
      <c r="G731" s="154" t="s">
        <v>2275</v>
      </c>
      <c r="H731" s="154" t="s">
        <v>1185</v>
      </c>
      <c r="I731" s="154" t="s">
        <v>2276</v>
      </c>
      <c r="J731" s="154" t="s">
        <v>2277</v>
      </c>
      <c r="K731" s="154" t="s">
        <v>361</v>
      </c>
    </row>
    <row r="732">
      <c r="A732" s="154" t="s">
        <v>2278</v>
      </c>
      <c r="B732" s="154" t="s">
        <v>2279</v>
      </c>
      <c r="C732" s="155"/>
      <c r="D732" s="154">
        <v>2.0</v>
      </c>
      <c r="E732" s="154" t="s">
        <v>1237</v>
      </c>
      <c r="F732" s="154" t="s">
        <v>2280</v>
      </c>
      <c r="G732" s="154">
        <v>0.0</v>
      </c>
      <c r="H732" s="156">
        <v>0.0</v>
      </c>
      <c r="I732" s="154">
        <v>5.06259736E8</v>
      </c>
      <c r="J732" s="156">
        <v>0.0</v>
      </c>
      <c r="K732" s="154" t="s">
        <v>760</v>
      </c>
    </row>
    <row r="733">
      <c r="A733" s="154" t="s">
        <v>2278</v>
      </c>
      <c r="B733" s="155"/>
      <c r="C733" s="154" t="s">
        <v>2279</v>
      </c>
      <c r="D733" s="155"/>
      <c r="E733" s="155"/>
      <c r="F733" s="154" t="s">
        <v>2281</v>
      </c>
      <c r="G733" s="154">
        <v>3520455.0</v>
      </c>
      <c r="H733" s="156">
        <v>0.0</v>
      </c>
      <c r="I733" s="154">
        <v>5.04401087E8</v>
      </c>
      <c r="J733" s="156">
        <v>0.0</v>
      </c>
      <c r="K733" s="154" t="s">
        <v>760</v>
      </c>
    </row>
    <row r="734">
      <c r="A734" s="154" t="s">
        <v>2282</v>
      </c>
      <c r="B734" s="154" t="s">
        <v>2283</v>
      </c>
      <c r="C734" s="155"/>
      <c r="D734" s="154">
        <v>2.0</v>
      </c>
      <c r="E734" s="154" t="s">
        <v>1237</v>
      </c>
      <c r="F734" s="154" t="s">
        <v>2284</v>
      </c>
      <c r="G734" s="156">
        <v>0.0</v>
      </c>
      <c r="H734" s="156">
        <v>0.0</v>
      </c>
      <c r="I734" s="154" t="s">
        <v>2285</v>
      </c>
      <c r="J734" s="154" t="s">
        <v>2286</v>
      </c>
      <c r="K734" s="154" t="s">
        <v>361</v>
      </c>
    </row>
    <row r="735">
      <c r="A735" s="154" t="s">
        <v>2282</v>
      </c>
      <c r="B735" s="155"/>
      <c r="C735" s="154" t="s">
        <v>2283</v>
      </c>
      <c r="D735" s="155"/>
      <c r="E735" s="155"/>
      <c r="F735" s="154" t="s">
        <v>2284</v>
      </c>
      <c r="G735" s="156">
        <v>0.0</v>
      </c>
      <c r="H735" s="156">
        <v>0.0</v>
      </c>
      <c r="I735" s="154" t="s">
        <v>2285</v>
      </c>
      <c r="J735" s="154" t="s">
        <v>2286</v>
      </c>
      <c r="K735" s="154" t="s">
        <v>361</v>
      </c>
    </row>
    <row r="736">
      <c r="A736" s="154" t="s">
        <v>2287</v>
      </c>
      <c r="B736" s="154" t="s">
        <v>2288</v>
      </c>
      <c r="C736" s="155"/>
      <c r="D736" s="154">
        <v>2.0</v>
      </c>
      <c r="E736" s="154" t="s">
        <v>1237</v>
      </c>
      <c r="F736" s="154" t="s">
        <v>2289</v>
      </c>
      <c r="G736" s="154">
        <v>5.03740364E8</v>
      </c>
      <c r="H736" s="156">
        <v>0.0</v>
      </c>
      <c r="I736" s="154">
        <v>5.03740364E8</v>
      </c>
      <c r="J736" s="156">
        <v>0.0</v>
      </c>
      <c r="K736" s="154" t="s">
        <v>361</v>
      </c>
    </row>
    <row r="737">
      <c r="A737" s="154" t="s">
        <v>2287</v>
      </c>
      <c r="B737" s="155"/>
      <c r="C737" s="154" t="s">
        <v>2288</v>
      </c>
      <c r="D737" s="155"/>
      <c r="E737" s="155"/>
      <c r="F737" s="154" t="s">
        <v>2289</v>
      </c>
      <c r="G737" s="154">
        <v>5.03740364E8</v>
      </c>
      <c r="H737" s="156">
        <v>0.0</v>
      </c>
      <c r="I737" s="154">
        <v>5.03740364E8</v>
      </c>
      <c r="J737" s="156">
        <v>0.0</v>
      </c>
      <c r="K737" s="154" t="s">
        <v>361</v>
      </c>
    </row>
    <row r="738">
      <c r="A738" s="154" t="s">
        <v>2290</v>
      </c>
      <c r="B738" s="154" t="s">
        <v>2291</v>
      </c>
      <c r="C738" s="155"/>
      <c r="D738" s="154">
        <v>2.0</v>
      </c>
      <c r="E738" s="154" t="s">
        <v>1237</v>
      </c>
      <c r="F738" s="154" t="s">
        <v>2292</v>
      </c>
      <c r="G738" s="154" t="s">
        <v>2293</v>
      </c>
      <c r="H738" s="154" t="s">
        <v>2294</v>
      </c>
      <c r="I738" s="154" t="s">
        <v>2295</v>
      </c>
      <c r="J738" s="154" t="s">
        <v>2293</v>
      </c>
      <c r="K738" s="154" t="s">
        <v>1426</v>
      </c>
    </row>
    <row r="739">
      <c r="A739" s="154" t="s">
        <v>2290</v>
      </c>
      <c r="B739" s="155"/>
      <c r="C739" s="154" t="s">
        <v>2291</v>
      </c>
      <c r="D739" s="155"/>
      <c r="E739" s="155"/>
      <c r="F739" s="154" t="s">
        <v>2292</v>
      </c>
      <c r="G739" s="154" t="s">
        <v>2293</v>
      </c>
      <c r="H739" s="154" t="s">
        <v>2294</v>
      </c>
      <c r="I739" s="154" t="s">
        <v>2295</v>
      </c>
      <c r="J739" s="154" t="s">
        <v>2293</v>
      </c>
      <c r="K739" s="154" t="s">
        <v>1426</v>
      </c>
    </row>
    <row r="740">
      <c r="A740" s="154" t="s">
        <v>2296</v>
      </c>
      <c r="B740" s="154" t="s">
        <v>2297</v>
      </c>
      <c r="C740" s="155"/>
      <c r="D740" s="154">
        <v>2.0</v>
      </c>
      <c r="E740" s="154" t="s">
        <v>1237</v>
      </c>
      <c r="F740" s="154" t="s">
        <v>2298</v>
      </c>
      <c r="G740" s="154" t="s">
        <v>2299</v>
      </c>
      <c r="H740" s="154" t="s">
        <v>2300</v>
      </c>
      <c r="I740" s="154" t="s">
        <v>2301</v>
      </c>
      <c r="J740" s="154" t="s">
        <v>2299</v>
      </c>
      <c r="K740" s="154" t="s">
        <v>760</v>
      </c>
    </row>
    <row r="741">
      <c r="A741" s="154" t="s">
        <v>2296</v>
      </c>
      <c r="B741" s="155"/>
      <c r="C741" s="154" t="s">
        <v>2297</v>
      </c>
      <c r="D741" s="155"/>
      <c r="E741" s="155"/>
      <c r="F741" s="154" t="s">
        <v>2298</v>
      </c>
      <c r="G741" s="154" t="s">
        <v>2299</v>
      </c>
      <c r="H741" s="154" t="s">
        <v>2300</v>
      </c>
      <c r="I741" s="154" t="s">
        <v>2301</v>
      </c>
      <c r="J741" s="154" t="s">
        <v>2299</v>
      </c>
      <c r="K741" s="154" t="s">
        <v>760</v>
      </c>
    </row>
    <row r="742">
      <c r="A742" s="154" t="s">
        <v>2302</v>
      </c>
      <c r="B742" s="154" t="s">
        <v>2303</v>
      </c>
      <c r="C742" s="155"/>
      <c r="D742" s="154">
        <v>2.0</v>
      </c>
      <c r="E742" s="154" t="s">
        <v>1237</v>
      </c>
      <c r="F742" s="154" t="s">
        <v>2304</v>
      </c>
      <c r="G742" s="156">
        <v>0.0</v>
      </c>
      <c r="H742" s="156">
        <v>0.0</v>
      </c>
      <c r="I742" s="154" t="s">
        <v>853</v>
      </c>
      <c r="J742" s="154" t="s">
        <v>2305</v>
      </c>
      <c r="K742" s="154" t="s">
        <v>361</v>
      </c>
    </row>
    <row r="743">
      <c r="A743" s="154" t="s">
        <v>2302</v>
      </c>
      <c r="B743" s="155"/>
      <c r="C743" s="154" t="s">
        <v>2303</v>
      </c>
      <c r="D743" s="155"/>
      <c r="E743" s="155"/>
      <c r="F743" s="154" t="s">
        <v>2306</v>
      </c>
      <c r="G743" s="156">
        <v>0.0</v>
      </c>
      <c r="H743" s="156">
        <v>0.0</v>
      </c>
      <c r="I743" s="154" t="s">
        <v>853</v>
      </c>
      <c r="J743" s="154" t="s">
        <v>809</v>
      </c>
      <c r="K743" s="154" t="s">
        <v>361</v>
      </c>
    </row>
    <row r="744">
      <c r="A744" s="154" t="s">
        <v>2307</v>
      </c>
      <c r="B744" s="155"/>
      <c r="C744" s="154" t="s">
        <v>2308</v>
      </c>
      <c r="D744" s="155"/>
      <c r="E744" s="155"/>
      <c r="F744" s="154" t="s">
        <v>2309</v>
      </c>
      <c r="G744" s="156">
        <v>0.0</v>
      </c>
      <c r="H744" s="154" t="s">
        <v>2310</v>
      </c>
      <c r="I744" s="154" t="s">
        <v>2311</v>
      </c>
      <c r="J744" s="156">
        <v>0.0</v>
      </c>
      <c r="K744" s="154" t="s">
        <v>197</v>
      </c>
    </row>
    <row r="745">
      <c r="A745" s="154" t="s">
        <v>2307</v>
      </c>
      <c r="B745" s="154" t="s">
        <v>2308</v>
      </c>
      <c r="C745" s="155"/>
      <c r="D745" s="154">
        <v>2.0</v>
      </c>
      <c r="E745" s="154" t="s">
        <v>1237</v>
      </c>
      <c r="F745" s="154" t="s">
        <v>2309</v>
      </c>
      <c r="G745" s="156">
        <v>0.0</v>
      </c>
      <c r="H745" s="154" t="s">
        <v>2310</v>
      </c>
      <c r="I745" s="154" t="s">
        <v>2311</v>
      </c>
      <c r="J745" s="156">
        <v>0.0</v>
      </c>
      <c r="K745" s="154" t="s">
        <v>197</v>
      </c>
    </row>
    <row r="746">
      <c r="A746" s="154" t="s">
        <v>2312</v>
      </c>
      <c r="B746" s="155"/>
      <c r="C746" s="154" t="s">
        <v>2313</v>
      </c>
      <c r="D746" s="155"/>
      <c r="E746" s="155"/>
      <c r="F746" s="154" t="s">
        <v>1238</v>
      </c>
      <c r="G746" s="154">
        <v>4.7018111E7</v>
      </c>
      <c r="H746" s="154" t="s">
        <v>1239</v>
      </c>
      <c r="I746" s="156">
        <v>0.0</v>
      </c>
      <c r="J746" s="156">
        <v>0.0</v>
      </c>
      <c r="K746" s="156">
        <v>0.0</v>
      </c>
    </row>
    <row r="747">
      <c r="A747" s="154" t="s">
        <v>2312</v>
      </c>
      <c r="B747" s="154" t="s">
        <v>2313</v>
      </c>
      <c r="C747" s="155"/>
      <c r="D747" s="154">
        <v>2.0</v>
      </c>
      <c r="E747" s="154" t="s">
        <v>1237</v>
      </c>
      <c r="F747" s="154" t="s">
        <v>1238</v>
      </c>
      <c r="G747" s="154">
        <v>4.7018111E7</v>
      </c>
      <c r="H747" s="154" t="s">
        <v>1239</v>
      </c>
      <c r="I747" s="156">
        <v>0.0</v>
      </c>
      <c r="J747" s="156">
        <v>0.0</v>
      </c>
      <c r="K747" s="156">
        <v>0.0</v>
      </c>
    </row>
    <row r="748">
      <c r="A748" s="154" t="s">
        <v>2314</v>
      </c>
      <c r="B748" s="155"/>
      <c r="C748" s="154" t="s">
        <v>2315</v>
      </c>
      <c r="D748" s="155"/>
      <c r="E748" s="155"/>
      <c r="F748" s="154" t="s">
        <v>2316</v>
      </c>
      <c r="G748" s="154">
        <v>5.58736228E8</v>
      </c>
      <c r="H748" s="154" t="s">
        <v>2317</v>
      </c>
      <c r="I748" s="154" t="s">
        <v>2318</v>
      </c>
      <c r="J748" s="156">
        <v>0.0</v>
      </c>
      <c r="K748" s="154" t="s">
        <v>197</v>
      </c>
    </row>
    <row r="749">
      <c r="A749" s="154" t="s">
        <v>2314</v>
      </c>
      <c r="B749" s="154" t="s">
        <v>2315</v>
      </c>
      <c r="C749" s="155"/>
      <c r="D749" s="154">
        <v>2.0</v>
      </c>
      <c r="E749" s="154" t="s">
        <v>1237</v>
      </c>
      <c r="F749" s="154" t="s">
        <v>2316</v>
      </c>
      <c r="G749" s="154">
        <v>5.58736228E8</v>
      </c>
      <c r="H749" s="154" t="s">
        <v>2317</v>
      </c>
      <c r="I749" s="154" t="s">
        <v>2318</v>
      </c>
      <c r="J749" s="156">
        <v>0.0</v>
      </c>
      <c r="K749" s="154" t="s">
        <v>197</v>
      </c>
    </row>
    <row r="750">
      <c r="A750" s="154" t="s">
        <v>2319</v>
      </c>
      <c r="B750" s="154" t="s">
        <v>2320</v>
      </c>
      <c r="C750" s="155"/>
      <c r="D750" s="154">
        <v>2.0</v>
      </c>
      <c r="E750" s="154" t="s">
        <v>1237</v>
      </c>
      <c r="F750" s="154" t="s">
        <v>2321</v>
      </c>
      <c r="G750" s="154" t="s">
        <v>2322</v>
      </c>
      <c r="H750" s="154" t="s">
        <v>2323</v>
      </c>
      <c r="I750" s="154" t="s">
        <v>2324</v>
      </c>
      <c r="J750" s="156">
        <v>0.0</v>
      </c>
      <c r="K750" s="154" t="s">
        <v>846</v>
      </c>
    </row>
    <row r="751">
      <c r="A751" s="154" t="s">
        <v>2319</v>
      </c>
      <c r="B751" s="155"/>
      <c r="C751" s="154" t="s">
        <v>2320</v>
      </c>
      <c r="D751" s="155"/>
      <c r="E751" s="155"/>
      <c r="F751" s="154" t="s">
        <v>2321</v>
      </c>
      <c r="G751" s="154" t="s">
        <v>2322</v>
      </c>
      <c r="H751" s="154" t="s">
        <v>2323</v>
      </c>
      <c r="I751" s="154" t="s">
        <v>2324</v>
      </c>
      <c r="J751" s="156">
        <v>0.0</v>
      </c>
      <c r="K751" s="154" t="s">
        <v>846</v>
      </c>
    </row>
    <row r="752">
      <c r="A752" s="154" t="s">
        <v>2325</v>
      </c>
      <c r="B752" s="155"/>
      <c r="C752" s="154" t="s">
        <v>2326</v>
      </c>
      <c r="D752" s="155"/>
      <c r="E752" s="155"/>
      <c r="F752" s="154" t="s">
        <v>2327</v>
      </c>
      <c r="G752" s="154" t="s">
        <v>2328</v>
      </c>
      <c r="H752" s="156">
        <v>0.0</v>
      </c>
      <c r="I752" s="154" t="s">
        <v>2329</v>
      </c>
      <c r="J752" s="154" t="s">
        <v>2328</v>
      </c>
      <c r="K752" s="154" t="s">
        <v>361</v>
      </c>
    </row>
    <row r="753">
      <c r="A753" s="154" t="s">
        <v>2325</v>
      </c>
      <c r="B753" s="154" t="s">
        <v>2326</v>
      </c>
      <c r="C753" s="155"/>
      <c r="D753" s="154">
        <v>2.0</v>
      </c>
      <c r="E753" s="154" t="s">
        <v>1237</v>
      </c>
      <c r="F753" s="154" t="s">
        <v>2327</v>
      </c>
      <c r="G753" s="154" t="s">
        <v>2328</v>
      </c>
      <c r="H753" s="156">
        <v>0.0</v>
      </c>
      <c r="I753" s="154" t="s">
        <v>2329</v>
      </c>
      <c r="J753" s="154" t="s">
        <v>2328</v>
      </c>
      <c r="K753" s="154" t="s">
        <v>361</v>
      </c>
    </row>
    <row r="754">
      <c r="A754" s="154" t="s">
        <v>2330</v>
      </c>
      <c r="B754" s="155"/>
      <c r="C754" s="154" t="s">
        <v>2331</v>
      </c>
      <c r="D754" s="155"/>
      <c r="E754" s="155"/>
      <c r="F754" s="154" t="s">
        <v>2332</v>
      </c>
      <c r="G754" s="154" t="s">
        <v>809</v>
      </c>
      <c r="H754" s="154" t="s">
        <v>2333</v>
      </c>
      <c r="I754" s="154" t="s">
        <v>2334</v>
      </c>
      <c r="J754" s="154" t="s">
        <v>2335</v>
      </c>
      <c r="K754" s="154" t="s">
        <v>361</v>
      </c>
    </row>
    <row r="755">
      <c r="A755" s="154" t="s">
        <v>2330</v>
      </c>
      <c r="B755" s="154" t="s">
        <v>2331</v>
      </c>
      <c r="C755" s="155"/>
      <c r="D755" s="154">
        <v>2.0</v>
      </c>
      <c r="E755" s="154" t="s">
        <v>1237</v>
      </c>
      <c r="F755" s="154" t="s">
        <v>2332</v>
      </c>
      <c r="G755" s="154" t="s">
        <v>809</v>
      </c>
      <c r="H755" s="154" t="s">
        <v>2333</v>
      </c>
      <c r="I755" s="154" t="s">
        <v>2334</v>
      </c>
      <c r="J755" s="154" t="s">
        <v>2335</v>
      </c>
      <c r="K755" s="154" t="s">
        <v>361</v>
      </c>
    </row>
    <row r="756">
      <c r="A756" s="154" t="s">
        <v>2336</v>
      </c>
      <c r="B756" s="154" t="s">
        <v>2337</v>
      </c>
      <c r="C756" s="155"/>
      <c r="D756" s="154">
        <v>2.0</v>
      </c>
      <c r="E756" s="154" t="s">
        <v>1237</v>
      </c>
      <c r="F756" s="154" t="s">
        <v>2338</v>
      </c>
      <c r="G756" s="154">
        <v>0.0</v>
      </c>
      <c r="H756" s="156">
        <v>0.0</v>
      </c>
      <c r="I756" s="154">
        <v>5.0559677E8</v>
      </c>
      <c r="J756" s="156">
        <v>0.0</v>
      </c>
      <c r="K756" s="154" t="s">
        <v>818</v>
      </c>
    </row>
    <row r="757">
      <c r="A757" s="154" t="s">
        <v>2336</v>
      </c>
      <c r="B757" s="155"/>
      <c r="C757" s="154" t="s">
        <v>2337</v>
      </c>
      <c r="D757" s="155"/>
      <c r="E757" s="155"/>
      <c r="F757" s="154" t="s">
        <v>2339</v>
      </c>
      <c r="G757" s="154">
        <v>5.0559677E8</v>
      </c>
      <c r="H757" s="156">
        <v>0.0</v>
      </c>
      <c r="I757" s="154">
        <v>1.0</v>
      </c>
      <c r="J757" s="156">
        <v>0.0</v>
      </c>
      <c r="K757" s="154" t="s">
        <v>818</v>
      </c>
    </row>
    <row r="758">
      <c r="A758" s="154" t="s">
        <v>2340</v>
      </c>
      <c r="B758" s="155"/>
      <c r="C758" s="154" t="s">
        <v>2341</v>
      </c>
      <c r="D758" s="155"/>
      <c r="E758" s="155"/>
      <c r="F758" s="154" t="s">
        <v>2342</v>
      </c>
      <c r="G758" s="154">
        <v>4.2665866E7</v>
      </c>
      <c r="H758" s="156">
        <v>0.0</v>
      </c>
      <c r="I758" s="154">
        <v>5.04522572E8</v>
      </c>
      <c r="J758" s="156">
        <v>0.0</v>
      </c>
      <c r="K758" s="154" t="s">
        <v>846</v>
      </c>
    </row>
    <row r="759">
      <c r="A759" s="154" t="s">
        <v>2340</v>
      </c>
      <c r="B759" s="154" t="s">
        <v>2341</v>
      </c>
      <c r="C759" s="155"/>
      <c r="D759" s="154">
        <v>2.0</v>
      </c>
      <c r="E759" s="154" t="s">
        <v>1237</v>
      </c>
      <c r="F759" s="154" t="s">
        <v>2342</v>
      </c>
      <c r="G759" s="154">
        <v>4.2665866E7</v>
      </c>
      <c r="H759" s="156">
        <v>0.0</v>
      </c>
      <c r="I759" s="154">
        <v>5.04522572E8</v>
      </c>
      <c r="J759" s="156">
        <v>0.0</v>
      </c>
      <c r="K759" s="154" t="s">
        <v>846</v>
      </c>
    </row>
    <row r="760">
      <c r="A760" s="154" t="s">
        <v>2343</v>
      </c>
      <c r="B760" s="154" t="s">
        <v>2344</v>
      </c>
      <c r="C760" s="155"/>
      <c r="D760" s="154">
        <v>2.0</v>
      </c>
      <c r="E760" s="154" t="s">
        <v>1237</v>
      </c>
      <c r="F760" s="154" t="s">
        <v>2345</v>
      </c>
      <c r="G760" s="154">
        <v>9.71505537831E11</v>
      </c>
      <c r="H760" s="156">
        <v>0.0</v>
      </c>
      <c r="I760" s="154">
        <v>5.28111131E8</v>
      </c>
      <c r="J760" s="156">
        <v>0.0</v>
      </c>
      <c r="K760" s="154" t="s">
        <v>846</v>
      </c>
    </row>
    <row r="761">
      <c r="A761" s="154" t="s">
        <v>2343</v>
      </c>
      <c r="B761" s="155"/>
      <c r="C761" s="154" t="s">
        <v>2344</v>
      </c>
      <c r="D761" s="155"/>
      <c r="E761" s="155"/>
      <c r="F761" s="154" t="s">
        <v>2345</v>
      </c>
      <c r="G761" s="154">
        <v>9.71505537831E11</v>
      </c>
      <c r="H761" s="156">
        <v>0.0</v>
      </c>
      <c r="I761" s="154">
        <v>5.28111131E8</v>
      </c>
      <c r="J761" s="156">
        <v>0.0</v>
      </c>
      <c r="K761" s="154" t="s">
        <v>846</v>
      </c>
    </row>
    <row r="762">
      <c r="A762" s="154" t="s">
        <v>2346</v>
      </c>
      <c r="B762" s="154" t="s">
        <v>2347</v>
      </c>
      <c r="C762" s="155"/>
      <c r="D762" s="154">
        <v>2.0</v>
      </c>
      <c r="E762" s="154" t="s">
        <v>1237</v>
      </c>
      <c r="F762" s="154" t="s">
        <v>1238</v>
      </c>
      <c r="G762" s="154">
        <v>4.7018111E7</v>
      </c>
      <c r="H762" s="154" t="s">
        <v>1239</v>
      </c>
      <c r="I762" s="156">
        <v>0.0</v>
      </c>
      <c r="J762" s="156">
        <v>0.0</v>
      </c>
      <c r="K762" s="156">
        <v>0.0</v>
      </c>
    </row>
    <row r="763">
      <c r="A763" s="154" t="s">
        <v>2346</v>
      </c>
      <c r="B763" s="155"/>
      <c r="C763" s="154" t="s">
        <v>2347</v>
      </c>
      <c r="D763" s="155"/>
      <c r="E763" s="155"/>
      <c r="F763" s="154" t="s">
        <v>1238</v>
      </c>
      <c r="G763" s="154">
        <v>4.7018111E7</v>
      </c>
      <c r="H763" s="154" t="s">
        <v>1239</v>
      </c>
      <c r="I763" s="156">
        <v>0.0</v>
      </c>
      <c r="J763" s="156">
        <v>0.0</v>
      </c>
      <c r="K763" s="156">
        <v>0.0</v>
      </c>
    </row>
    <row r="764">
      <c r="A764" s="154" t="s">
        <v>2348</v>
      </c>
      <c r="B764" s="154" t="s">
        <v>2349</v>
      </c>
      <c r="C764" s="155"/>
      <c r="D764" s="154">
        <v>2.0</v>
      </c>
      <c r="E764" s="154" t="s">
        <v>1237</v>
      </c>
      <c r="F764" s="154" t="s">
        <v>2350</v>
      </c>
      <c r="G764" s="156">
        <v>0.0</v>
      </c>
      <c r="H764" s="154" t="s">
        <v>2351</v>
      </c>
      <c r="I764" s="154" t="s">
        <v>2352</v>
      </c>
      <c r="J764" s="156">
        <v>0.0</v>
      </c>
      <c r="K764" s="154" t="s">
        <v>776</v>
      </c>
    </row>
    <row r="765">
      <c r="A765" s="154" t="s">
        <v>2348</v>
      </c>
      <c r="B765" s="155"/>
      <c r="C765" s="154" t="s">
        <v>2349</v>
      </c>
      <c r="D765" s="155"/>
      <c r="E765" s="155"/>
      <c r="F765" s="154" t="s">
        <v>2350</v>
      </c>
      <c r="G765" s="156">
        <v>0.0</v>
      </c>
      <c r="H765" s="154" t="s">
        <v>2351</v>
      </c>
      <c r="I765" s="154" t="s">
        <v>2352</v>
      </c>
      <c r="J765" s="156">
        <v>0.0</v>
      </c>
      <c r="K765" s="154" t="s">
        <v>776</v>
      </c>
    </row>
    <row r="766">
      <c r="A766" s="154" t="s">
        <v>2353</v>
      </c>
      <c r="B766" s="154" t="s">
        <v>2354</v>
      </c>
      <c r="C766" s="155"/>
      <c r="D766" s="154">
        <v>2.0</v>
      </c>
      <c r="E766" s="154" t="s">
        <v>1237</v>
      </c>
      <c r="F766" s="154" t="s">
        <v>2355</v>
      </c>
      <c r="G766" s="154" t="s">
        <v>2356</v>
      </c>
      <c r="H766" s="156">
        <v>0.0</v>
      </c>
      <c r="I766" s="154" t="s">
        <v>2357</v>
      </c>
      <c r="J766" s="154" t="s">
        <v>2356</v>
      </c>
      <c r="K766" s="154" t="s">
        <v>776</v>
      </c>
    </row>
    <row r="767">
      <c r="A767" s="154" t="s">
        <v>2353</v>
      </c>
      <c r="B767" s="155"/>
      <c r="C767" s="154" t="s">
        <v>2354</v>
      </c>
      <c r="D767" s="155"/>
      <c r="E767" s="155"/>
      <c r="F767" s="154" t="s">
        <v>2355</v>
      </c>
      <c r="G767" s="154" t="s">
        <v>2356</v>
      </c>
      <c r="H767" s="156">
        <v>0.0</v>
      </c>
      <c r="I767" s="154" t="s">
        <v>2357</v>
      </c>
      <c r="J767" s="154" t="s">
        <v>2356</v>
      </c>
      <c r="K767" s="154" t="s">
        <v>776</v>
      </c>
    </row>
    <row r="768">
      <c r="A768" s="154" t="s">
        <v>2358</v>
      </c>
      <c r="B768" s="154" t="s">
        <v>2359</v>
      </c>
      <c r="C768" s="155"/>
      <c r="D768" s="154">
        <v>2.0</v>
      </c>
      <c r="E768" s="154" t="s">
        <v>1237</v>
      </c>
      <c r="F768" s="154" t="s">
        <v>2360</v>
      </c>
      <c r="G768" s="154" t="s">
        <v>2361</v>
      </c>
      <c r="H768" s="156">
        <v>0.0</v>
      </c>
      <c r="I768" s="154">
        <v>9.71504626233E11</v>
      </c>
      <c r="J768" s="156">
        <v>0.0</v>
      </c>
      <c r="K768" s="154" t="s">
        <v>846</v>
      </c>
    </row>
    <row r="769">
      <c r="A769" s="154" t="s">
        <v>2358</v>
      </c>
      <c r="B769" s="155"/>
      <c r="C769" s="154" t="s">
        <v>2359</v>
      </c>
      <c r="D769" s="155"/>
      <c r="E769" s="155"/>
      <c r="F769" s="154" t="s">
        <v>2360</v>
      </c>
      <c r="G769" s="154" t="s">
        <v>2361</v>
      </c>
      <c r="H769" s="156">
        <v>0.0</v>
      </c>
      <c r="I769" s="154">
        <v>9.71504626233E11</v>
      </c>
      <c r="J769" s="156">
        <v>0.0</v>
      </c>
      <c r="K769" s="154" t="s">
        <v>846</v>
      </c>
    </row>
    <row r="770">
      <c r="A770" s="154" t="s">
        <v>2362</v>
      </c>
      <c r="B770" s="155"/>
      <c r="C770" s="154" t="s">
        <v>2363</v>
      </c>
      <c r="D770" s="155"/>
      <c r="E770" s="155"/>
      <c r="F770" s="154" t="s">
        <v>2364</v>
      </c>
      <c r="G770" s="154">
        <v>5.01503444E8</v>
      </c>
      <c r="H770" s="156">
        <v>0.0</v>
      </c>
      <c r="I770" s="154">
        <v>5.01503444E8</v>
      </c>
      <c r="J770" s="156">
        <v>0.0</v>
      </c>
      <c r="K770" s="154" t="s">
        <v>914</v>
      </c>
    </row>
    <row r="771">
      <c r="A771" s="154" t="s">
        <v>2362</v>
      </c>
      <c r="B771" s="154" t="s">
        <v>2363</v>
      </c>
      <c r="C771" s="155"/>
      <c r="D771" s="154">
        <v>2.0</v>
      </c>
      <c r="E771" s="154" t="s">
        <v>1237</v>
      </c>
      <c r="F771" s="154" t="s">
        <v>2364</v>
      </c>
      <c r="G771" s="154">
        <v>5.01503444E8</v>
      </c>
      <c r="H771" s="156">
        <v>0.0</v>
      </c>
      <c r="I771" s="154">
        <v>5.01503444E8</v>
      </c>
      <c r="J771" s="156">
        <v>0.0</v>
      </c>
      <c r="K771" s="154" t="s">
        <v>914</v>
      </c>
    </row>
    <row r="772">
      <c r="A772" s="154" t="s">
        <v>2365</v>
      </c>
      <c r="B772" s="155"/>
      <c r="C772" s="154" t="s">
        <v>2366</v>
      </c>
      <c r="D772" s="155"/>
      <c r="E772" s="155"/>
      <c r="F772" s="154" t="s">
        <v>2367</v>
      </c>
      <c r="G772" s="154">
        <v>5.52200087E8</v>
      </c>
      <c r="H772" s="156">
        <v>0.0</v>
      </c>
      <c r="I772" s="154">
        <v>9.71506889933E11</v>
      </c>
      <c r="J772" s="156">
        <v>0.0</v>
      </c>
      <c r="K772" s="154" t="s">
        <v>197</v>
      </c>
    </row>
    <row r="773">
      <c r="A773" s="154" t="s">
        <v>2365</v>
      </c>
      <c r="B773" s="154" t="s">
        <v>2366</v>
      </c>
      <c r="C773" s="155"/>
      <c r="D773" s="154">
        <v>2.0</v>
      </c>
      <c r="E773" s="154" t="s">
        <v>1237</v>
      </c>
      <c r="F773" s="154" t="s">
        <v>2367</v>
      </c>
      <c r="G773" s="154">
        <v>5.52200087E8</v>
      </c>
      <c r="H773" s="156">
        <v>0.0</v>
      </c>
      <c r="I773" s="154">
        <v>9.71506889933E11</v>
      </c>
      <c r="J773" s="156">
        <v>0.0</v>
      </c>
      <c r="K773" s="154" t="s">
        <v>197</v>
      </c>
    </row>
    <row r="774">
      <c r="A774" s="154" t="s">
        <v>2368</v>
      </c>
      <c r="B774" s="155"/>
      <c r="C774" s="154" t="s">
        <v>2369</v>
      </c>
      <c r="D774" s="155"/>
      <c r="E774" s="155"/>
      <c r="F774" s="154" t="s">
        <v>2370</v>
      </c>
      <c r="G774" s="154">
        <v>9.71506541018E11</v>
      </c>
      <c r="H774" s="156">
        <v>0.0</v>
      </c>
      <c r="I774" s="154">
        <v>9.71506541018E11</v>
      </c>
      <c r="J774" s="156">
        <v>0.0</v>
      </c>
      <c r="K774" s="154" t="s">
        <v>197</v>
      </c>
    </row>
    <row r="775">
      <c r="A775" s="154" t="s">
        <v>2368</v>
      </c>
      <c r="B775" s="154" t="s">
        <v>2369</v>
      </c>
      <c r="C775" s="155"/>
      <c r="D775" s="154">
        <v>2.0</v>
      </c>
      <c r="E775" s="154" t="s">
        <v>1237</v>
      </c>
      <c r="F775" s="154" t="s">
        <v>2370</v>
      </c>
      <c r="G775" s="154">
        <v>9.71506541018E11</v>
      </c>
      <c r="H775" s="156">
        <v>0.0</v>
      </c>
      <c r="I775" s="154">
        <v>9.71506541018E11</v>
      </c>
      <c r="J775" s="156">
        <v>0.0</v>
      </c>
      <c r="K775" s="154" t="s">
        <v>197</v>
      </c>
    </row>
    <row r="776">
      <c r="A776" s="154" t="s">
        <v>2371</v>
      </c>
      <c r="B776" s="155"/>
      <c r="C776" s="154" t="s">
        <v>2372</v>
      </c>
      <c r="D776" s="155"/>
      <c r="E776" s="155"/>
      <c r="F776" s="154" t="s">
        <v>2373</v>
      </c>
      <c r="G776" s="156">
        <v>0.0</v>
      </c>
      <c r="H776" s="156">
        <v>0.0</v>
      </c>
      <c r="I776" s="154">
        <v>9.71505535635E11</v>
      </c>
      <c r="J776" s="156">
        <v>0.0</v>
      </c>
      <c r="K776" s="154" t="s">
        <v>361</v>
      </c>
    </row>
    <row r="777">
      <c r="A777" s="154" t="s">
        <v>2371</v>
      </c>
      <c r="B777" s="154" t="s">
        <v>2372</v>
      </c>
      <c r="C777" s="155"/>
      <c r="D777" s="154">
        <v>2.0</v>
      </c>
      <c r="E777" s="154" t="s">
        <v>897</v>
      </c>
      <c r="F777" s="154" t="s">
        <v>2373</v>
      </c>
      <c r="G777" s="156">
        <v>0.0</v>
      </c>
      <c r="H777" s="156">
        <v>0.0</v>
      </c>
      <c r="I777" s="154">
        <v>9.71505535635E11</v>
      </c>
      <c r="J777" s="156">
        <v>0.0</v>
      </c>
      <c r="K777" s="154" t="s">
        <v>361</v>
      </c>
    </row>
    <row r="778">
      <c r="A778" s="154" t="s">
        <v>2374</v>
      </c>
      <c r="B778" s="154" t="s">
        <v>2375</v>
      </c>
      <c r="C778" s="155"/>
      <c r="D778" s="154">
        <v>2.0</v>
      </c>
      <c r="E778" s="154" t="s">
        <v>897</v>
      </c>
      <c r="F778" s="154" t="s">
        <v>2376</v>
      </c>
      <c r="G778" s="156">
        <v>0.0</v>
      </c>
      <c r="H778" s="154" t="s">
        <v>2377</v>
      </c>
      <c r="I778" s="154" t="s">
        <v>2378</v>
      </c>
      <c r="J778" s="154" t="s">
        <v>809</v>
      </c>
      <c r="K778" s="154" t="s">
        <v>197</v>
      </c>
    </row>
    <row r="779">
      <c r="A779" s="154" t="s">
        <v>2374</v>
      </c>
      <c r="B779" s="155"/>
      <c r="C779" s="154" t="s">
        <v>2375</v>
      </c>
      <c r="D779" s="155"/>
      <c r="E779" s="155"/>
      <c r="F779" s="154" t="s">
        <v>2376</v>
      </c>
      <c r="G779" s="156">
        <v>0.0</v>
      </c>
      <c r="H779" s="154" t="s">
        <v>2377</v>
      </c>
      <c r="I779" s="154" t="s">
        <v>2378</v>
      </c>
      <c r="J779" s="154" t="s">
        <v>809</v>
      </c>
      <c r="K779" s="154" t="s">
        <v>197</v>
      </c>
    </row>
    <row r="780">
      <c r="A780" s="154" t="s">
        <v>2379</v>
      </c>
      <c r="B780" s="154" t="s">
        <v>2380</v>
      </c>
      <c r="C780" s="155"/>
      <c r="D780" s="154">
        <v>2.0</v>
      </c>
      <c r="E780" s="154" t="s">
        <v>897</v>
      </c>
      <c r="F780" s="154" t="s">
        <v>2381</v>
      </c>
      <c r="G780" s="156">
        <v>0.0</v>
      </c>
      <c r="H780" s="154" t="s">
        <v>2382</v>
      </c>
      <c r="I780" s="154" t="s">
        <v>2383</v>
      </c>
      <c r="J780" s="154" t="s">
        <v>2384</v>
      </c>
      <c r="K780" s="154" t="s">
        <v>197</v>
      </c>
    </row>
    <row r="781">
      <c r="A781" s="154" t="s">
        <v>2379</v>
      </c>
      <c r="B781" s="155"/>
      <c r="C781" s="154" t="s">
        <v>2380</v>
      </c>
      <c r="D781" s="155"/>
      <c r="E781" s="155"/>
      <c r="F781" s="154" t="s">
        <v>2385</v>
      </c>
      <c r="G781" s="154">
        <v>5.05527232E8</v>
      </c>
      <c r="H781" s="156">
        <v>0.0</v>
      </c>
      <c r="I781" s="154">
        <v>5.05527232E8</v>
      </c>
      <c r="J781" s="156">
        <v>0.0</v>
      </c>
      <c r="K781" s="154" t="s">
        <v>223</v>
      </c>
    </row>
    <row r="782">
      <c r="A782" s="154" t="s">
        <v>2386</v>
      </c>
      <c r="B782" s="155"/>
      <c r="C782" s="154" t="s">
        <v>2387</v>
      </c>
      <c r="D782" s="155"/>
      <c r="E782" s="155"/>
      <c r="F782" s="154" t="s">
        <v>2388</v>
      </c>
      <c r="G782" s="154">
        <v>0.0</v>
      </c>
      <c r="H782" s="156">
        <v>0.0</v>
      </c>
      <c r="I782" s="154">
        <v>0.0</v>
      </c>
      <c r="J782" s="156">
        <v>0.0</v>
      </c>
      <c r="K782" s="154" t="s">
        <v>818</v>
      </c>
    </row>
    <row r="783">
      <c r="A783" s="154" t="s">
        <v>2386</v>
      </c>
      <c r="B783" s="154" t="s">
        <v>2387</v>
      </c>
      <c r="C783" s="155"/>
      <c r="D783" s="154">
        <v>2.0</v>
      </c>
      <c r="E783" s="154" t="s">
        <v>897</v>
      </c>
      <c r="F783" s="154" t="s">
        <v>2389</v>
      </c>
      <c r="G783" s="154">
        <v>4.0</v>
      </c>
      <c r="H783" s="156">
        <v>0.0</v>
      </c>
      <c r="I783" s="154">
        <v>5.01116033E8</v>
      </c>
      <c r="J783" s="156">
        <v>0.0</v>
      </c>
      <c r="K783" s="154" t="s">
        <v>818</v>
      </c>
    </row>
    <row r="784">
      <c r="A784" s="154" t="s">
        <v>2390</v>
      </c>
      <c r="B784" s="154" t="s">
        <v>2391</v>
      </c>
      <c r="C784" s="155"/>
      <c r="D784" s="154">
        <v>2.0</v>
      </c>
      <c r="E784" s="154" t="s">
        <v>897</v>
      </c>
      <c r="F784" s="154" t="s">
        <v>2392</v>
      </c>
      <c r="G784" s="156">
        <v>0.0</v>
      </c>
      <c r="H784" s="154" t="s">
        <v>2393</v>
      </c>
      <c r="I784" s="154" t="s">
        <v>2394</v>
      </c>
      <c r="J784" s="156">
        <v>0.0</v>
      </c>
      <c r="K784" s="154" t="s">
        <v>2395</v>
      </c>
    </row>
    <row r="785">
      <c r="A785" s="154" t="s">
        <v>2390</v>
      </c>
      <c r="B785" s="155"/>
      <c r="C785" s="154" t="s">
        <v>2391</v>
      </c>
      <c r="D785" s="155"/>
      <c r="E785" s="155"/>
      <c r="F785" s="154" t="s">
        <v>2396</v>
      </c>
      <c r="G785" s="156">
        <v>0.0</v>
      </c>
      <c r="H785" s="154" t="s">
        <v>2393</v>
      </c>
      <c r="I785" s="154" t="s">
        <v>2394</v>
      </c>
      <c r="J785" s="156">
        <v>0.0</v>
      </c>
      <c r="K785" s="154" t="s">
        <v>2395</v>
      </c>
    </row>
    <row r="786">
      <c r="A786" s="154" t="s">
        <v>2397</v>
      </c>
      <c r="B786" s="155"/>
      <c r="C786" s="154" t="s">
        <v>2398</v>
      </c>
      <c r="D786" s="155"/>
      <c r="E786" s="155"/>
      <c r="F786" s="154" t="s">
        <v>2399</v>
      </c>
      <c r="G786" s="154">
        <v>4.30431E7</v>
      </c>
      <c r="H786" s="156">
        <v>0.0</v>
      </c>
      <c r="I786" s="154">
        <v>5.06258202E8</v>
      </c>
      <c r="J786" s="156">
        <v>0.0</v>
      </c>
      <c r="K786" s="154" t="s">
        <v>311</v>
      </c>
    </row>
    <row r="787">
      <c r="A787" s="154" t="s">
        <v>2397</v>
      </c>
      <c r="B787" s="154" t="s">
        <v>2398</v>
      </c>
      <c r="C787" s="155"/>
      <c r="D787" s="154">
        <v>2.0</v>
      </c>
      <c r="E787" s="154" t="s">
        <v>897</v>
      </c>
      <c r="F787" s="154" t="s">
        <v>2400</v>
      </c>
      <c r="G787" s="154">
        <v>4.3911111E7</v>
      </c>
      <c r="H787" s="156">
        <v>0.0</v>
      </c>
      <c r="I787" s="154">
        <v>5.06258202E8</v>
      </c>
      <c r="J787" s="156">
        <v>0.0</v>
      </c>
      <c r="K787" s="154" t="s">
        <v>311</v>
      </c>
    </row>
    <row r="788">
      <c r="A788" s="154" t="s">
        <v>2401</v>
      </c>
      <c r="B788" s="154" t="s">
        <v>2402</v>
      </c>
      <c r="C788" s="155"/>
      <c r="D788" s="154">
        <v>2.0</v>
      </c>
      <c r="E788" s="154" t="s">
        <v>897</v>
      </c>
      <c r="F788" s="154" t="s">
        <v>2403</v>
      </c>
      <c r="G788" s="156">
        <v>0.0</v>
      </c>
      <c r="H788" s="154" t="s">
        <v>2404</v>
      </c>
      <c r="I788" s="154">
        <v>6.581811077E9</v>
      </c>
      <c r="J788" s="156">
        <v>0.0</v>
      </c>
      <c r="K788" s="154" t="s">
        <v>1059</v>
      </c>
    </row>
    <row r="789">
      <c r="A789" s="154" t="s">
        <v>2401</v>
      </c>
      <c r="B789" s="155"/>
      <c r="C789" s="154" t="s">
        <v>2402</v>
      </c>
      <c r="D789" s="155"/>
      <c r="E789" s="155"/>
      <c r="F789" s="154" t="s">
        <v>2403</v>
      </c>
      <c r="G789" s="156">
        <v>0.0</v>
      </c>
      <c r="H789" s="154" t="s">
        <v>2404</v>
      </c>
      <c r="I789" s="154">
        <v>6.581811077E9</v>
      </c>
      <c r="J789" s="156">
        <v>0.0</v>
      </c>
      <c r="K789" s="154" t="s">
        <v>1059</v>
      </c>
    </row>
    <row r="790">
      <c r="A790" s="154" t="s">
        <v>2405</v>
      </c>
      <c r="B790" s="154" t="s">
        <v>2406</v>
      </c>
      <c r="C790" s="155"/>
      <c r="D790" s="154">
        <v>2.0</v>
      </c>
      <c r="E790" s="154" t="s">
        <v>897</v>
      </c>
      <c r="F790" s="154" t="s">
        <v>2407</v>
      </c>
      <c r="G790" s="154">
        <v>971.0</v>
      </c>
      <c r="H790" s="156">
        <v>0.0</v>
      </c>
      <c r="I790" s="154" t="s">
        <v>2408</v>
      </c>
      <c r="J790" s="154" t="s">
        <v>2409</v>
      </c>
      <c r="K790" s="154" t="s">
        <v>997</v>
      </c>
    </row>
    <row r="791">
      <c r="A791" s="154" t="s">
        <v>2405</v>
      </c>
      <c r="B791" s="155"/>
      <c r="C791" s="154" t="s">
        <v>2406</v>
      </c>
      <c r="D791" s="155"/>
      <c r="E791" s="155"/>
      <c r="F791" s="154" t="s">
        <v>2407</v>
      </c>
      <c r="G791" s="154">
        <v>971.0</v>
      </c>
      <c r="H791" s="156">
        <v>0.0</v>
      </c>
      <c r="I791" s="154" t="s">
        <v>2408</v>
      </c>
      <c r="J791" s="154" t="s">
        <v>2409</v>
      </c>
      <c r="K791" s="154" t="s">
        <v>997</v>
      </c>
    </row>
    <row r="792">
      <c r="A792" s="154" t="s">
        <v>2410</v>
      </c>
      <c r="B792" s="155"/>
      <c r="C792" s="154" t="s">
        <v>2411</v>
      </c>
      <c r="D792" s="155"/>
      <c r="E792" s="155"/>
      <c r="F792" s="154" t="s">
        <v>2412</v>
      </c>
      <c r="G792" s="154" t="s">
        <v>2413</v>
      </c>
      <c r="H792" s="154" t="s">
        <v>2414</v>
      </c>
      <c r="I792" s="154" t="s">
        <v>2415</v>
      </c>
      <c r="J792" s="154" t="s">
        <v>2413</v>
      </c>
      <c r="K792" s="154" t="s">
        <v>760</v>
      </c>
    </row>
    <row r="793">
      <c r="A793" s="154" t="s">
        <v>2410</v>
      </c>
      <c r="B793" s="154" t="s">
        <v>2411</v>
      </c>
      <c r="C793" s="155"/>
      <c r="D793" s="154">
        <v>2.0</v>
      </c>
      <c r="E793" s="154" t="s">
        <v>897</v>
      </c>
      <c r="F793" s="154" t="s">
        <v>2412</v>
      </c>
      <c r="G793" s="154" t="s">
        <v>2413</v>
      </c>
      <c r="H793" s="154" t="s">
        <v>2414</v>
      </c>
      <c r="I793" s="154" t="s">
        <v>2415</v>
      </c>
      <c r="J793" s="154" t="s">
        <v>2413</v>
      </c>
      <c r="K793" s="154" t="s">
        <v>760</v>
      </c>
    </row>
    <row r="794">
      <c r="A794" s="154" t="s">
        <v>2416</v>
      </c>
      <c r="B794" s="155"/>
      <c r="C794" s="154" t="s">
        <v>2417</v>
      </c>
      <c r="D794" s="155"/>
      <c r="E794" s="155"/>
      <c r="F794" s="154" t="s">
        <v>2418</v>
      </c>
      <c r="G794" s="154">
        <v>5.04428183E8</v>
      </c>
      <c r="H794" s="156">
        <v>0.0</v>
      </c>
      <c r="I794" s="156">
        <v>0.0</v>
      </c>
      <c r="J794" s="156">
        <v>0.0</v>
      </c>
      <c r="K794" s="154" t="s">
        <v>240</v>
      </c>
    </row>
    <row r="795">
      <c r="A795" s="154" t="s">
        <v>2416</v>
      </c>
      <c r="B795" s="154" t="s">
        <v>2417</v>
      </c>
      <c r="C795" s="155"/>
      <c r="D795" s="154">
        <v>2.0</v>
      </c>
      <c r="E795" s="154" t="s">
        <v>897</v>
      </c>
      <c r="F795" s="154" t="s">
        <v>2418</v>
      </c>
      <c r="G795" s="154">
        <v>5.04428183E8</v>
      </c>
      <c r="H795" s="156">
        <v>0.0</v>
      </c>
      <c r="I795" s="156">
        <v>0.0</v>
      </c>
      <c r="J795" s="156">
        <v>0.0</v>
      </c>
      <c r="K795" s="154" t="s">
        <v>240</v>
      </c>
    </row>
    <row r="796">
      <c r="A796" s="154" t="s">
        <v>2419</v>
      </c>
      <c r="B796" s="154" t="s">
        <v>2420</v>
      </c>
      <c r="C796" s="155"/>
      <c r="D796" s="154">
        <v>2.0</v>
      </c>
      <c r="E796" s="154" t="s">
        <v>897</v>
      </c>
      <c r="F796" s="154" t="s">
        <v>2421</v>
      </c>
      <c r="G796" s="154">
        <v>5.06671317E8</v>
      </c>
      <c r="H796" s="156">
        <v>0.0</v>
      </c>
      <c r="I796" s="154">
        <v>5.06671317E8</v>
      </c>
      <c r="J796" s="156">
        <v>0.0</v>
      </c>
      <c r="K796" s="154" t="s">
        <v>207</v>
      </c>
    </row>
    <row r="797">
      <c r="A797" s="154" t="s">
        <v>2419</v>
      </c>
      <c r="B797" s="155"/>
      <c r="C797" s="154" t="s">
        <v>2420</v>
      </c>
      <c r="D797" s="155"/>
      <c r="E797" s="155"/>
      <c r="F797" s="154" t="s">
        <v>2421</v>
      </c>
      <c r="G797" s="154">
        <v>5.06671317E8</v>
      </c>
      <c r="H797" s="156">
        <v>0.0</v>
      </c>
      <c r="I797" s="154">
        <v>5.06671317E8</v>
      </c>
      <c r="J797" s="156">
        <v>0.0</v>
      </c>
      <c r="K797" s="154" t="s">
        <v>207</v>
      </c>
    </row>
    <row r="798">
      <c r="A798" s="154" t="s">
        <v>2422</v>
      </c>
      <c r="B798" s="154" t="s">
        <v>2423</v>
      </c>
      <c r="C798" s="155"/>
      <c r="D798" s="154">
        <v>2.0</v>
      </c>
      <c r="E798" s="154" t="s">
        <v>897</v>
      </c>
      <c r="F798" s="154" t="s">
        <v>2424</v>
      </c>
      <c r="G798" s="156">
        <v>0.0</v>
      </c>
      <c r="H798" s="156">
        <v>0.0</v>
      </c>
      <c r="I798" s="154" t="s">
        <v>918</v>
      </c>
      <c r="J798" s="156">
        <v>0.0</v>
      </c>
      <c r="K798" s="154" t="s">
        <v>1461</v>
      </c>
    </row>
    <row r="799">
      <c r="A799" s="154" t="s">
        <v>2422</v>
      </c>
      <c r="B799" s="155"/>
      <c r="C799" s="154" t="s">
        <v>2423</v>
      </c>
      <c r="D799" s="155"/>
      <c r="E799" s="155"/>
      <c r="F799" s="154" t="s">
        <v>2424</v>
      </c>
      <c r="G799" s="156">
        <v>0.0</v>
      </c>
      <c r="H799" s="156">
        <v>0.0</v>
      </c>
      <c r="I799" s="154" t="s">
        <v>918</v>
      </c>
      <c r="J799" s="156">
        <v>0.0</v>
      </c>
      <c r="K799" s="154" t="s">
        <v>1461</v>
      </c>
    </row>
    <row r="800">
      <c r="A800" s="154" t="s">
        <v>2425</v>
      </c>
      <c r="B800" s="155"/>
      <c r="C800" s="154" t="s">
        <v>2426</v>
      </c>
      <c r="D800" s="155"/>
      <c r="E800" s="155"/>
      <c r="F800" s="154" t="s">
        <v>2427</v>
      </c>
      <c r="G800" s="154">
        <v>4.5082097E7</v>
      </c>
      <c r="H800" s="156">
        <v>0.0</v>
      </c>
      <c r="I800" s="154">
        <v>9.71505547599E11</v>
      </c>
      <c r="J800" s="156">
        <v>0.0</v>
      </c>
      <c r="K800" s="154" t="s">
        <v>361</v>
      </c>
    </row>
    <row r="801">
      <c r="A801" s="154" t="s">
        <v>2425</v>
      </c>
      <c r="B801" s="154" t="s">
        <v>2426</v>
      </c>
      <c r="C801" s="155"/>
      <c r="D801" s="154">
        <v>2.0</v>
      </c>
      <c r="E801" s="154" t="s">
        <v>897</v>
      </c>
      <c r="F801" s="154" t="s">
        <v>2427</v>
      </c>
      <c r="G801" s="154">
        <v>4.5082097E7</v>
      </c>
      <c r="H801" s="156">
        <v>0.0</v>
      </c>
      <c r="I801" s="154">
        <v>9.71505547599E11</v>
      </c>
      <c r="J801" s="156">
        <v>0.0</v>
      </c>
      <c r="K801" s="154" t="s">
        <v>361</v>
      </c>
    </row>
    <row r="802">
      <c r="A802" s="154" t="s">
        <v>2428</v>
      </c>
      <c r="B802" s="154" t="s">
        <v>2429</v>
      </c>
      <c r="C802" s="155"/>
      <c r="D802" s="154">
        <v>2.0</v>
      </c>
      <c r="E802" s="154" t="s">
        <v>1237</v>
      </c>
      <c r="F802" s="154" t="s">
        <v>2430</v>
      </c>
      <c r="G802" s="156">
        <v>0.0</v>
      </c>
      <c r="H802" s="154" t="s">
        <v>2431</v>
      </c>
      <c r="I802" s="154" t="s">
        <v>2432</v>
      </c>
      <c r="J802" s="154" t="s">
        <v>809</v>
      </c>
      <c r="K802" s="154" t="s">
        <v>1731</v>
      </c>
    </row>
    <row r="803">
      <c r="A803" s="154" t="s">
        <v>2428</v>
      </c>
      <c r="B803" s="155"/>
      <c r="C803" s="154" t="s">
        <v>2429</v>
      </c>
      <c r="D803" s="155"/>
      <c r="E803" s="155"/>
      <c r="F803" s="154" t="s">
        <v>2430</v>
      </c>
      <c r="G803" s="156">
        <v>0.0</v>
      </c>
      <c r="H803" s="154" t="s">
        <v>2431</v>
      </c>
      <c r="I803" s="154" t="s">
        <v>2432</v>
      </c>
      <c r="J803" s="154" t="s">
        <v>809</v>
      </c>
      <c r="K803" s="154" t="s">
        <v>1731</v>
      </c>
    </row>
    <row r="804">
      <c r="A804" s="154" t="s">
        <v>2433</v>
      </c>
      <c r="B804" s="155"/>
      <c r="C804" s="154" t="s">
        <v>2434</v>
      </c>
      <c r="D804" s="155"/>
      <c r="E804" s="155"/>
      <c r="F804" s="154" t="s">
        <v>2435</v>
      </c>
      <c r="G804" s="156">
        <v>0.0</v>
      </c>
      <c r="H804" s="156">
        <v>0.0</v>
      </c>
      <c r="I804" s="154" t="s">
        <v>2436</v>
      </c>
      <c r="J804" s="154" t="s">
        <v>2437</v>
      </c>
      <c r="K804" s="154" t="s">
        <v>361</v>
      </c>
    </row>
    <row r="805">
      <c r="A805" s="154" t="s">
        <v>2433</v>
      </c>
      <c r="B805" s="154" t="s">
        <v>2434</v>
      </c>
      <c r="C805" s="155"/>
      <c r="D805" s="154">
        <v>2.0</v>
      </c>
      <c r="E805" s="154" t="s">
        <v>1237</v>
      </c>
      <c r="F805" s="154" t="s">
        <v>2438</v>
      </c>
      <c r="G805" s="156">
        <v>0.0</v>
      </c>
      <c r="H805" s="156">
        <v>0.0</v>
      </c>
      <c r="I805" s="154" t="s">
        <v>2439</v>
      </c>
      <c r="J805" s="154" t="s">
        <v>2440</v>
      </c>
      <c r="K805" s="154" t="s">
        <v>361</v>
      </c>
    </row>
    <row r="806">
      <c r="A806" s="154" t="s">
        <v>2441</v>
      </c>
      <c r="B806" s="154" t="s">
        <v>2442</v>
      </c>
      <c r="C806" s="155"/>
      <c r="D806" s="154">
        <v>2.0</v>
      </c>
      <c r="E806" s="154" t="s">
        <v>1237</v>
      </c>
      <c r="F806" s="154" t="s">
        <v>2443</v>
      </c>
      <c r="G806" s="154">
        <v>4.2045959E7</v>
      </c>
      <c r="H806" s="156">
        <v>0.0</v>
      </c>
      <c r="I806" s="154">
        <v>9.71506533894E11</v>
      </c>
      <c r="J806" s="154">
        <v>9.71506533894E11</v>
      </c>
      <c r="K806" s="154" t="s">
        <v>760</v>
      </c>
    </row>
    <row r="807">
      <c r="A807" s="154" t="s">
        <v>2441</v>
      </c>
      <c r="B807" s="155"/>
      <c r="C807" s="154" t="s">
        <v>2442</v>
      </c>
      <c r="D807" s="155"/>
      <c r="E807" s="155"/>
      <c r="F807" s="154" t="s">
        <v>2444</v>
      </c>
      <c r="G807" s="156">
        <v>0.0</v>
      </c>
      <c r="H807" s="156">
        <v>0.0</v>
      </c>
      <c r="I807" s="154" t="s">
        <v>2445</v>
      </c>
      <c r="J807" s="154" t="s">
        <v>2446</v>
      </c>
      <c r="K807" s="154" t="s">
        <v>760</v>
      </c>
    </row>
    <row r="808">
      <c r="A808" s="154" t="s">
        <v>2447</v>
      </c>
      <c r="B808" s="154" t="s">
        <v>2448</v>
      </c>
      <c r="C808" s="155"/>
      <c r="D808" s="154">
        <v>2.0</v>
      </c>
      <c r="E808" s="154" t="s">
        <v>1237</v>
      </c>
      <c r="F808" s="154" t="s">
        <v>2449</v>
      </c>
      <c r="G808" s="156">
        <v>0.0</v>
      </c>
      <c r="H808" s="154" t="s">
        <v>2450</v>
      </c>
      <c r="I808" s="154" t="s">
        <v>2451</v>
      </c>
      <c r="J808" s="154" t="s">
        <v>2452</v>
      </c>
      <c r="K808" s="154" t="s">
        <v>846</v>
      </c>
    </row>
    <row r="809">
      <c r="A809" s="154" t="s">
        <v>2447</v>
      </c>
      <c r="B809" s="155"/>
      <c r="C809" s="154" t="s">
        <v>2448</v>
      </c>
      <c r="D809" s="155"/>
      <c r="E809" s="155"/>
      <c r="F809" s="154" t="s">
        <v>2449</v>
      </c>
      <c r="G809" s="156">
        <v>0.0</v>
      </c>
      <c r="H809" s="154" t="s">
        <v>2450</v>
      </c>
      <c r="I809" s="154" t="s">
        <v>2451</v>
      </c>
      <c r="J809" s="154" t="s">
        <v>2452</v>
      </c>
      <c r="K809" s="154" t="s">
        <v>846</v>
      </c>
    </row>
    <row r="810">
      <c r="A810" s="154" t="s">
        <v>2453</v>
      </c>
      <c r="B810" s="154" t="s">
        <v>2454</v>
      </c>
      <c r="C810" s="155"/>
      <c r="D810" s="154">
        <v>2.0</v>
      </c>
      <c r="E810" s="154" t="s">
        <v>1237</v>
      </c>
      <c r="F810" s="154" t="s">
        <v>2455</v>
      </c>
      <c r="G810" s="154">
        <v>4.2733939E7</v>
      </c>
      <c r="H810" s="156">
        <v>0.0</v>
      </c>
      <c r="I810" s="154">
        <v>5.05580966E8</v>
      </c>
      <c r="J810" s="156">
        <v>0.0</v>
      </c>
      <c r="K810" s="154" t="s">
        <v>846</v>
      </c>
    </row>
    <row r="811">
      <c r="A811" s="154" t="s">
        <v>2453</v>
      </c>
      <c r="B811" s="155"/>
      <c r="C811" s="154" t="s">
        <v>2454</v>
      </c>
      <c r="D811" s="155"/>
      <c r="E811" s="155"/>
      <c r="F811" s="154" t="s">
        <v>2455</v>
      </c>
      <c r="G811" s="154">
        <v>4.2733939E7</v>
      </c>
      <c r="H811" s="156">
        <v>0.0</v>
      </c>
      <c r="I811" s="154">
        <v>5.05580966E8</v>
      </c>
      <c r="J811" s="156">
        <v>0.0</v>
      </c>
      <c r="K811" s="154" t="s">
        <v>846</v>
      </c>
    </row>
    <row r="812">
      <c r="A812" s="154" t="s">
        <v>2456</v>
      </c>
      <c r="B812" s="155"/>
      <c r="C812" s="154" t="s">
        <v>2457</v>
      </c>
      <c r="D812" s="155"/>
      <c r="E812" s="155"/>
      <c r="F812" s="154" t="s">
        <v>2342</v>
      </c>
      <c r="G812" s="154">
        <v>4.2665866E7</v>
      </c>
      <c r="H812" s="156">
        <v>0.0</v>
      </c>
      <c r="I812" s="154">
        <v>5.04522572E8</v>
      </c>
      <c r="J812" s="156">
        <v>0.0</v>
      </c>
      <c r="K812" s="154" t="s">
        <v>846</v>
      </c>
    </row>
    <row r="813">
      <c r="A813" s="154" t="s">
        <v>2456</v>
      </c>
      <c r="B813" s="154" t="s">
        <v>2457</v>
      </c>
      <c r="C813" s="155"/>
      <c r="D813" s="154">
        <v>2.0</v>
      </c>
      <c r="E813" s="154" t="s">
        <v>1237</v>
      </c>
      <c r="F813" s="154" t="s">
        <v>2342</v>
      </c>
      <c r="G813" s="154">
        <v>4.2665866E7</v>
      </c>
      <c r="H813" s="156">
        <v>0.0</v>
      </c>
      <c r="I813" s="154">
        <v>5.04522572E8</v>
      </c>
      <c r="J813" s="156">
        <v>0.0</v>
      </c>
      <c r="K813" s="154" t="s">
        <v>846</v>
      </c>
    </row>
    <row r="814">
      <c r="A814" s="154" t="s">
        <v>2458</v>
      </c>
      <c r="B814" s="155"/>
      <c r="C814" s="154" t="s">
        <v>2459</v>
      </c>
      <c r="D814" s="155"/>
      <c r="E814" s="155"/>
      <c r="F814" s="154" t="s">
        <v>2460</v>
      </c>
      <c r="G814" s="154" t="s">
        <v>2461</v>
      </c>
      <c r="H814" s="154" t="s">
        <v>2462</v>
      </c>
      <c r="I814" s="154" t="s">
        <v>2463</v>
      </c>
      <c r="J814" s="156">
        <v>0.0</v>
      </c>
      <c r="K814" s="154" t="s">
        <v>361</v>
      </c>
    </row>
    <row r="815">
      <c r="A815" s="154" t="s">
        <v>2458</v>
      </c>
      <c r="B815" s="154" t="s">
        <v>2459</v>
      </c>
      <c r="C815" s="155"/>
      <c r="D815" s="154">
        <v>2.0</v>
      </c>
      <c r="E815" s="154" t="s">
        <v>1237</v>
      </c>
      <c r="F815" s="154" t="s">
        <v>2460</v>
      </c>
      <c r="G815" s="154" t="s">
        <v>2461</v>
      </c>
      <c r="H815" s="154" t="s">
        <v>2462</v>
      </c>
      <c r="I815" s="154" t="s">
        <v>2463</v>
      </c>
      <c r="J815" s="156">
        <v>0.0</v>
      </c>
      <c r="K815" s="154" t="s">
        <v>361</v>
      </c>
    </row>
    <row r="816">
      <c r="A816" s="154" t="s">
        <v>2464</v>
      </c>
      <c r="B816" s="155"/>
      <c r="C816" s="154" t="s">
        <v>2465</v>
      </c>
      <c r="D816" s="155"/>
      <c r="E816" s="155"/>
      <c r="F816" s="154" t="s">
        <v>2466</v>
      </c>
      <c r="G816" s="154" t="s">
        <v>2467</v>
      </c>
      <c r="H816" s="156">
        <v>0.0</v>
      </c>
      <c r="I816" s="154" t="s">
        <v>2468</v>
      </c>
      <c r="J816" s="156">
        <v>0.0</v>
      </c>
      <c r="K816" s="154" t="s">
        <v>760</v>
      </c>
    </row>
    <row r="817">
      <c r="A817" s="154" t="s">
        <v>2464</v>
      </c>
      <c r="B817" s="154" t="s">
        <v>2465</v>
      </c>
      <c r="C817" s="155"/>
      <c r="D817" s="154">
        <v>2.0</v>
      </c>
      <c r="E817" s="154" t="s">
        <v>1237</v>
      </c>
      <c r="F817" s="154" t="s">
        <v>2466</v>
      </c>
      <c r="G817" s="154" t="s">
        <v>2467</v>
      </c>
      <c r="H817" s="156">
        <v>0.0</v>
      </c>
      <c r="I817" s="154" t="s">
        <v>2468</v>
      </c>
      <c r="J817" s="156">
        <v>0.0</v>
      </c>
      <c r="K817" s="154" t="s">
        <v>760</v>
      </c>
    </row>
    <row r="818">
      <c r="A818" s="154" t="s">
        <v>2469</v>
      </c>
      <c r="B818" s="155"/>
      <c r="C818" s="154" t="s">
        <v>2470</v>
      </c>
      <c r="D818" s="155"/>
      <c r="E818" s="155"/>
      <c r="F818" s="154" t="s">
        <v>2471</v>
      </c>
      <c r="G818" s="156">
        <v>0.0</v>
      </c>
      <c r="H818" s="154" t="s">
        <v>2472</v>
      </c>
      <c r="I818" s="154">
        <v>4.3337798E7</v>
      </c>
      <c r="J818" s="156">
        <v>0.0</v>
      </c>
      <c r="K818" s="154" t="s">
        <v>361</v>
      </c>
    </row>
    <row r="819">
      <c r="A819" s="154" t="s">
        <v>2469</v>
      </c>
      <c r="B819" s="154" t="s">
        <v>2470</v>
      </c>
      <c r="C819" s="155"/>
      <c r="D819" s="154">
        <v>2.0</v>
      </c>
      <c r="E819" s="154" t="s">
        <v>1237</v>
      </c>
      <c r="F819" s="154" t="s">
        <v>2471</v>
      </c>
      <c r="G819" s="156">
        <v>0.0</v>
      </c>
      <c r="H819" s="154" t="s">
        <v>2472</v>
      </c>
      <c r="I819" s="154">
        <v>4.3337798E7</v>
      </c>
      <c r="J819" s="156">
        <v>0.0</v>
      </c>
      <c r="K819" s="154" t="s">
        <v>361</v>
      </c>
    </row>
    <row r="820">
      <c r="A820" s="154" t="s">
        <v>2473</v>
      </c>
      <c r="B820" s="154" t="s">
        <v>2474</v>
      </c>
      <c r="C820" s="155"/>
      <c r="D820" s="154">
        <v>2.0</v>
      </c>
      <c r="E820" s="154" t="s">
        <v>1237</v>
      </c>
      <c r="F820" s="154" t="s">
        <v>2475</v>
      </c>
      <c r="G820" s="154">
        <v>4.3337798E7</v>
      </c>
      <c r="H820" s="156">
        <v>0.0</v>
      </c>
      <c r="I820" s="154">
        <v>9.7150458176E11</v>
      </c>
      <c r="J820" s="156">
        <v>0.0</v>
      </c>
      <c r="K820" s="154" t="s">
        <v>361</v>
      </c>
    </row>
    <row r="821">
      <c r="A821" s="154" t="s">
        <v>2473</v>
      </c>
      <c r="B821" s="155"/>
      <c r="C821" s="154" t="s">
        <v>2474</v>
      </c>
      <c r="D821" s="155"/>
      <c r="E821" s="155"/>
      <c r="F821" s="154" t="s">
        <v>2475</v>
      </c>
      <c r="G821" s="154">
        <v>4.3337798E7</v>
      </c>
      <c r="H821" s="156">
        <v>0.0</v>
      </c>
      <c r="I821" s="154">
        <v>9.7150458176E11</v>
      </c>
      <c r="J821" s="156">
        <v>0.0</v>
      </c>
      <c r="K821" s="154" t="s">
        <v>361</v>
      </c>
    </row>
    <row r="822">
      <c r="A822" s="154" t="s">
        <v>2476</v>
      </c>
      <c r="B822" s="154" t="s">
        <v>2477</v>
      </c>
      <c r="C822" s="155"/>
      <c r="D822" s="154">
        <v>2.0</v>
      </c>
      <c r="E822" s="154" t="s">
        <v>1237</v>
      </c>
      <c r="F822" s="154" t="s">
        <v>2478</v>
      </c>
      <c r="G822" s="156">
        <v>0.0</v>
      </c>
      <c r="H822" s="154" t="s">
        <v>2479</v>
      </c>
      <c r="I822" s="154" t="s">
        <v>2480</v>
      </c>
      <c r="J822" s="154" t="s">
        <v>2481</v>
      </c>
      <c r="K822" s="154" t="s">
        <v>361</v>
      </c>
    </row>
    <row r="823">
      <c r="A823" s="154" t="s">
        <v>2476</v>
      </c>
      <c r="B823" s="155"/>
      <c r="C823" s="154" t="s">
        <v>2477</v>
      </c>
      <c r="D823" s="155"/>
      <c r="E823" s="155"/>
      <c r="F823" s="154" t="s">
        <v>2478</v>
      </c>
      <c r="G823" s="156">
        <v>0.0</v>
      </c>
      <c r="H823" s="154" t="s">
        <v>2479</v>
      </c>
      <c r="I823" s="154" t="s">
        <v>2480</v>
      </c>
      <c r="J823" s="154" t="s">
        <v>2481</v>
      </c>
      <c r="K823" s="154" t="s">
        <v>361</v>
      </c>
    </row>
    <row r="824">
      <c r="A824" s="154" t="s">
        <v>2482</v>
      </c>
      <c r="B824" s="155"/>
      <c r="C824" s="154" t="s">
        <v>2483</v>
      </c>
      <c r="D824" s="155"/>
      <c r="E824" s="155"/>
      <c r="F824" s="154" t="s">
        <v>2484</v>
      </c>
      <c r="G824" s="154">
        <v>4.3402515E7</v>
      </c>
      <c r="H824" s="156">
        <v>0.0</v>
      </c>
      <c r="I824" s="154">
        <v>9.71506240107E11</v>
      </c>
      <c r="J824" s="156">
        <v>0.0</v>
      </c>
      <c r="K824" s="154" t="s">
        <v>361</v>
      </c>
    </row>
    <row r="825">
      <c r="A825" s="154" t="s">
        <v>2482</v>
      </c>
      <c r="B825" s="154" t="s">
        <v>2483</v>
      </c>
      <c r="C825" s="155"/>
      <c r="D825" s="154">
        <v>2.0</v>
      </c>
      <c r="E825" s="154" t="s">
        <v>1237</v>
      </c>
      <c r="F825" s="154" t="s">
        <v>2485</v>
      </c>
      <c r="G825" s="156">
        <v>0.0</v>
      </c>
      <c r="H825" s="156">
        <v>0.0</v>
      </c>
      <c r="I825" s="154" t="s">
        <v>2486</v>
      </c>
      <c r="J825" s="154" t="s">
        <v>2487</v>
      </c>
      <c r="K825" s="154" t="s">
        <v>361</v>
      </c>
    </row>
    <row r="826">
      <c r="A826" s="154" t="s">
        <v>2488</v>
      </c>
      <c r="B826" s="155"/>
      <c r="C826" s="154" t="s">
        <v>2489</v>
      </c>
      <c r="D826" s="155"/>
      <c r="E826" s="155"/>
      <c r="F826" s="154" t="s">
        <v>2490</v>
      </c>
      <c r="G826" s="156">
        <v>0.0</v>
      </c>
      <c r="H826" s="156">
        <v>0.0</v>
      </c>
      <c r="I826" s="154" t="s">
        <v>2491</v>
      </c>
      <c r="J826" s="154" t="s">
        <v>2492</v>
      </c>
      <c r="K826" s="154" t="s">
        <v>240</v>
      </c>
    </row>
    <row r="827">
      <c r="A827" s="154" t="s">
        <v>2488</v>
      </c>
      <c r="B827" s="154" t="s">
        <v>2489</v>
      </c>
      <c r="C827" s="155"/>
      <c r="D827" s="154">
        <v>2.0</v>
      </c>
      <c r="E827" s="154" t="s">
        <v>1237</v>
      </c>
      <c r="F827" s="154" t="s">
        <v>2490</v>
      </c>
      <c r="G827" s="156">
        <v>0.0</v>
      </c>
      <c r="H827" s="156">
        <v>0.0</v>
      </c>
      <c r="I827" s="154" t="s">
        <v>2491</v>
      </c>
      <c r="J827" s="154" t="s">
        <v>2492</v>
      </c>
      <c r="K827" s="154" t="s">
        <v>240</v>
      </c>
    </row>
    <row r="828">
      <c r="A828" s="154" t="s">
        <v>2493</v>
      </c>
      <c r="B828" s="154" t="s">
        <v>2494</v>
      </c>
      <c r="C828" s="155"/>
      <c r="D828" s="154">
        <v>2.0</v>
      </c>
      <c r="E828" s="154" t="s">
        <v>1237</v>
      </c>
      <c r="F828" s="154" t="s">
        <v>2495</v>
      </c>
      <c r="G828" s="154">
        <v>971.0</v>
      </c>
      <c r="H828" s="156">
        <v>0.0</v>
      </c>
      <c r="I828" s="154" t="s">
        <v>2496</v>
      </c>
      <c r="J828" s="154" t="s">
        <v>2497</v>
      </c>
      <c r="K828" s="154" t="s">
        <v>2498</v>
      </c>
    </row>
    <row r="829">
      <c r="A829" s="154" t="s">
        <v>2493</v>
      </c>
      <c r="B829" s="155"/>
      <c r="C829" s="154" t="s">
        <v>2494</v>
      </c>
      <c r="D829" s="155"/>
      <c r="E829" s="155"/>
      <c r="F829" s="154" t="s">
        <v>2495</v>
      </c>
      <c r="G829" s="154">
        <v>971.0</v>
      </c>
      <c r="H829" s="156">
        <v>0.0</v>
      </c>
      <c r="I829" s="154" t="s">
        <v>2496</v>
      </c>
      <c r="J829" s="154" t="s">
        <v>2497</v>
      </c>
      <c r="K829" s="154" t="s">
        <v>2498</v>
      </c>
    </row>
    <row r="830">
      <c r="A830" s="154" t="s">
        <v>2499</v>
      </c>
      <c r="B830" s="155"/>
      <c r="C830" s="154" t="s">
        <v>2500</v>
      </c>
      <c r="D830" s="155"/>
      <c r="E830" s="155"/>
      <c r="F830" s="154" t="s">
        <v>2501</v>
      </c>
      <c r="G830" s="154">
        <v>9.665065523E11</v>
      </c>
      <c r="H830" s="156">
        <v>0.0</v>
      </c>
      <c r="I830" s="154">
        <v>9.66506858157E11</v>
      </c>
      <c r="J830" s="156">
        <v>0.0</v>
      </c>
      <c r="K830" s="154" t="s">
        <v>914</v>
      </c>
    </row>
    <row r="831">
      <c r="A831" s="154" t="s">
        <v>2499</v>
      </c>
      <c r="B831" s="154" t="s">
        <v>2500</v>
      </c>
      <c r="C831" s="155"/>
      <c r="D831" s="154">
        <v>2.0</v>
      </c>
      <c r="E831" s="154" t="s">
        <v>1237</v>
      </c>
      <c r="F831" s="154" t="s">
        <v>2501</v>
      </c>
      <c r="G831" s="154">
        <v>9.665065523E11</v>
      </c>
      <c r="H831" s="156">
        <v>0.0</v>
      </c>
      <c r="I831" s="154">
        <v>9.66506858157E11</v>
      </c>
      <c r="J831" s="156">
        <v>0.0</v>
      </c>
      <c r="K831" s="154" t="s">
        <v>914</v>
      </c>
    </row>
    <row r="832">
      <c r="A832" s="154" t="s">
        <v>2502</v>
      </c>
      <c r="B832" s="155"/>
      <c r="C832" s="154" t="s">
        <v>2503</v>
      </c>
      <c r="D832" s="155"/>
      <c r="E832" s="155"/>
      <c r="F832" s="154" t="s">
        <v>2504</v>
      </c>
      <c r="G832" s="156">
        <v>0.0</v>
      </c>
      <c r="H832" s="154" t="s">
        <v>2505</v>
      </c>
      <c r="I832" s="154" t="s">
        <v>853</v>
      </c>
      <c r="J832" s="156">
        <v>0.0</v>
      </c>
      <c r="K832" s="154" t="s">
        <v>361</v>
      </c>
    </row>
    <row r="833">
      <c r="A833" s="154" t="s">
        <v>2502</v>
      </c>
      <c r="B833" s="154" t="s">
        <v>2503</v>
      </c>
      <c r="C833" s="155"/>
      <c r="D833" s="154">
        <v>2.0</v>
      </c>
      <c r="E833" s="154" t="s">
        <v>1237</v>
      </c>
      <c r="F833" s="154" t="s">
        <v>2504</v>
      </c>
      <c r="G833" s="156">
        <v>0.0</v>
      </c>
      <c r="H833" s="154" t="s">
        <v>2505</v>
      </c>
      <c r="I833" s="154" t="s">
        <v>853</v>
      </c>
      <c r="J833" s="156">
        <v>0.0</v>
      </c>
      <c r="K833" s="154" t="s">
        <v>361</v>
      </c>
    </row>
    <row r="834">
      <c r="A834" s="154" t="s">
        <v>2506</v>
      </c>
      <c r="B834" s="154" t="s">
        <v>2507</v>
      </c>
      <c r="C834" s="155"/>
      <c r="D834" s="154">
        <v>2.0</v>
      </c>
      <c r="E834" s="154" t="s">
        <v>1237</v>
      </c>
      <c r="F834" s="154" t="s">
        <v>2508</v>
      </c>
      <c r="G834" s="154">
        <v>5.59993989E8</v>
      </c>
      <c r="H834" s="156">
        <v>0.0</v>
      </c>
      <c r="I834" s="154">
        <v>5.59993989E8</v>
      </c>
      <c r="J834" s="156">
        <v>0.0</v>
      </c>
      <c r="K834" s="154" t="s">
        <v>361</v>
      </c>
    </row>
    <row r="835">
      <c r="A835" s="154" t="s">
        <v>2506</v>
      </c>
      <c r="B835" s="155"/>
      <c r="C835" s="154" t="s">
        <v>2507</v>
      </c>
      <c r="D835" s="155"/>
      <c r="E835" s="155"/>
      <c r="F835" s="154" t="s">
        <v>2509</v>
      </c>
      <c r="G835" s="154" t="s">
        <v>2510</v>
      </c>
      <c r="H835" s="156">
        <v>0.0</v>
      </c>
      <c r="I835" s="154" t="s">
        <v>2511</v>
      </c>
      <c r="J835" s="154" t="s">
        <v>809</v>
      </c>
      <c r="K835" s="154" t="s">
        <v>361</v>
      </c>
    </row>
    <row r="836">
      <c r="A836" s="154" t="s">
        <v>2512</v>
      </c>
      <c r="B836" s="155"/>
      <c r="C836" s="154" t="s">
        <v>2513</v>
      </c>
      <c r="D836" s="155"/>
      <c r="E836" s="155"/>
      <c r="F836" s="154" t="s">
        <v>2514</v>
      </c>
      <c r="G836" s="154">
        <v>9.2333525231E11</v>
      </c>
      <c r="H836" s="154" t="s">
        <v>2515</v>
      </c>
      <c r="I836" s="154">
        <v>0.0</v>
      </c>
      <c r="J836" s="156">
        <v>0.0</v>
      </c>
      <c r="K836" s="154" t="s">
        <v>760</v>
      </c>
    </row>
    <row r="837">
      <c r="A837" s="154" t="s">
        <v>2512</v>
      </c>
      <c r="B837" s="154" t="s">
        <v>2513</v>
      </c>
      <c r="C837" s="155"/>
      <c r="D837" s="154">
        <v>2.0</v>
      </c>
      <c r="E837" s="154" t="s">
        <v>897</v>
      </c>
      <c r="F837" s="154" t="s">
        <v>2514</v>
      </c>
      <c r="G837" s="154">
        <v>9.2333525231E11</v>
      </c>
      <c r="H837" s="154" t="s">
        <v>2515</v>
      </c>
      <c r="I837" s="154">
        <v>0.0</v>
      </c>
      <c r="J837" s="156">
        <v>0.0</v>
      </c>
      <c r="K837" s="154" t="s">
        <v>760</v>
      </c>
    </row>
    <row r="838">
      <c r="A838" s="154" t="s">
        <v>2516</v>
      </c>
      <c r="B838" s="154" t="s">
        <v>2517</v>
      </c>
      <c r="D838" s="154">
        <v>2.0</v>
      </c>
      <c r="E838" s="154" t="s">
        <v>761</v>
      </c>
      <c r="F838" s="154" t="s">
        <v>2518</v>
      </c>
      <c r="G838" s="156">
        <v>0.0</v>
      </c>
      <c r="H838" s="156">
        <v>0.0</v>
      </c>
      <c r="I838" s="156">
        <v>0.0</v>
      </c>
      <c r="J838" s="154" t="s">
        <v>2519</v>
      </c>
      <c r="K838" s="154" t="s">
        <v>259</v>
      </c>
    </row>
    <row r="839">
      <c r="A839" s="154" t="s">
        <v>2516</v>
      </c>
      <c r="B839" s="155"/>
      <c r="C839" s="154" t="s">
        <v>2517</v>
      </c>
      <c r="D839" s="155"/>
      <c r="E839" s="155"/>
      <c r="F839" s="154" t="s">
        <v>2518</v>
      </c>
      <c r="G839" s="156">
        <v>0.0</v>
      </c>
      <c r="H839" s="156">
        <v>0.0</v>
      </c>
      <c r="I839" s="156">
        <v>0.0</v>
      </c>
      <c r="J839" s="154" t="s">
        <v>2519</v>
      </c>
      <c r="K839" s="154" t="s">
        <v>259</v>
      </c>
    </row>
    <row r="840">
      <c r="A840" s="154" t="s">
        <v>2520</v>
      </c>
      <c r="B840" s="154" t="s">
        <v>2521</v>
      </c>
      <c r="D840" s="154">
        <v>2.0</v>
      </c>
      <c r="E840" s="154" t="s">
        <v>761</v>
      </c>
      <c r="F840" s="154" t="s">
        <v>2522</v>
      </c>
      <c r="G840" s="154" t="s">
        <v>2523</v>
      </c>
      <c r="H840" s="156">
        <v>0.0</v>
      </c>
      <c r="I840" s="154">
        <v>9.71506461317E11</v>
      </c>
      <c r="J840" s="156">
        <v>0.0</v>
      </c>
      <c r="K840" s="154" t="s">
        <v>361</v>
      </c>
    </row>
    <row r="841">
      <c r="A841" s="154" t="s">
        <v>2520</v>
      </c>
      <c r="B841" s="155"/>
      <c r="C841" s="154" t="s">
        <v>2521</v>
      </c>
      <c r="D841" s="155"/>
      <c r="E841" s="155"/>
      <c r="F841" s="154" t="s">
        <v>2522</v>
      </c>
      <c r="G841" s="154" t="s">
        <v>2523</v>
      </c>
      <c r="H841" s="156">
        <v>0.0</v>
      </c>
      <c r="I841" s="154">
        <v>9.71506461317E11</v>
      </c>
      <c r="J841" s="156">
        <v>0.0</v>
      </c>
      <c r="K841" s="154" t="s">
        <v>361</v>
      </c>
    </row>
    <row r="842">
      <c r="A842" s="154" t="s">
        <v>2524</v>
      </c>
      <c r="B842" s="154" t="s">
        <v>2525</v>
      </c>
      <c r="D842" s="154">
        <v>2.0</v>
      </c>
      <c r="E842" s="154" t="s">
        <v>761</v>
      </c>
      <c r="F842" s="154" t="s">
        <v>2526</v>
      </c>
      <c r="G842" s="156">
        <v>0.0</v>
      </c>
      <c r="H842" s="156">
        <v>0.0</v>
      </c>
      <c r="I842" s="154" t="s">
        <v>2527</v>
      </c>
      <c r="J842" s="154" t="s">
        <v>2528</v>
      </c>
      <c r="K842" s="154" t="s">
        <v>259</v>
      </c>
    </row>
    <row r="843">
      <c r="A843" s="154" t="s">
        <v>2524</v>
      </c>
      <c r="B843" s="155"/>
      <c r="C843" s="154" t="s">
        <v>2525</v>
      </c>
      <c r="D843" s="155"/>
      <c r="E843" s="155"/>
      <c r="F843" s="154" t="s">
        <v>2529</v>
      </c>
      <c r="G843" s="156">
        <v>0.0</v>
      </c>
      <c r="H843" s="156">
        <v>0.0</v>
      </c>
      <c r="I843" s="154" t="s">
        <v>2527</v>
      </c>
      <c r="J843" s="154" t="s">
        <v>2528</v>
      </c>
      <c r="K843" s="154" t="s">
        <v>1069</v>
      </c>
    </row>
    <row r="844">
      <c r="A844" s="154" t="s">
        <v>2530</v>
      </c>
      <c r="B844" s="154" t="s">
        <v>2531</v>
      </c>
      <c r="D844" s="154">
        <v>2.0</v>
      </c>
      <c r="E844" s="154" t="s">
        <v>761</v>
      </c>
      <c r="F844" s="154" t="s">
        <v>2532</v>
      </c>
      <c r="G844" s="156">
        <v>0.0</v>
      </c>
      <c r="H844" s="154" t="s">
        <v>2533</v>
      </c>
      <c r="I844" s="154" t="s">
        <v>2534</v>
      </c>
      <c r="J844" s="154" t="s">
        <v>2535</v>
      </c>
      <c r="K844" s="154" t="s">
        <v>197</v>
      </c>
    </row>
    <row r="845">
      <c r="A845" s="154" t="s">
        <v>2530</v>
      </c>
      <c r="B845" s="155"/>
      <c r="C845" s="154" t="s">
        <v>2531</v>
      </c>
      <c r="D845" s="155"/>
      <c r="E845" s="155"/>
      <c r="F845" s="154" t="s">
        <v>2532</v>
      </c>
      <c r="G845" s="156">
        <v>0.0</v>
      </c>
      <c r="H845" s="154" t="s">
        <v>2533</v>
      </c>
      <c r="I845" s="154" t="s">
        <v>2534</v>
      </c>
      <c r="J845" s="154" t="s">
        <v>2535</v>
      </c>
      <c r="K845" s="154" t="s">
        <v>197</v>
      </c>
    </row>
    <row r="846">
      <c r="A846" s="154" t="s">
        <v>2536</v>
      </c>
      <c r="B846" s="154" t="s">
        <v>2537</v>
      </c>
      <c r="D846" s="154">
        <v>2.0</v>
      </c>
      <c r="E846" s="154" t="s">
        <v>761</v>
      </c>
      <c r="F846" s="154" t="s">
        <v>2538</v>
      </c>
      <c r="G846" s="154">
        <v>5.67584431E8</v>
      </c>
      <c r="H846" s="156">
        <v>0.0</v>
      </c>
      <c r="I846" s="154">
        <v>9.71503459036E11</v>
      </c>
      <c r="J846" s="156">
        <v>0.0</v>
      </c>
      <c r="K846" s="154" t="s">
        <v>361</v>
      </c>
    </row>
    <row r="847">
      <c r="A847" s="154" t="s">
        <v>2536</v>
      </c>
      <c r="B847" s="155"/>
      <c r="C847" s="154" t="s">
        <v>2537</v>
      </c>
      <c r="D847" s="155"/>
      <c r="E847" s="155"/>
      <c r="F847" s="154" t="s">
        <v>2538</v>
      </c>
      <c r="G847" s="154">
        <v>5.67584431E8</v>
      </c>
      <c r="H847" s="156">
        <v>0.0</v>
      </c>
      <c r="I847" s="154">
        <v>9.71503459036E11</v>
      </c>
      <c r="J847" s="156">
        <v>0.0</v>
      </c>
      <c r="K847" s="154" t="s">
        <v>361</v>
      </c>
    </row>
    <row r="848">
      <c r="A848" s="154" t="s">
        <v>2539</v>
      </c>
      <c r="B848" s="155"/>
      <c r="C848" s="154" t="s">
        <v>2540</v>
      </c>
      <c r="D848" s="155"/>
      <c r="E848" s="155"/>
      <c r="F848" s="154" t="s">
        <v>2541</v>
      </c>
      <c r="G848" s="156">
        <v>0.0</v>
      </c>
      <c r="H848" s="156">
        <v>0.0</v>
      </c>
      <c r="I848" s="154">
        <v>5.5508497E8</v>
      </c>
      <c r="J848" s="156">
        <v>0.0</v>
      </c>
      <c r="K848" s="154" t="s">
        <v>2498</v>
      </c>
    </row>
    <row r="849">
      <c r="A849" s="154" t="s">
        <v>2539</v>
      </c>
      <c r="B849" s="154" t="s">
        <v>2540</v>
      </c>
      <c r="D849" s="154">
        <v>2.0</v>
      </c>
      <c r="E849" s="154" t="s">
        <v>761</v>
      </c>
      <c r="F849" s="154" t="s">
        <v>2541</v>
      </c>
      <c r="G849" s="156">
        <v>0.0</v>
      </c>
      <c r="H849" s="156">
        <v>0.0</v>
      </c>
      <c r="I849" s="154">
        <v>5.5508497E8</v>
      </c>
      <c r="J849" s="156">
        <v>0.0</v>
      </c>
      <c r="K849" s="154" t="s">
        <v>2498</v>
      </c>
    </row>
    <row r="850">
      <c r="A850" s="154" t="s">
        <v>2542</v>
      </c>
      <c r="B850" s="154" t="s">
        <v>2543</v>
      </c>
      <c r="D850" s="154">
        <v>2.0</v>
      </c>
      <c r="E850" s="154" t="s">
        <v>761</v>
      </c>
      <c r="F850" s="154" t="s">
        <v>2544</v>
      </c>
      <c r="G850" s="154">
        <v>5.06110698E8</v>
      </c>
      <c r="H850" s="156">
        <v>0.0</v>
      </c>
      <c r="I850" s="154">
        <v>5.04127427E8</v>
      </c>
      <c r="J850" s="156">
        <v>0.0</v>
      </c>
      <c r="K850" s="154" t="s">
        <v>206</v>
      </c>
    </row>
    <row r="851">
      <c r="A851" s="154" t="s">
        <v>2542</v>
      </c>
      <c r="B851" s="155"/>
      <c r="C851" s="154" t="s">
        <v>2543</v>
      </c>
      <c r="D851" s="155"/>
      <c r="E851" s="155"/>
      <c r="F851" s="154" t="s">
        <v>2545</v>
      </c>
      <c r="G851" s="154">
        <v>5.06110698E8</v>
      </c>
      <c r="H851" s="156">
        <v>0.0</v>
      </c>
      <c r="I851" s="156">
        <v>0.0</v>
      </c>
      <c r="J851" s="156">
        <v>0.0</v>
      </c>
      <c r="K851" s="154" t="s">
        <v>206</v>
      </c>
    </row>
    <row r="852">
      <c r="A852" s="154" t="s">
        <v>2546</v>
      </c>
      <c r="B852" s="155"/>
      <c r="C852" s="154" t="s">
        <v>2547</v>
      </c>
      <c r="D852" s="155"/>
      <c r="E852" s="155"/>
      <c r="F852" s="154" t="s">
        <v>2548</v>
      </c>
      <c r="G852" s="154" t="s">
        <v>2549</v>
      </c>
      <c r="H852" s="156">
        <v>0.0</v>
      </c>
      <c r="I852" s="154">
        <v>9.71506558239E11</v>
      </c>
      <c r="J852" s="156">
        <v>0.0</v>
      </c>
      <c r="K852" s="154" t="s">
        <v>361</v>
      </c>
    </row>
    <row r="853">
      <c r="A853" s="154" t="s">
        <v>2546</v>
      </c>
      <c r="B853" s="154" t="s">
        <v>2547</v>
      </c>
      <c r="D853" s="154">
        <v>2.0</v>
      </c>
      <c r="E853" s="154" t="s">
        <v>761</v>
      </c>
      <c r="F853" s="154" t="s">
        <v>2548</v>
      </c>
      <c r="G853" s="154" t="s">
        <v>2549</v>
      </c>
      <c r="H853" s="156">
        <v>0.0</v>
      </c>
      <c r="I853" s="154">
        <v>9.71506558239E11</v>
      </c>
      <c r="J853" s="156">
        <v>0.0</v>
      </c>
      <c r="K853" s="154" t="s">
        <v>361</v>
      </c>
    </row>
    <row r="854">
      <c r="A854" s="154" t="s">
        <v>2550</v>
      </c>
      <c r="B854" s="154" t="s">
        <v>2551</v>
      </c>
      <c r="D854" s="154">
        <v>2.0</v>
      </c>
      <c r="E854" s="154" t="s">
        <v>761</v>
      </c>
      <c r="F854" s="154" t="s">
        <v>2552</v>
      </c>
      <c r="G854" s="154" t="s">
        <v>2553</v>
      </c>
      <c r="H854" s="154" t="s">
        <v>2554</v>
      </c>
      <c r="I854" s="154" t="s">
        <v>2555</v>
      </c>
      <c r="J854" s="156">
        <v>0.0</v>
      </c>
      <c r="K854" s="154" t="s">
        <v>1426</v>
      </c>
    </row>
    <row r="855">
      <c r="A855" s="154" t="s">
        <v>2550</v>
      </c>
      <c r="B855" s="155"/>
      <c r="C855" s="154" t="s">
        <v>2551</v>
      </c>
      <c r="D855" s="155"/>
      <c r="E855" s="155"/>
      <c r="F855" s="154" t="s">
        <v>2552</v>
      </c>
      <c r="G855" s="154" t="s">
        <v>2553</v>
      </c>
      <c r="H855" s="154" t="s">
        <v>2554</v>
      </c>
      <c r="I855" s="154" t="s">
        <v>2555</v>
      </c>
      <c r="J855" s="156">
        <v>0.0</v>
      </c>
      <c r="K855" s="154" t="s">
        <v>1426</v>
      </c>
    </row>
    <row r="856">
      <c r="A856" s="154" t="s">
        <v>2556</v>
      </c>
      <c r="B856" s="155"/>
      <c r="C856" s="154" t="s">
        <v>2557</v>
      </c>
      <c r="D856" s="155"/>
      <c r="E856" s="155"/>
      <c r="F856" s="154" t="s">
        <v>2558</v>
      </c>
      <c r="G856" s="156">
        <v>0.0</v>
      </c>
      <c r="H856" s="156">
        <v>0.0</v>
      </c>
      <c r="I856" s="155">
        <f t="shared" ref="I856:I857" si="6">+447984186649</f>
        <v>447984186649</v>
      </c>
      <c r="J856" s="156">
        <v>0.0</v>
      </c>
      <c r="K856" s="154" t="s">
        <v>259</v>
      </c>
    </row>
    <row r="857">
      <c r="A857" s="154" t="s">
        <v>2556</v>
      </c>
      <c r="B857" s="154" t="s">
        <v>2557</v>
      </c>
      <c r="D857" s="154">
        <v>2.0</v>
      </c>
      <c r="E857" s="154" t="s">
        <v>761</v>
      </c>
      <c r="F857" s="154" t="s">
        <v>2559</v>
      </c>
      <c r="G857" s="156">
        <v>0.0</v>
      </c>
      <c r="H857" s="156">
        <v>0.0</v>
      </c>
      <c r="I857" s="155">
        <f t="shared" si="6"/>
        <v>447984186649</v>
      </c>
      <c r="J857" s="156">
        <v>0.0</v>
      </c>
      <c r="K857" s="154" t="s">
        <v>259</v>
      </c>
    </row>
    <row r="858">
      <c r="A858" s="154" t="s">
        <v>2560</v>
      </c>
      <c r="B858" s="154" t="s">
        <v>2561</v>
      </c>
      <c r="D858" s="154">
        <v>2.0</v>
      </c>
      <c r="E858" s="154" t="s">
        <v>761</v>
      </c>
      <c r="F858" s="154" t="s">
        <v>2562</v>
      </c>
      <c r="G858" s="154">
        <v>4.0E7</v>
      </c>
      <c r="H858" s="156">
        <v>0.0</v>
      </c>
      <c r="I858" s="154">
        <v>9.89121970649E11</v>
      </c>
      <c r="J858" s="156">
        <v>0.0</v>
      </c>
      <c r="K858" s="154" t="s">
        <v>776</v>
      </c>
    </row>
    <row r="859">
      <c r="A859" s="154" t="s">
        <v>2560</v>
      </c>
      <c r="B859" s="155"/>
      <c r="C859" s="154" t="s">
        <v>2561</v>
      </c>
      <c r="D859" s="155"/>
      <c r="E859" s="155"/>
      <c r="F859" s="154" t="s">
        <v>2562</v>
      </c>
      <c r="G859" s="154">
        <v>4.0E7</v>
      </c>
      <c r="H859" s="156">
        <v>0.0</v>
      </c>
      <c r="I859" s="154">
        <v>9.89121970649E11</v>
      </c>
      <c r="J859" s="156">
        <v>0.0</v>
      </c>
      <c r="K859" s="154" t="s">
        <v>776</v>
      </c>
    </row>
    <row r="860">
      <c r="A860" s="154" t="s">
        <v>2563</v>
      </c>
      <c r="B860" s="154" t="s">
        <v>2564</v>
      </c>
      <c r="D860" s="154">
        <v>2.0</v>
      </c>
      <c r="E860" s="154" t="s">
        <v>761</v>
      </c>
      <c r="F860" s="154" t="s">
        <v>2565</v>
      </c>
      <c r="G860" s="156">
        <v>0.0</v>
      </c>
      <c r="H860" s="156">
        <v>0.0</v>
      </c>
      <c r="I860" s="154" t="s">
        <v>2566</v>
      </c>
      <c r="J860" s="154" t="s">
        <v>2567</v>
      </c>
      <c r="K860" s="154" t="s">
        <v>240</v>
      </c>
    </row>
    <row r="861">
      <c r="A861" s="154" t="s">
        <v>2563</v>
      </c>
      <c r="B861" s="155"/>
      <c r="C861" s="154" t="s">
        <v>2564</v>
      </c>
      <c r="D861" s="155"/>
      <c r="E861" s="155"/>
      <c r="F861" s="154" t="s">
        <v>2565</v>
      </c>
      <c r="G861" s="156">
        <v>0.0</v>
      </c>
      <c r="H861" s="156">
        <v>0.0</v>
      </c>
      <c r="I861" s="154" t="s">
        <v>2566</v>
      </c>
      <c r="J861" s="154" t="s">
        <v>2567</v>
      </c>
      <c r="K861" s="154" t="s">
        <v>240</v>
      </c>
    </row>
    <row r="862">
      <c r="A862" s="154" t="s">
        <v>2568</v>
      </c>
      <c r="B862" s="154" t="s">
        <v>2569</v>
      </c>
      <c r="D862" s="154">
        <v>2.0</v>
      </c>
      <c r="E862" s="154" t="s">
        <v>761</v>
      </c>
      <c r="F862" s="154" t="s">
        <v>2570</v>
      </c>
      <c r="G862" s="154">
        <v>0.0</v>
      </c>
      <c r="H862" s="156">
        <v>0.0</v>
      </c>
      <c r="I862" s="154">
        <v>9.71508851453E11</v>
      </c>
      <c r="J862" s="156">
        <v>0.0</v>
      </c>
      <c r="K862" s="154" t="s">
        <v>259</v>
      </c>
    </row>
    <row r="863">
      <c r="A863" s="154" t="s">
        <v>2568</v>
      </c>
      <c r="B863" s="155"/>
      <c r="C863" s="154" t="s">
        <v>2569</v>
      </c>
      <c r="D863" s="155"/>
      <c r="E863" s="155"/>
      <c r="F863" s="154" t="s">
        <v>2570</v>
      </c>
      <c r="G863" s="154">
        <v>0.0</v>
      </c>
      <c r="H863" s="156">
        <v>0.0</v>
      </c>
      <c r="I863" s="154">
        <v>9.71508851453E11</v>
      </c>
      <c r="J863" s="156">
        <v>0.0</v>
      </c>
      <c r="K863" s="154" t="s">
        <v>259</v>
      </c>
    </row>
    <row r="864">
      <c r="A864" s="154" t="s">
        <v>2571</v>
      </c>
      <c r="B864" s="155"/>
      <c r="C864" s="154" t="s">
        <v>2572</v>
      </c>
      <c r="D864" s="155"/>
      <c r="E864" s="155"/>
      <c r="F864" s="154" t="s">
        <v>2573</v>
      </c>
      <c r="G864" s="154">
        <v>4.3911111E7</v>
      </c>
      <c r="H864" s="156">
        <v>0.0</v>
      </c>
      <c r="I864" s="154">
        <v>5.07689758E8</v>
      </c>
      <c r="J864" s="156">
        <v>0.0</v>
      </c>
      <c r="K864" s="154" t="s">
        <v>301</v>
      </c>
    </row>
    <row r="865">
      <c r="A865" s="154" t="s">
        <v>2571</v>
      </c>
      <c r="B865" s="154" t="s">
        <v>2572</v>
      </c>
      <c r="D865" s="154">
        <v>2.0</v>
      </c>
      <c r="E865" s="154" t="s">
        <v>761</v>
      </c>
      <c r="F865" s="154" t="s">
        <v>792</v>
      </c>
      <c r="G865" s="154" t="s">
        <v>793</v>
      </c>
      <c r="H865" s="154" t="s">
        <v>794</v>
      </c>
      <c r="I865" s="156">
        <v>0.0</v>
      </c>
      <c r="J865" s="156">
        <v>0.0</v>
      </c>
      <c r="K865" s="156">
        <v>0.0</v>
      </c>
    </row>
    <row r="866">
      <c r="A866" s="154" t="s">
        <v>2574</v>
      </c>
      <c r="B866" s="154" t="s">
        <v>2575</v>
      </c>
      <c r="D866" s="154">
        <v>2.0</v>
      </c>
      <c r="E866" s="154" t="s">
        <v>761</v>
      </c>
      <c r="F866" s="154" t="s">
        <v>2576</v>
      </c>
      <c r="G866" s="156">
        <v>0.0</v>
      </c>
      <c r="H866" s="156">
        <v>0.0</v>
      </c>
      <c r="I866" s="154">
        <v>5.05522917E8</v>
      </c>
      <c r="J866" s="156">
        <v>0.0</v>
      </c>
      <c r="K866" s="154" t="s">
        <v>2577</v>
      </c>
    </row>
    <row r="867">
      <c r="A867" s="154" t="s">
        <v>2574</v>
      </c>
      <c r="B867" s="155"/>
      <c r="C867" s="154" t="s">
        <v>2575</v>
      </c>
      <c r="D867" s="155"/>
      <c r="E867" s="155"/>
      <c r="F867" s="154" t="s">
        <v>2576</v>
      </c>
      <c r="G867" s="156">
        <v>0.0</v>
      </c>
      <c r="H867" s="156">
        <v>0.0</v>
      </c>
      <c r="I867" s="154">
        <v>5.05522917E8</v>
      </c>
      <c r="J867" s="156">
        <v>0.0</v>
      </c>
      <c r="K867" s="154" t="s">
        <v>2577</v>
      </c>
    </row>
    <row r="868">
      <c r="A868" s="154" t="s">
        <v>2578</v>
      </c>
      <c r="B868" s="154" t="s">
        <v>2579</v>
      </c>
      <c r="D868" s="154">
        <v>2.0</v>
      </c>
      <c r="E868" s="154" t="s">
        <v>761</v>
      </c>
      <c r="F868" s="154" t="s">
        <v>2580</v>
      </c>
      <c r="G868" s="156">
        <v>0.0</v>
      </c>
      <c r="H868" s="156">
        <v>0.0</v>
      </c>
      <c r="I868" s="154">
        <v>5.0650786E8</v>
      </c>
      <c r="J868" s="156">
        <v>0.0</v>
      </c>
      <c r="K868" s="154" t="s">
        <v>2581</v>
      </c>
    </row>
    <row r="869">
      <c r="A869" s="154" t="s">
        <v>2578</v>
      </c>
      <c r="B869" s="155"/>
      <c r="C869" s="154" t="s">
        <v>2579</v>
      </c>
      <c r="D869" s="155"/>
      <c r="E869" s="155"/>
      <c r="F869" s="154" t="s">
        <v>2582</v>
      </c>
      <c r="G869" s="156">
        <v>0.0</v>
      </c>
      <c r="H869" s="156">
        <v>0.0</v>
      </c>
      <c r="I869" s="154">
        <v>5.0650786E8</v>
      </c>
      <c r="J869" s="156">
        <v>0.0</v>
      </c>
      <c r="K869" s="154" t="s">
        <v>2581</v>
      </c>
    </row>
    <row r="870">
      <c r="A870" s="154" t="s">
        <v>2583</v>
      </c>
      <c r="B870" s="154" t="s">
        <v>2584</v>
      </c>
      <c r="D870" s="154">
        <v>2.0</v>
      </c>
      <c r="E870" s="154" t="s">
        <v>761</v>
      </c>
      <c r="F870" s="154" t="s">
        <v>2585</v>
      </c>
      <c r="G870" s="156">
        <v>0.0</v>
      </c>
      <c r="H870" s="156">
        <v>0.0</v>
      </c>
      <c r="I870" s="154">
        <v>5.09239835E8</v>
      </c>
      <c r="J870" s="156">
        <v>0.0</v>
      </c>
      <c r="K870" s="154" t="s">
        <v>301</v>
      </c>
    </row>
    <row r="871">
      <c r="A871" s="154" t="s">
        <v>2583</v>
      </c>
      <c r="B871" s="155"/>
      <c r="C871" s="154" t="s">
        <v>2584</v>
      </c>
      <c r="D871" s="155"/>
      <c r="E871" s="155"/>
      <c r="F871" s="154" t="s">
        <v>2586</v>
      </c>
      <c r="G871" s="156">
        <v>0.0</v>
      </c>
      <c r="H871" s="156">
        <v>0.0</v>
      </c>
      <c r="I871" s="154">
        <v>5.07058317E8</v>
      </c>
      <c r="J871" s="156">
        <v>0.0</v>
      </c>
      <c r="K871" s="154" t="s">
        <v>301</v>
      </c>
    </row>
    <row r="872">
      <c r="A872" s="154" t="s">
        <v>2587</v>
      </c>
      <c r="B872" s="155"/>
      <c r="C872" s="154" t="s">
        <v>2588</v>
      </c>
      <c r="D872" s="155"/>
      <c r="E872" s="155"/>
      <c r="F872" s="154" t="s">
        <v>2589</v>
      </c>
      <c r="G872" s="154">
        <v>4.42745E7</v>
      </c>
      <c r="H872" s="156">
        <v>0.0</v>
      </c>
      <c r="I872" s="154">
        <v>5.02447924E8</v>
      </c>
      <c r="J872" s="156">
        <v>0.0</v>
      </c>
      <c r="K872" s="154" t="s">
        <v>301</v>
      </c>
    </row>
    <row r="873">
      <c r="A873" s="154" t="s">
        <v>2587</v>
      </c>
      <c r="B873" s="154" t="s">
        <v>2588</v>
      </c>
      <c r="D873" s="154">
        <v>2.0</v>
      </c>
      <c r="E873" s="154" t="s">
        <v>761</v>
      </c>
      <c r="F873" s="154" t="s">
        <v>2589</v>
      </c>
      <c r="G873" s="154">
        <v>4.42745E7</v>
      </c>
      <c r="H873" s="156">
        <v>0.0</v>
      </c>
      <c r="I873" s="154">
        <v>5.02447924E8</v>
      </c>
      <c r="J873" s="156">
        <v>0.0</v>
      </c>
      <c r="K873" s="154" t="s">
        <v>301</v>
      </c>
    </row>
    <row r="874">
      <c r="A874" s="154" t="s">
        <v>2590</v>
      </c>
      <c r="B874" s="155"/>
      <c r="C874" s="154" t="s">
        <v>2591</v>
      </c>
      <c r="D874" s="155"/>
      <c r="E874" s="155"/>
      <c r="F874" s="154" t="s">
        <v>2592</v>
      </c>
      <c r="G874" s="156">
        <v>0.0</v>
      </c>
      <c r="H874" s="154" t="s">
        <v>2593</v>
      </c>
      <c r="I874" s="154" t="s">
        <v>2594</v>
      </c>
      <c r="J874" s="154" t="s">
        <v>2595</v>
      </c>
      <c r="K874" s="154" t="s">
        <v>846</v>
      </c>
    </row>
    <row r="875">
      <c r="A875" s="154" t="s">
        <v>2590</v>
      </c>
      <c r="B875" s="154" t="s">
        <v>2591</v>
      </c>
      <c r="D875" s="154">
        <v>2.0</v>
      </c>
      <c r="E875" s="154" t="s">
        <v>761</v>
      </c>
      <c r="F875" s="154" t="s">
        <v>2592</v>
      </c>
      <c r="G875" s="156">
        <v>0.0</v>
      </c>
      <c r="H875" s="154" t="s">
        <v>2593</v>
      </c>
      <c r="I875" s="154" t="s">
        <v>2594</v>
      </c>
      <c r="J875" s="154" t="s">
        <v>2595</v>
      </c>
      <c r="K875" s="154" t="s">
        <v>846</v>
      </c>
    </row>
    <row r="876">
      <c r="A876" s="154" t="s">
        <v>2596</v>
      </c>
      <c r="B876" s="154" t="s">
        <v>2597</v>
      </c>
      <c r="D876" s="154">
        <v>2.0</v>
      </c>
      <c r="E876" s="154" t="s">
        <v>761</v>
      </c>
      <c r="F876" s="154" t="s">
        <v>2598</v>
      </c>
      <c r="G876" s="156">
        <v>0.0</v>
      </c>
      <c r="H876" s="156">
        <v>0.0</v>
      </c>
      <c r="I876" s="154" t="s">
        <v>2599</v>
      </c>
      <c r="J876" s="156">
        <v>0.0</v>
      </c>
      <c r="K876" s="154" t="s">
        <v>259</v>
      </c>
    </row>
    <row r="877">
      <c r="A877" s="154" t="s">
        <v>2596</v>
      </c>
      <c r="B877" s="155"/>
      <c r="C877" s="154" t="s">
        <v>2597</v>
      </c>
      <c r="D877" s="155"/>
      <c r="E877" s="155"/>
      <c r="F877" s="154" t="s">
        <v>1190</v>
      </c>
      <c r="G877" s="154">
        <v>5.0851975E8</v>
      </c>
      <c r="H877" s="154" t="s">
        <v>1191</v>
      </c>
      <c r="I877" s="156">
        <v>0.0</v>
      </c>
      <c r="J877" s="156">
        <v>0.0</v>
      </c>
      <c r="K877" s="156">
        <v>0.0</v>
      </c>
    </row>
    <row r="878">
      <c r="A878" s="154" t="s">
        <v>2600</v>
      </c>
      <c r="B878" s="155"/>
      <c r="C878" s="154" t="s">
        <v>2601</v>
      </c>
      <c r="D878" s="155"/>
      <c r="E878" s="155"/>
      <c r="F878" s="154" t="s">
        <v>2602</v>
      </c>
      <c r="G878" s="156">
        <v>0.0</v>
      </c>
      <c r="H878" s="156">
        <v>0.0</v>
      </c>
      <c r="I878" s="154" t="s">
        <v>2603</v>
      </c>
      <c r="J878" s="156">
        <v>0.0</v>
      </c>
      <c r="K878" s="154" t="s">
        <v>914</v>
      </c>
    </row>
    <row r="879">
      <c r="A879" s="154" t="s">
        <v>2600</v>
      </c>
      <c r="B879" s="154" t="s">
        <v>2601</v>
      </c>
      <c r="D879" s="154">
        <v>2.0</v>
      </c>
      <c r="E879" s="154" t="s">
        <v>761</v>
      </c>
      <c r="F879" s="154" t="s">
        <v>2602</v>
      </c>
      <c r="G879" s="156">
        <v>0.0</v>
      </c>
      <c r="H879" s="156">
        <v>0.0</v>
      </c>
      <c r="I879" s="154" t="s">
        <v>2603</v>
      </c>
      <c r="J879" s="156">
        <v>0.0</v>
      </c>
      <c r="K879" s="154" t="s">
        <v>914</v>
      </c>
    </row>
    <row r="880">
      <c r="A880" s="154" t="s">
        <v>2604</v>
      </c>
      <c r="B880" s="154" t="s">
        <v>2605</v>
      </c>
      <c r="D880" s="154">
        <v>2.0</v>
      </c>
      <c r="E880" s="154" t="s">
        <v>761</v>
      </c>
      <c r="F880" s="154" t="s">
        <v>2606</v>
      </c>
      <c r="G880" s="156">
        <v>0.0</v>
      </c>
      <c r="H880" s="154" t="s">
        <v>2607</v>
      </c>
      <c r="I880" s="154">
        <v>5.01757839E8</v>
      </c>
      <c r="J880" s="156">
        <v>0.0</v>
      </c>
      <c r="K880" s="154" t="s">
        <v>760</v>
      </c>
    </row>
    <row r="881">
      <c r="A881" s="154" t="s">
        <v>2604</v>
      </c>
      <c r="B881" s="155"/>
      <c r="C881" s="154" t="s">
        <v>2605</v>
      </c>
      <c r="D881" s="155"/>
      <c r="E881" s="155"/>
      <c r="F881" s="154" t="s">
        <v>2606</v>
      </c>
      <c r="G881" s="156">
        <v>0.0</v>
      </c>
      <c r="H881" s="154" t="s">
        <v>2607</v>
      </c>
      <c r="I881" s="154">
        <v>5.01757839E8</v>
      </c>
      <c r="J881" s="156">
        <v>0.0</v>
      </c>
      <c r="K881" s="154" t="s">
        <v>760</v>
      </c>
    </row>
    <row r="882">
      <c r="A882" s="154" t="s">
        <v>2608</v>
      </c>
      <c r="B882" s="154" t="s">
        <v>2609</v>
      </c>
      <c r="D882" s="154">
        <v>2.0</v>
      </c>
      <c r="E882" s="154" t="s">
        <v>761</v>
      </c>
      <c r="F882" s="154" t="s">
        <v>2610</v>
      </c>
      <c r="G882" s="156">
        <v>0.0</v>
      </c>
      <c r="H882" s="156">
        <v>0.0</v>
      </c>
      <c r="I882" s="154">
        <v>5.06444758E8</v>
      </c>
      <c r="J882" s="156">
        <v>0.0</v>
      </c>
      <c r="K882" s="154" t="s">
        <v>2581</v>
      </c>
    </row>
    <row r="883">
      <c r="A883" s="154" t="s">
        <v>2608</v>
      </c>
      <c r="B883" s="155"/>
      <c r="C883" s="154" t="s">
        <v>2609</v>
      </c>
      <c r="D883" s="155"/>
      <c r="E883" s="155"/>
      <c r="F883" s="154" t="s">
        <v>2610</v>
      </c>
      <c r="G883" s="156">
        <v>0.0</v>
      </c>
      <c r="H883" s="156">
        <v>0.0</v>
      </c>
      <c r="I883" s="154">
        <v>5.06444758E8</v>
      </c>
      <c r="J883" s="156">
        <v>0.0</v>
      </c>
      <c r="K883" s="154" t="s">
        <v>2581</v>
      </c>
    </row>
    <row r="884">
      <c r="A884" s="154" t="s">
        <v>2611</v>
      </c>
      <c r="B884" s="154" t="s">
        <v>2612</v>
      </c>
      <c r="D884" s="154">
        <v>2.0</v>
      </c>
      <c r="E884" s="154" t="s">
        <v>761</v>
      </c>
      <c r="F884" s="154" t="s">
        <v>2613</v>
      </c>
      <c r="G884" s="154" t="s">
        <v>2614</v>
      </c>
      <c r="H884" s="154" t="s">
        <v>2615</v>
      </c>
      <c r="I884" s="154" t="s">
        <v>2616</v>
      </c>
      <c r="J884" s="156">
        <v>0.0</v>
      </c>
      <c r="K884" s="154" t="s">
        <v>361</v>
      </c>
    </row>
    <row r="885">
      <c r="A885" s="154" t="s">
        <v>2611</v>
      </c>
      <c r="B885" s="155"/>
      <c r="C885" s="154" t="s">
        <v>2612</v>
      </c>
      <c r="D885" s="155"/>
      <c r="E885" s="155"/>
      <c r="F885" s="154" t="s">
        <v>2613</v>
      </c>
      <c r="G885" s="154" t="s">
        <v>2614</v>
      </c>
      <c r="H885" s="154" t="s">
        <v>2615</v>
      </c>
      <c r="I885" s="154" t="s">
        <v>2616</v>
      </c>
      <c r="J885" s="156">
        <v>0.0</v>
      </c>
      <c r="K885" s="154" t="s">
        <v>361</v>
      </c>
    </row>
    <row r="886">
      <c r="A886" s="154" t="s">
        <v>2617</v>
      </c>
      <c r="B886" s="155"/>
      <c r="C886" s="154" t="s">
        <v>2618</v>
      </c>
      <c r="D886" s="155"/>
      <c r="E886" s="155"/>
      <c r="F886" s="154" t="s">
        <v>2619</v>
      </c>
      <c r="G886" s="154">
        <v>0.0</v>
      </c>
      <c r="H886" s="156">
        <v>0.0</v>
      </c>
      <c r="I886" s="154">
        <v>5.08418605E8</v>
      </c>
      <c r="J886" s="156">
        <v>0.0</v>
      </c>
      <c r="K886" s="154" t="s">
        <v>361</v>
      </c>
    </row>
    <row r="887">
      <c r="A887" s="154" t="s">
        <v>2617</v>
      </c>
      <c r="B887" s="154" t="s">
        <v>2618</v>
      </c>
      <c r="D887" s="154">
        <v>2.0</v>
      </c>
      <c r="E887" s="154" t="s">
        <v>761</v>
      </c>
      <c r="F887" s="154" t="s">
        <v>2619</v>
      </c>
      <c r="G887" s="154">
        <v>0.0</v>
      </c>
      <c r="H887" s="156">
        <v>0.0</v>
      </c>
      <c r="I887" s="154">
        <v>5.08418605E8</v>
      </c>
      <c r="J887" s="156">
        <v>0.0</v>
      </c>
      <c r="K887" s="154" t="s">
        <v>361</v>
      </c>
    </row>
    <row r="888">
      <c r="A888" s="154" t="s">
        <v>2620</v>
      </c>
      <c r="B888" s="155"/>
      <c r="C888" s="154" t="s">
        <v>2621</v>
      </c>
      <c r="D888" s="155"/>
      <c r="E888" s="155"/>
      <c r="F888" s="154" t="s">
        <v>2622</v>
      </c>
      <c r="G888" s="154">
        <v>5.04550087E8</v>
      </c>
      <c r="H888" s="156">
        <v>0.0</v>
      </c>
      <c r="I888" s="154">
        <v>5.04550087E8</v>
      </c>
      <c r="J888" s="156">
        <v>0.0</v>
      </c>
      <c r="K888" s="154" t="s">
        <v>760</v>
      </c>
    </row>
    <row r="889">
      <c r="A889" s="154" t="s">
        <v>2620</v>
      </c>
      <c r="B889" s="154" t="s">
        <v>2621</v>
      </c>
      <c r="D889" s="154">
        <v>2.0</v>
      </c>
      <c r="E889" s="154" t="s">
        <v>761</v>
      </c>
      <c r="F889" s="154" t="s">
        <v>2622</v>
      </c>
      <c r="G889" s="154">
        <v>5.04550087E8</v>
      </c>
      <c r="H889" s="156">
        <v>0.0</v>
      </c>
      <c r="I889" s="154">
        <v>5.04550087E8</v>
      </c>
      <c r="J889" s="156">
        <v>0.0</v>
      </c>
      <c r="K889" s="154" t="s">
        <v>760</v>
      </c>
    </row>
    <row r="890">
      <c r="A890" s="154" t="s">
        <v>2623</v>
      </c>
      <c r="B890" s="155"/>
      <c r="C890" s="154" t="s">
        <v>2624</v>
      </c>
      <c r="D890" s="155"/>
      <c r="E890" s="155"/>
      <c r="F890" s="154" t="s">
        <v>2625</v>
      </c>
      <c r="G890" s="154">
        <v>9.7142828106E10</v>
      </c>
      <c r="H890" s="156">
        <v>0.0</v>
      </c>
      <c r="I890" s="154">
        <v>9.71505594225E11</v>
      </c>
      <c r="J890" s="156">
        <v>0.0</v>
      </c>
      <c r="K890" s="154" t="s">
        <v>361</v>
      </c>
    </row>
    <row r="891">
      <c r="A891" s="154" t="s">
        <v>2623</v>
      </c>
      <c r="B891" s="154" t="s">
        <v>2624</v>
      </c>
      <c r="D891" s="154">
        <v>2.0</v>
      </c>
      <c r="E891" s="154" t="s">
        <v>761</v>
      </c>
      <c r="F891" s="154" t="s">
        <v>2625</v>
      </c>
      <c r="G891" s="154">
        <v>9.7142828106E10</v>
      </c>
      <c r="H891" s="156">
        <v>0.0</v>
      </c>
      <c r="I891" s="154">
        <v>9.71505594225E11</v>
      </c>
      <c r="J891" s="156">
        <v>0.0</v>
      </c>
      <c r="K891" s="154" t="s">
        <v>361</v>
      </c>
    </row>
    <row r="892">
      <c r="A892" s="154" t="s">
        <v>2626</v>
      </c>
      <c r="B892" s="155"/>
      <c r="C892" s="154" t="s">
        <v>2627</v>
      </c>
      <c r="D892" s="155"/>
      <c r="E892" s="155"/>
      <c r="F892" s="154" t="s">
        <v>2628</v>
      </c>
      <c r="G892" s="154" t="s">
        <v>2629</v>
      </c>
      <c r="H892" s="154" t="s">
        <v>2630</v>
      </c>
      <c r="I892" s="154" t="s">
        <v>2631</v>
      </c>
      <c r="J892" s="154" t="s">
        <v>2632</v>
      </c>
      <c r="K892" s="154" t="s">
        <v>361</v>
      </c>
    </row>
    <row r="893">
      <c r="A893" s="154" t="s">
        <v>2626</v>
      </c>
      <c r="B893" s="154" t="s">
        <v>2627</v>
      </c>
      <c r="D893" s="154">
        <v>2.0</v>
      </c>
      <c r="E893" s="154" t="s">
        <v>761</v>
      </c>
      <c r="F893" s="154" t="s">
        <v>2633</v>
      </c>
      <c r="G893" s="154" t="s">
        <v>2629</v>
      </c>
      <c r="H893" s="154" t="s">
        <v>2630</v>
      </c>
      <c r="I893" s="154" t="s">
        <v>2631</v>
      </c>
      <c r="J893" s="154" t="s">
        <v>2632</v>
      </c>
      <c r="K893" s="154" t="s">
        <v>361</v>
      </c>
    </row>
    <row r="894">
      <c r="A894" s="154" t="s">
        <v>2634</v>
      </c>
      <c r="B894" s="154" t="s">
        <v>2635</v>
      </c>
      <c r="D894" s="154">
        <v>2.0</v>
      </c>
      <c r="E894" s="154" t="s">
        <v>761</v>
      </c>
      <c r="F894" s="154" t="s">
        <v>2203</v>
      </c>
      <c r="G894" s="154">
        <v>5.09126362E8</v>
      </c>
      <c r="H894" s="154" t="s">
        <v>2204</v>
      </c>
      <c r="I894" s="155">
        <f t="shared" ref="I894:I895" si="7">+923218209698</f>
        <v>923218209698</v>
      </c>
      <c r="J894" s="156">
        <v>0.0</v>
      </c>
      <c r="K894" s="154" t="s">
        <v>760</v>
      </c>
    </row>
    <row r="895">
      <c r="A895" s="154" t="s">
        <v>2634</v>
      </c>
      <c r="B895" s="155"/>
      <c r="C895" s="154" t="s">
        <v>2635</v>
      </c>
      <c r="D895" s="155"/>
      <c r="E895" s="155"/>
      <c r="F895" s="154" t="s">
        <v>2203</v>
      </c>
      <c r="G895" s="154">
        <v>5.09126362E8</v>
      </c>
      <c r="H895" s="154" t="s">
        <v>2204</v>
      </c>
      <c r="I895" s="155">
        <f t="shared" si="7"/>
        <v>923218209698</v>
      </c>
      <c r="J895" s="156">
        <v>0.0</v>
      </c>
      <c r="K895" s="154" t="s">
        <v>760</v>
      </c>
    </row>
    <row r="896">
      <c r="A896" s="154" t="s">
        <v>2636</v>
      </c>
      <c r="B896" s="154" t="s">
        <v>2637</v>
      </c>
      <c r="D896" s="154">
        <v>2.0</v>
      </c>
      <c r="E896" s="154" t="s">
        <v>761</v>
      </c>
      <c r="F896" s="154" t="s">
        <v>2638</v>
      </c>
      <c r="G896" s="156">
        <v>0.0</v>
      </c>
      <c r="H896" s="156">
        <v>0.0</v>
      </c>
      <c r="I896" s="154">
        <v>1.0</v>
      </c>
      <c r="J896" s="156">
        <v>0.0</v>
      </c>
      <c r="K896" s="154" t="s">
        <v>1461</v>
      </c>
    </row>
    <row r="897">
      <c r="A897" s="154" t="s">
        <v>2636</v>
      </c>
      <c r="B897" s="155"/>
      <c r="C897" s="154" t="s">
        <v>2637</v>
      </c>
      <c r="D897" s="155"/>
      <c r="E897" s="155"/>
      <c r="F897" s="154" t="s">
        <v>2638</v>
      </c>
      <c r="G897" s="156">
        <v>0.0</v>
      </c>
      <c r="H897" s="156">
        <v>0.0</v>
      </c>
      <c r="I897" s="154">
        <v>1.0</v>
      </c>
      <c r="J897" s="156">
        <v>0.0</v>
      </c>
      <c r="K897" s="154" t="s">
        <v>1461</v>
      </c>
    </row>
    <row r="898">
      <c r="A898" s="154" t="s">
        <v>2639</v>
      </c>
      <c r="B898" s="154" t="s">
        <v>2640</v>
      </c>
      <c r="D898" s="154">
        <v>2.0</v>
      </c>
      <c r="E898" s="154" t="s">
        <v>761</v>
      </c>
      <c r="F898" s="154" t="s">
        <v>2641</v>
      </c>
      <c r="G898" s="154" t="s">
        <v>809</v>
      </c>
      <c r="H898" s="154" t="s">
        <v>2642</v>
      </c>
      <c r="I898" s="154" t="s">
        <v>2643</v>
      </c>
      <c r="J898" s="156">
        <v>0.0</v>
      </c>
      <c r="K898" s="154" t="s">
        <v>259</v>
      </c>
    </row>
    <row r="899">
      <c r="A899" s="154" t="s">
        <v>2639</v>
      </c>
      <c r="B899" s="155"/>
      <c r="C899" s="154" t="s">
        <v>2640</v>
      </c>
      <c r="D899" s="155"/>
      <c r="E899" s="155"/>
      <c r="F899" s="154" t="s">
        <v>2641</v>
      </c>
      <c r="G899" s="154" t="s">
        <v>809</v>
      </c>
      <c r="H899" s="154" t="s">
        <v>2642</v>
      </c>
      <c r="I899" s="154" t="s">
        <v>2643</v>
      </c>
      <c r="J899" s="156">
        <v>0.0</v>
      </c>
      <c r="K899" s="154" t="s">
        <v>259</v>
      </c>
    </row>
    <row r="900">
      <c r="A900" s="154" t="s">
        <v>2644</v>
      </c>
      <c r="B900" s="154" t="s">
        <v>2645</v>
      </c>
      <c r="D900" s="154">
        <v>2.0</v>
      </c>
      <c r="E900" s="154" t="s">
        <v>761</v>
      </c>
      <c r="F900" s="154" t="s">
        <v>2646</v>
      </c>
      <c r="G900" s="156">
        <v>0.0</v>
      </c>
      <c r="H900" s="154" t="s">
        <v>2647</v>
      </c>
      <c r="I900" s="154">
        <v>5.06226425E8</v>
      </c>
      <c r="J900" s="154" t="s">
        <v>2648</v>
      </c>
      <c r="K900" s="154" t="s">
        <v>361</v>
      </c>
    </row>
    <row r="901">
      <c r="A901" s="154" t="s">
        <v>2644</v>
      </c>
      <c r="B901" s="155"/>
      <c r="C901" s="154" t="s">
        <v>2645</v>
      </c>
      <c r="D901" s="155"/>
      <c r="E901" s="155"/>
      <c r="F901" s="154" t="s">
        <v>2646</v>
      </c>
      <c r="G901" s="156">
        <v>0.0</v>
      </c>
      <c r="H901" s="154" t="s">
        <v>2647</v>
      </c>
      <c r="I901" s="154">
        <v>5.06226425E8</v>
      </c>
      <c r="J901" s="154" t="s">
        <v>2648</v>
      </c>
      <c r="K901" s="154" t="s">
        <v>361</v>
      </c>
    </row>
    <row r="902">
      <c r="A902" s="154" t="s">
        <v>2649</v>
      </c>
      <c r="B902" s="155"/>
      <c r="C902" s="154" t="s">
        <v>2650</v>
      </c>
      <c r="D902" s="155"/>
      <c r="E902" s="155"/>
      <c r="F902" s="154" t="s">
        <v>2651</v>
      </c>
      <c r="G902" s="156">
        <v>0.0</v>
      </c>
      <c r="H902" s="154" t="s">
        <v>2652</v>
      </c>
      <c r="I902" s="154" t="s">
        <v>2653</v>
      </c>
      <c r="J902" s="156">
        <v>0.0</v>
      </c>
      <c r="K902" s="154" t="s">
        <v>361</v>
      </c>
    </row>
    <row r="903">
      <c r="A903" s="154" t="s">
        <v>2649</v>
      </c>
      <c r="B903" s="154" t="s">
        <v>2650</v>
      </c>
      <c r="D903" s="154">
        <v>2.0</v>
      </c>
      <c r="E903" s="154" t="s">
        <v>761</v>
      </c>
      <c r="F903" s="154" t="s">
        <v>2651</v>
      </c>
      <c r="G903" s="156">
        <v>0.0</v>
      </c>
      <c r="H903" s="154" t="s">
        <v>2652</v>
      </c>
      <c r="I903" s="154" t="s">
        <v>2653</v>
      </c>
      <c r="J903" s="156">
        <v>0.0</v>
      </c>
      <c r="K903" s="154" t="s">
        <v>361</v>
      </c>
    </row>
    <row r="904">
      <c r="A904" s="154" t="s">
        <v>2654</v>
      </c>
      <c r="B904" s="155"/>
      <c r="C904" s="154" t="s">
        <v>2655</v>
      </c>
      <c r="D904" s="155"/>
      <c r="E904" s="155"/>
      <c r="F904" s="154" t="s">
        <v>1974</v>
      </c>
      <c r="G904" s="156">
        <v>0.0</v>
      </c>
      <c r="H904" s="156">
        <v>0.0</v>
      </c>
      <c r="I904" s="154">
        <v>9.71504814071E11</v>
      </c>
      <c r="J904" s="156">
        <v>0.0</v>
      </c>
      <c r="K904" s="154" t="s">
        <v>361</v>
      </c>
    </row>
    <row r="905">
      <c r="A905" s="154" t="s">
        <v>2654</v>
      </c>
      <c r="B905" s="154" t="s">
        <v>2655</v>
      </c>
      <c r="D905" s="154">
        <v>2.0</v>
      </c>
      <c r="E905" s="154" t="s">
        <v>761</v>
      </c>
      <c r="F905" s="154" t="s">
        <v>1974</v>
      </c>
      <c r="G905" s="156">
        <v>0.0</v>
      </c>
      <c r="H905" s="156">
        <v>0.0</v>
      </c>
      <c r="I905" s="154">
        <v>9.71504814071E11</v>
      </c>
      <c r="J905" s="156">
        <v>0.0</v>
      </c>
      <c r="K905" s="154" t="s">
        <v>361</v>
      </c>
    </row>
    <row r="906">
      <c r="A906" s="154" t="s">
        <v>2656</v>
      </c>
      <c r="B906" s="155"/>
      <c r="C906" s="154" t="s">
        <v>2657</v>
      </c>
      <c r="D906" s="155"/>
      <c r="E906" s="155"/>
      <c r="F906" s="154" t="s">
        <v>2658</v>
      </c>
      <c r="G906" s="154">
        <v>5.61775517E8</v>
      </c>
      <c r="H906" s="156">
        <v>0.0</v>
      </c>
      <c r="I906" s="156">
        <v>0.0</v>
      </c>
      <c r="J906" s="156">
        <v>0.0</v>
      </c>
      <c r="K906" s="154" t="s">
        <v>197</v>
      </c>
    </row>
    <row r="907">
      <c r="A907" s="154" t="s">
        <v>2656</v>
      </c>
      <c r="B907" s="154" t="s">
        <v>2657</v>
      </c>
      <c r="D907" s="154">
        <v>2.0</v>
      </c>
      <c r="E907" s="154" t="s">
        <v>761</v>
      </c>
      <c r="F907" s="154" t="s">
        <v>2658</v>
      </c>
      <c r="G907" s="154">
        <v>5.61775517E8</v>
      </c>
      <c r="H907" s="156">
        <v>0.0</v>
      </c>
      <c r="I907" s="156">
        <v>0.0</v>
      </c>
      <c r="J907" s="156">
        <v>0.0</v>
      </c>
      <c r="K907" s="154" t="s">
        <v>197</v>
      </c>
    </row>
    <row r="908">
      <c r="A908" s="154" t="s">
        <v>2659</v>
      </c>
      <c r="B908" s="154" t="s">
        <v>2660</v>
      </c>
      <c r="D908" s="154">
        <v>2.0</v>
      </c>
      <c r="E908" s="154" t="s">
        <v>761</v>
      </c>
      <c r="F908" s="154" t="s">
        <v>2661</v>
      </c>
      <c r="G908" s="154">
        <v>0.0</v>
      </c>
      <c r="H908" s="154" t="s">
        <v>2662</v>
      </c>
      <c r="I908" s="154">
        <v>9.71507282406E11</v>
      </c>
      <c r="J908" s="156">
        <v>0.0</v>
      </c>
      <c r="K908" s="154" t="s">
        <v>329</v>
      </c>
    </row>
    <row r="909">
      <c r="A909" s="154" t="s">
        <v>2659</v>
      </c>
      <c r="B909" s="155"/>
      <c r="C909" s="154" t="s">
        <v>2660</v>
      </c>
      <c r="D909" s="155"/>
      <c r="E909" s="155"/>
      <c r="F909" s="154" t="s">
        <v>2663</v>
      </c>
      <c r="G909" s="154">
        <v>5.070975E8</v>
      </c>
      <c r="H909" s="154" t="s">
        <v>2664</v>
      </c>
      <c r="I909" s="154">
        <v>9.715070975E11</v>
      </c>
      <c r="J909" s="156">
        <v>0.0</v>
      </c>
      <c r="K909" s="154" t="s">
        <v>329</v>
      </c>
    </row>
    <row r="910">
      <c r="A910" s="154" t="s">
        <v>2665</v>
      </c>
      <c r="B910" s="155"/>
      <c r="C910" s="154" t="s">
        <v>2666</v>
      </c>
      <c r="D910" s="155"/>
      <c r="E910" s="155"/>
      <c r="F910" s="154" t="s">
        <v>2667</v>
      </c>
      <c r="G910" s="154">
        <v>9.82122678091E11</v>
      </c>
      <c r="H910" s="156">
        <v>0.0</v>
      </c>
      <c r="I910" s="156">
        <v>0.0</v>
      </c>
      <c r="J910" s="156">
        <v>0.0</v>
      </c>
      <c r="K910" s="154" t="s">
        <v>776</v>
      </c>
    </row>
    <row r="911">
      <c r="A911" s="154" t="s">
        <v>2665</v>
      </c>
      <c r="B911" s="154" t="s">
        <v>2666</v>
      </c>
      <c r="D911" s="154">
        <v>2.0</v>
      </c>
      <c r="E911" s="154" t="s">
        <v>761</v>
      </c>
      <c r="F911" s="154" t="s">
        <v>2668</v>
      </c>
      <c r="G911" s="154">
        <v>9.82122678091E11</v>
      </c>
      <c r="H911" s="156">
        <v>0.0</v>
      </c>
      <c r="I911" s="156">
        <v>0.0</v>
      </c>
      <c r="J911" s="156">
        <v>0.0</v>
      </c>
      <c r="K911" s="154" t="s">
        <v>776</v>
      </c>
    </row>
    <row r="912">
      <c r="A912" s="154" t="s">
        <v>2669</v>
      </c>
      <c r="B912" s="155"/>
      <c r="C912" s="154" t="s">
        <v>2670</v>
      </c>
      <c r="D912" s="155"/>
      <c r="E912" s="155"/>
      <c r="F912" s="154" t="s">
        <v>2671</v>
      </c>
      <c r="G912" s="154">
        <v>5.67331992E8</v>
      </c>
      <c r="H912" s="156">
        <v>0.0</v>
      </c>
      <c r="I912" s="154">
        <v>5.67331992E8</v>
      </c>
      <c r="J912" s="156">
        <v>0.0</v>
      </c>
      <c r="K912" s="154" t="s">
        <v>311</v>
      </c>
    </row>
    <row r="913">
      <c r="A913" s="154" t="s">
        <v>2669</v>
      </c>
      <c r="B913" s="154" t="s">
        <v>2670</v>
      </c>
      <c r="D913" s="154">
        <v>2.0</v>
      </c>
      <c r="E913" s="154" t="s">
        <v>761</v>
      </c>
      <c r="F913" s="154" t="s">
        <v>2672</v>
      </c>
      <c r="G913" s="154">
        <v>5.67351992E8</v>
      </c>
      <c r="H913" s="156">
        <v>0.0</v>
      </c>
      <c r="I913" s="154">
        <v>9.71567351992E11</v>
      </c>
      <c r="J913" s="156">
        <v>0.0</v>
      </c>
      <c r="K913" s="154" t="s">
        <v>311</v>
      </c>
    </row>
    <row r="914">
      <c r="A914" s="154" t="s">
        <v>2673</v>
      </c>
      <c r="B914" s="154" t="s">
        <v>2674</v>
      </c>
      <c r="D914" s="154">
        <v>2.0</v>
      </c>
      <c r="E914" s="154" t="s">
        <v>761</v>
      </c>
      <c r="F914" s="154" t="s">
        <v>2675</v>
      </c>
      <c r="G914" s="154">
        <v>5.28007248E8</v>
      </c>
      <c r="H914" s="156">
        <v>0.0</v>
      </c>
      <c r="I914" s="154">
        <v>5.66879066E8</v>
      </c>
      <c r="J914" s="156">
        <v>0.0</v>
      </c>
      <c r="K914" s="154" t="s">
        <v>884</v>
      </c>
    </row>
    <row r="915">
      <c r="A915" s="154" t="s">
        <v>2673</v>
      </c>
      <c r="B915" s="155"/>
      <c r="C915" s="154" t="s">
        <v>2674</v>
      </c>
      <c r="D915" s="155"/>
      <c r="E915" s="155"/>
      <c r="F915" s="154" t="s">
        <v>2676</v>
      </c>
      <c r="G915" s="154">
        <v>5.28006182E8</v>
      </c>
      <c r="H915" s="156">
        <v>0.0</v>
      </c>
      <c r="I915" s="154">
        <v>5.6683618E8</v>
      </c>
      <c r="J915" s="156">
        <v>0.0</v>
      </c>
      <c r="K915" s="154" t="s">
        <v>365</v>
      </c>
    </row>
    <row r="916">
      <c r="A916" s="154" t="s">
        <v>2677</v>
      </c>
      <c r="B916" s="155"/>
      <c r="C916" s="154" t="s">
        <v>2678</v>
      </c>
      <c r="D916" s="155"/>
      <c r="E916" s="155"/>
      <c r="F916" s="154" t="s">
        <v>2679</v>
      </c>
      <c r="G916" s="154">
        <v>4.0E7</v>
      </c>
      <c r="H916" s="156">
        <v>0.0</v>
      </c>
      <c r="I916" s="154">
        <v>5.29046927E8</v>
      </c>
      <c r="J916" s="156">
        <v>0.0</v>
      </c>
      <c r="K916" s="154" t="s">
        <v>311</v>
      </c>
    </row>
    <row r="917">
      <c r="A917" s="154" t="s">
        <v>2677</v>
      </c>
      <c r="B917" s="154" t="s">
        <v>2678</v>
      </c>
      <c r="D917" s="154">
        <v>2.0</v>
      </c>
      <c r="E917" s="154" t="s">
        <v>761</v>
      </c>
      <c r="F917" s="154" t="s">
        <v>2679</v>
      </c>
      <c r="G917" s="154">
        <v>4.0E7</v>
      </c>
      <c r="H917" s="156">
        <v>0.0</v>
      </c>
      <c r="I917" s="154">
        <v>5.29046927E8</v>
      </c>
      <c r="J917" s="156">
        <v>0.0</v>
      </c>
      <c r="K917" s="154" t="s">
        <v>311</v>
      </c>
    </row>
    <row r="918">
      <c r="A918" s="154" t="s">
        <v>2680</v>
      </c>
      <c r="B918" s="154" t="s">
        <v>2681</v>
      </c>
      <c r="D918" s="154">
        <v>2.0</v>
      </c>
      <c r="E918" s="154" t="s">
        <v>761</v>
      </c>
      <c r="F918" s="154" t="s">
        <v>2376</v>
      </c>
      <c r="G918" s="156">
        <v>0.0</v>
      </c>
      <c r="H918" s="154" t="s">
        <v>2377</v>
      </c>
      <c r="I918" s="154" t="s">
        <v>2378</v>
      </c>
      <c r="J918" s="154" t="s">
        <v>809</v>
      </c>
      <c r="K918" s="154" t="s">
        <v>197</v>
      </c>
    </row>
    <row r="919">
      <c r="A919" s="154" t="s">
        <v>2680</v>
      </c>
      <c r="B919" s="155"/>
      <c r="C919" s="154" t="s">
        <v>2681</v>
      </c>
      <c r="D919" s="155"/>
      <c r="E919" s="155"/>
      <c r="F919" s="154" t="s">
        <v>2376</v>
      </c>
      <c r="G919" s="156">
        <v>0.0</v>
      </c>
      <c r="H919" s="154" t="s">
        <v>2377</v>
      </c>
      <c r="I919" s="154" t="s">
        <v>2378</v>
      </c>
      <c r="J919" s="154" t="s">
        <v>809</v>
      </c>
      <c r="K919" s="154" t="s">
        <v>197</v>
      </c>
    </row>
    <row r="920">
      <c r="A920" s="154" t="s">
        <v>2682</v>
      </c>
      <c r="B920" s="154" t="s">
        <v>2683</v>
      </c>
      <c r="D920" s="154">
        <v>2.0</v>
      </c>
      <c r="E920" s="154" t="s">
        <v>761</v>
      </c>
      <c r="F920" s="154" t="s">
        <v>2684</v>
      </c>
      <c r="G920" s="154">
        <v>5.54873265E8</v>
      </c>
      <c r="H920" s="156">
        <v>0.0</v>
      </c>
      <c r="I920" s="154">
        <v>0.0</v>
      </c>
      <c r="J920" s="156">
        <v>0.0</v>
      </c>
      <c r="K920" s="154" t="s">
        <v>259</v>
      </c>
    </row>
    <row r="921">
      <c r="A921" s="154" t="s">
        <v>2682</v>
      </c>
      <c r="B921" s="155"/>
      <c r="C921" s="154" t="s">
        <v>2683</v>
      </c>
      <c r="D921" s="155"/>
      <c r="E921" s="155"/>
      <c r="F921" s="154" t="s">
        <v>2684</v>
      </c>
      <c r="G921" s="154">
        <v>5.54873265E8</v>
      </c>
      <c r="H921" s="156">
        <v>0.0</v>
      </c>
      <c r="I921" s="154">
        <v>0.0</v>
      </c>
      <c r="J921" s="156">
        <v>0.0</v>
      </c>
      <c r="K921" s="154" t="s">
        <v>259</v>
      </c>
    </row>
    <row r="922">
      <c r="A922" s="154" t="s">
        <v>2685</v>
      </c>
      <c r="B922" s="154" t="s">
        <v>2686</v>
      </c>
      <c r="D922" s="154">
        <v>2.0</v>
      </c>
      <c r="E922" s="154" t="s">
        <v>761</v>
      </c>
      <c r="F922" s="154" t="s">
        <v>2687</v>
      </c>
      <c r="G922" s="154">
        <v>5735709.0</v>
      </c>
      <c r="H922" s="156">
        <v>0.0</v>
      </c>
      <c r="I922" s="156">
        <v>0.0</v>
      </c>
      <c r="J922" s="156">
        <v>0.0</v>
      </c>
      <c r="K922" s="156">
        <v>0.0</v>
      </c>
    </row>
    <row r="923">
      <c r="A923" s="154" t="s">
        <v>2685</v>
      </c>
      <c r="B923" s="155"/>
      <c r="C923" s="154" t="s">
        <v>2686</v>
      </c>
      <c r="D923" s="155"/>
      <c r="E923" s="155"/>
      <c r="F923" s="154" t="s">
        <v>2687</v>
      </c>
      <c r="G923" s="154">
        <v>5735709.0</v>
      </c>
      <c r="H923" s="156">
        <v>0.0</v>
      </c>
      <c r="I923" s="156">
        <v>0.0</v>
      </c>
      <c r="J923" s="156">
        <v>0.0</v>
      </c>
      <c r="K923" s="156">
        <v>0.0</v>
      </c>
    </row>
    <row r="924">
      <c r="A924" s="154" t="s">
        <v>2688</v>
      </c>
      <c r="B924" s="155"/>
      <c r="C924" s="154" t="s">
        <v>2689</v>
      </c>
      <c r="D924" s="155"/>
      <c r="E924" s="155"/>
      <c r="F924" s="154" t="s">
        <v>2687</v>
      </c>
      <c r="G924" s="154">
        <v>5735709.0</v>
      </c>
      <c r="H924" s="156">
        <v>0.0</v>
      </c>
      <c r="I924" s="156">
        <v>0.0</v>
      </c>
      <c r="J924" s="156">
        <v>0.0</v>
      </c>
      <c r="K924" s="156">
        <v>0.0</v>
      </c>
    </row>
    <row r="925">
      <c r="A925" s="154" t="s">
        <v>2688</v>
      </c>
      <c r="B925" s="154" t="s">
        <v>2689</v>
      </c>
      <c r="D925" s="154">
        <v>2.0</v>
      </c>
      <c r="E925" s="154" t="s">
        <v>761</v>
      </c>
      <c r="F925" s="154" t="s">
        <v>2687</v>
      </c>
      <c r="G925" s="154">
        <v>5735709.0</v>
      </c>
      <c r="H925" s="156">
        <v>0.0</v>
      </c>
      <c r="I925" s="156">
        <v>0.0</v>
      </c>
      <c r="J925" s="156">
        <v>0.0</v>
      </c>
      <c r="K925" s="156">
        <v>0.0</v>
      </c>
    </row>
    <row r="926">
      <c r="A926" s="154" t="s">
        <v>2690</v>
      </c>
      <c r="B926" s="154" t="s">
        <v>2691</v>
      </c>
      <c r="D926" s="154">
        <v>2.0</v>
      </c>
      <c r="E926" s="154" t="s">
        <v>761</v>
      </c>
      <c r="F926" s="154" t="s">
        <v>2687</v>
      </c>
      <c r="G926" s="154">
        <v>5735709.0</v>
      </c>
      <c r="H926" s="156">
        <v>0.0</v>
      </c>
      <c r="I926" s="156">
        <v>0.0</v>
      </c>
      <c r="J926" s="156">
        <v>0.0</v>
      </c>
      <c r="K926" s="156">
        <v>0.0</v>
      </c>
    </row>
    <row r="927">
      <c r="A927" s="154" t="s">
        <v>2690</v>
      </c>
      <c r="B927" s="155"/>
      <c r="C927" s="154" t="s">
        <v>2691</v>
      </c>
      <c r="D927" s="155"/>
      <c r="E927" s="155"/>
      <c r="F927" s="154" t="s">
        <v>2687</v>
      </c>
      <c r="G927" s="154">
        <v>5735709.0</v>
      </c>
      <c r="H927" s="156">
        <v>0.0</v>
      </c>
      <c r="I927" s="156">
        <v>0.0</v>
      </c>
      <c r="J927" s="156">
        <v>0.0</v>
      </c>
      <c r="K927" s="156">
        <v>0.0</v>
      </c>
    </row>
    <row r="928">
      <c r="A928" s="154" t="s">
        <v>2692</v>
      </c>
      <c r="B928" s="154" t="s">
        <v>2693</v>
      </c>
      <c r="D928" s="154">
        <v>2.0</v>
      </c>
      <c r="E928" s="154" t="s">
        <v>761</v>
      </c>
      <c r="F928" s="154" t="s">
        <v>2687</v>
      </c>
      <c r="G928" s="154">
        <v>5735709.0</v>
      </c>
      <c r="H928" s="156">
        <v>0.0</v>
      </c>
      <c r="I928" s="156">
        <v>0.0</v>
      </c>
      <c r="J928" s="156">
        <v>0.0</v>
      </c>
      <c r="K928" s="156">
        <v>0.0</v>
      </c>
    </row>
    <row r="929">
      <c r="A929" s="154" t="s">
        <v>2692</v>
      </c>
      <c r="B929" s="155"/>
      <c r="C929" s="154" t="s">
        <v>2693</v>
      </c>
      <c r="D929" s="155"/>
      <c r="E929" s="155"/>
      <c r="F929" s="154" t="s">
        <v>2687</v>
      </c>
      <c r="G929" s="154">
        <v>5735709.0</v>
      </c>
      <c r="H929" s="156">
        <v>0.0</v>
      </c>
      <c r="I929" s="156">
        <v>0.0</v>
      </c>
      <c r="J929" s="156">
        <v>0.0</v>
      </c>
      <c r="K929" s="156">
        <v>0.0</v>
      </c>
    </row>
    <row r="930">
      <c r="A930" s="154" t="s">
        <v>2694</v>
      </c>
      <c r="B930" s="154" t="s">
        <v>2695</v>
      </c>
      <c r="D930" s="154">
        <v>2.0</v>
      </c>
      <c r="E930" s="154" t="s">
        <v>761</v>
      </c>
      <c r="F930" s="154" t="s">
        <v>2696</v>
      </c>
      <c r="G930" s="156">
        <v>0.0</v>
      </c>
      <c r="H930" s="154" t="s">
        <v>2697</v>
      </c>
      <c r="I930" s="154" t="s">
        <v>2698</v>
      </c>
      <c r="J930" s="154" t="s">
        <v>2699</v>
      </c>
      <c r="K930" s="154" t="s">
        <v>939</v>
      </c>
    </row>
    <row r="931">
      <c r="A931" s="154" t="s">
        <v>2694</v>
      </c>
      <c r="B931" s="155"/>
      <c r="C931" s="154" t="s">
        <v>2695</v>
      </c>
      <c r="D931" s="155"/>
      <c r="E931" s="155"/>
      <c r="F931" s="154" t="s">
        <v>2696</v>
      </c>
      <c r="G931" s="156">
        <v>0.0</v>
      </c>
      <c r="H931" s="154" t="s">
        <v>2697</v>
      </c>
      <c r="I931" s="154" t="s">
        <v>2698</v>
      </c>
      <c r="J931" s="154" t="s">
        <v>2699</v>
      </c>
      <c r="K931" s="154" t="s">
        <v>939</v>
      </c>
    </row>
    <row r="932">
      <c r="A932" s="154" t="s">
        <v>2700</v>
      </c>
      <c r="B932" s="154" t="s">
        <v>2701</v>
      </c>
      <c r="D932" s="154">
        <v>2.0</v>
      </c>
      <c r="E932" s="154" t="s">
        <v>761</v>
      </c>
      <c r="F932" s="154" t="s">
        <v>2702</v>
      </c>
      <c r="G932" s="156">
        <v>0.0</v>
      </c>
      <c r="H932" s="156">
        <v>0.0</v>
      </c>
      <c r="I932" s="154">
        <v>0.0</v>
      </c>
      <c r="J932" s="156">
        <v>0.0</v>
      </c>
      <c r="K932" s="154" t="s">
        <v>760</v>
      </c>
    </row>
    <row r="933">
      <c r="A933" s="154" t="s">
        <v>2700</v>
      </c>
      <c r="B933" s="155"/>
      <c r="C933" s="154" t="s">
        <v>2701</v>
      </c>
      <c r="D933" s="155"/>
      <c r="E933" s="155"/>
      <c r="F933" s="154" t="s">
        <v>2702</v>
      </c>
      <c r="G933" s="156">
        <v>0.0</v>
      </c>
      <c r="H933" s="156">
        <v>0.0</v>
      </c>
      <c r="I933" s="154">
        <v>0.0</v>
      </c>
      <c r="J933" s="156">
        <v>0.0</v>
      </c>
      <c r="K933" s="154" t="s">
        <v>760</v>
      </c>
    </row>
    <row r="934">
      <c r="A934" s="154" t="s">
        <v>2703</v>
      </c>
      <c r="B934" s="155"/>
      <c r="C934" s="154" t="s">
        <v>2704</v>
      </c>
      <c r="D934" s="155"/>
      <c r="E934" s="155"/>
      <c r="F934" s="154" t="s">
        <v>2705</v>
      </c>
      <c r="G934" s="156">
        <v>0.0</v>
      </c>
      <c r="H934" s="156">
        <v>0.0</v>
      </c>
      <c r="I934" s="154">
        <v>5.06546394E8</v>
      </c>
      <c r="J934" s="156">
        <v>0.0</v>
      </c>
      <c r="K934" s="154" t="s">
        <v>301</v>
      </c>
    </row>
    <row r="935">
      <c r="A935" s="154" t="s">
        <v>2703</v>
      </c>
      <c r="B935" s="154" t="s">
        <v>2704</v>
      </c>
      <c r="D935" s="154">
        <v>2.0</v>
      </c>
      <c r="E935" s="154" t="s">
        <v>761</v>
      </c>
      <c r="F935" s="154" t="s">
        <v>2705</v>
      </c>
      <c r="G935" s="156">
        <v>0.0</v>
      </c>
      <c r="H935" s="156">
        <v>0.0</v>
      </c>
      <c r="I935" s="154">
        <v>5.06546394E8</v>
      </c>
      <c r="J935" s="156">
        <v>0.0</v>
      </c>
      <c r="K935" s="154" t="s">
        <v>301</v>
      </c>
    </row>
    <row r="936">
      <c r="A936" s="154" t="s">
        <v>2706</v>
      </c>
      <c r="B936" s="155"/>
      <c r="C936" s="154" t="s">
        <v>2707</v>
      </c>
      <c r="D936" s="155"/>
      <c r="E936" s="155"/>
      <c r="F936" s="154" t="s">
        <v>2708</v>
      </c>
      <c r="G936" s="156">
        <v>0.0</v>
      </c>
      <c r="H936" s="156">
        <v>0.0</v>
      </c>
      <c r="I936" s="154">
        <v>9.71505537211E11</v>
      </c>
      <c r="J936" s="156">
        <v>0.0</v>
      </c>
      <c r="K936" s="154" t="s">
        <v>1059</v>
      </c>
    </row>
    <row r="937">
      <c r="A937" s="154" t="s">
        <v>2706</v>
      </c>
      <c r="B937" s="154" t="s">
        <v>2707</v>
      </c>
      <c r="D937" s="154">
        <v>2.0</v>
      </c>
      <c r="E937" s="154" t="s">
        <v>761</v>
      </c>
      <c r="F937" s="154" t="s">
        <v>2708</v>
      </c>
      <c r="G937" s="156">
        <v>0.0</v>
      </c>
      <c r="H937" s="156">
        <v>0.0</v>
      </c>
      <c r="I937" s="154">
        <v>9.71505537211E11</v>
      </c>
      <c r="J937" s="156">
        <v>0.0</v>
      </c>
      <c r="K937" s="154" t="s">
        <v>1059</v>
      </c>
    </row>
    <row r="938">
      <c r="A938" s="154" t="s">
        <v>2709</v>
      </c>
      <c r="B938" s="154" t="s">
        <v>2710</v>
      </c>
      <c r="D938" s="154">
        <v>2.0</v>
      </c>
      <c r="E938" s="154" t="s">
        <v>761</v>
      </c>
      <c r="F938" s="154" t="s">
        <v>2711</v>
      </c>
      <c r="G938" s="156">
        <v>0.0</v>
      </c>
      <c r="H938" s="156">
        <v>0.0</v>
      </c>
      <c r="I938" s="154" t="s">
        <v>2712</v>
      </c>
      <c r="J938" s="156">
        <v>0.0</v>
      </c>
      <c r="K938" s="154" t="s">
        <v>361</v>
      </c>
    </row>
    <row r="939">
      <c r="A939" s="154" t="s">
        <v>2709</v>
      </c>
      <c r="B939" s="155"/>
      <c r="C939" s="154" t="s">
        <v>2710</v>
      </c>
      <c r="D939" s="155"/>
      <c r="E939" s="155"/>
      <c r="F939" s="154" t="s">
        <v>2713</v>
      </c>
      <c r="G939" s="154" t="s">
        <v>2714</v>
      </c>
      <c r="H939" s="154" t="s">
        <v>2715</v>
      </c>
      <c r="I939" s="154" t="s">
        <v>2716</v>
      </c>
      <c r="J939" s="154" t="s">
        <v>2714</v>
      </c>
      <c r="K939" s="154" t="s">
        <v>361</v>
      </c>
    </row>
    <row r="940">
      <c r="A940" s="154" t="s">
        <v>2717</v>
      </c>
      <c r="B940" s="154" t="s">
        <v>2718</v>
      </c>
      <c r="D940" s="154">
        <v>2.0</v>
      </c>
      <c r="E940" s="154" t="s">
        <v>761</v>
      </c>
      <c r="F940" s="154" t="s">
        <v>2719</v>
      </c>
      <c r="G940" s="156">
        <v>0.0</v>
      </c>
      <c r="H940" s="156">
        <v>0.0</v>
      </c>
      <c r="I940" s="154" t="s">
        <v>2720</v>
      </c>
      <c r="J940" s="154" t="s">
        <v>2721</v>
      </c>
      <c r="K940" s="154" t="s">
        <v>301</v>
      </c>
    </row>
    <row r="941">
      <c r="A941" s="154" t="s">
        <v>2717</v>
      </c>
      <c r="B941" s="155"/>
      <c r="C941" s="154" t="s">
        <v>2718</v>
      </c>
      <c r="D941" s="155"/>
      <c r="E941" s="155"/>
      <c r="F941" s="154" t="s">
        <v>2719</v>
      </c>
      <c r="G941" s="156">
        <v>0.0</v>
      </c>
      <c r="H941" s="156">
        <v>0.0</v>
      </c>
      <c r="I941" s="154" t="s">
        <v>2720</v>
      </c>
      <c r="J941" s="154" t="s">
        <v>2721</v>
      </c>
      <c r="K941" s="154" t="s">
        <v>301</v>
      </c>
    </row>
    <row r="942">
      <c r="A942" s="154" t="s">
        <v>2722</v>
      </c>
      <c r="B942" s="155"/>
      <c r="C942" s="154" t="s">
        <v>2723</v>
      </c>
      <c r="D942" s="155"/>
      <c r="E942" s="155"/>
      <c r="F942" s="154" t="s">
        <v>2724</v>
      </c>
      <c r="G942" s="156">
        <v>0.0</v>
      </c>
      <c r="H942" s="156">
        <v>0.0</v>
      </c>
      <c r="I942" s="154">
        <v>9.66555625883E11</v>
      </c>
      <c r="J942" s="156">
        <v>0.0</v>
      </c>
      <c r="K942" s="154" t="s">
        <v>914</v>
      </c>
    </row>
    <row r="943">
      <c r="A943" s="154" t="s">
        <v>2722</v>
      </c>
      <c r="B943" s="154" t="s">
        <v>2723</v>
      </c>
      <c r="D943" s="154">
        <v>2.0</v>
      </c>
      <c r="E943" s="154" t="s">
        <v>761</v>
      </c>
      <c r="F943" s="154" t="s">
        <v>2724</v>
      </c>
      <c r="G943" s="156">
        <v>0.0</v>
      </c>
      <c r="H943" s="156">
        <v>0.0</v>
      </c>
      <c r="I943" s="154">
        <v>9.66555625883E11</v>
      </c>
      <c r="J943" s="156">
        <v>0.0</v>
      </c>
      <c r="K943" s="154" t="s">
        <v>914</v>
      </c>
    </row>
    <row r="944">
      <c r="A944" s="154" t="s">
        <v>2725</v>
      </c>
      <c r="B944" s="155"/>
      <c r="C944" s="154" t="s">
        <v>2726</v>
      </c>
      <c r="D944" s="155"/>
      <c r="E944" s="155"/>
      <c r="F944" s="154" t="s">
        <v>1619</v>
      </c>
      <c r="G944" s="154">
        <v>4.3903333E7</v>
      </c>
      <c r="H944" s="154" t="s">
        <v>1620</v>
      </c>
      <c r="I944" s="156">
        <v>0.0</v>
      </c>
      <c r="J944" s="156">
        <v>0.0</v>
      </c>
      <c r="K944" s="156">
        <v>0.0</v>
      </c>
    </row>
    <row r="945">
      <c r="A945" s="154" t="s">
        <v>2725</v>
      </c>
      <c r="B945" s="154" t="s">
        <v>2726</v>
      </c>
      <c r="D945" s="154">
        <v>2.0</v>
      </c>
      <c r="E945" s="154" t="s">
        <v>761</v>
      </c>
      <c r="F945" s="154" t="s">
        <v>1619</v>
      </c>
      <c r="G945" s="154">
        <v>4.3903333E7</v>
      </c>
      <c r="H945" s="154" t="s">
        <v>1620</v>
      </c>
      <c r="I945" s="156">
        <v>0.0</v>
      </c>
      <c r="J945" s="156">
        <v>0.0</v>
      </c>
      <c r="K945" s="156">
        <v>0.0</v>
      </c>
    </row>
    <row r="946">
      <c r="A946" s="154" t="s">
        <v>2727</v>
      </c>
      <c r="B946" s="155"/>
      <c r="C946" s="154" t="s">
        <v>2728</v>
      </c>
      <c r="D946" s="155"/>
      <c r="E946" s="155"/>
      <c r="F946" s="154" t="s">
        <v>2729</v>
      </c>
      <c r="G946" s="156">
        <v>0.0</v>
      </c>
      <c r="H946" s="156">
        <v>0.0</v>
      </c>
      <c r="I946" s="154">
        <v>5.06506634E8</v>
      </c>
      <c r="J946" s="156">
        <v>0.0</v>
      </c>
      <c r="K946" s="154" t="s">
        <v>361</v>
      </c>
    </row>
    <row r="947">
      <c r="A947" s="154" t="s">
        <v>2727</v>
      </c>
      <c r="B947" s="154" t="s">
        <v>2728</v>
      </c>
      <c r="D947" s="154">
        <v>2.0</v>
      </c>
      <c r="E947" s="154" t="s">
        <v>761</v>
      </c>
      <c r="F947" s="154" t="s">
        <v>2730</v>
      </c>
      <c r="G947" s="156">
        <v>0.0</v>
      </c>
      <c r="H947" s="156">
        <v>0.0</v>
      </c>
      <c r="I947" s="154">
        <v>5.06506634E8</v>
      </c>
      <c r="J947" s="156">
        <v>0.0</v>
      </c>
      <c r="K947" s="154" t="s">
        <v>361</v>
      </c>
    </row>
    <row r="948">
      <c r="A948" s="154" t="s">
        <v>2731</v>
      </c>
      <c r="B948" s="155"/>
      <c r="C948" s="154" t="s">
        <v>2732</v>
      </c>
      <c r="D948" s="155"/>
      <c r="E948" s="155"/>
      <c r="F948" s="154" t="s">
        <v>2733</v>
      </c>
      <c r="G948" s="154">
        <v>5.54710271E8</v>
      </c>
      <c r="H948" s="156">
        <v>0.0</v>
      </c>
      <c r="I948" s="156">
        <v>0.0</v>
      </c>
      <c r="J948" s="156">
        <v>0.0</v>
      </c>
      <c r="K948" s="154" t="s">
        <v>240</v>
      </c>
    </row>
    <row r="949">
      <c r="A949" s="154" t="s">
        <v>2731</v>
      </c>
      <c r="B949" s="154" t="s">
        <v>2732</v>
      </c>
      <c r="D949" s="154">
        <v>2.0</v>
      </c>
      <c r="E949" s="154" t="s">
        <v>761</v>
      </c>
      <c r="F949" s="154" t="s">
        <v>2733</v>
      </c>
      <c r="G949" s="154">
        <v>5.54710271E8</v>
      </c>
      <c r="H949" s="156">
        <v>0.0</v>
      </c>
      <c r="I949" s="156">
        <v>0.0</v>
      </c>
      <c r="J949" s="156">
        <v>0.0</v>
      </c>
      <c r="K949" s="154" t="s">
        <v>240</v>
      </c>
    </row>
    <row r="950">
      <c r="A950" s="154" t="s">
        <v>2734</v>
      </c>
      <c r="B950" s="155"/>
      <c r="C950" s="154" t="s">
        <v>2735</v>
      </c>
      <c r="D950" s="155"/>
      <c r="E950" s="155"/>
      <c r="F950" s="154" t="s">
        <v>2736</v>
      </c>
      <c r="G950" s="154">
        <v>9.7142863363E10</v>
      </c>
      <c r="H950" s="156">
        <v>0.0</v>
      </c>
      <c r="I950" s="156">
        <v>0.0</v>
      </c>
      <c r="J950" s="156">
        <v>0.0</v>
      </c>
      <c r="K950" s="154" t="s">
        <v>361</v>
      </c>
    </row>
    <row r="951">
      <c r="A951" s="154" t="s">
        <v>2734</v>
      </c>
      <c r="B951" s="154" t="s">
        <v>2735</v>
      </c>
      <c r="D951" s="154">
        <v>2.0</v>
      </c>
      <c r="E951" s="154" t="s">
        <v>761</v>
      </c>
      <c r="F951" s="154" t="s">
        <v>2736</v>
      </c>
      <c r="G951" s="154">
        <v>9.7142863363E10</v>
      </c>
      <c r="H951" s="156">
        <v>0.0</v>
      </c>
      <c r="I951" s="156">
        <v>0.0</v>
      </c>
      <c r="J951" s="156">
        <v>0.0</v>
      </c>
      <c r="K951" s="154" t="s">
        <v>361</v>
      </c>
    </row>
    <row r="952">
      <c r="A952" s="154" t="s">
        <v>2737</v>
      </c>
      <c r="B952" s="154" t="s">
        <v>2738</v>
      </c>
      <c r="D952" s="154">
        <v>2.0</v>
      </c>
      <c r="E952" s="154" t="s">
        <v>761</v>
      </c>
      <c r="F952" s="154" t="s">
        <v>2739</v>
      </c>
      <c r="G952" s="154">
        <v>5.07840268E8</v>
      </c>
      <c r="H952" s="156">
        <v>0.0</v>
      </c>
      <c r="I952" s="154">
        <v>5.06253133E8</v>
      </c>
      <c r="J952" s="156">
        <v>0.0</v>
      </c>
      <c r="K952" s="154" t="s">
        <v>361</v>
      </c>
    </row>
    <row r="953">
      <c r="A953" s="154" t="s">
        <v>2737</v>
      </c>
      <c r="B953" s="155"/>
      <c r="C953" s="154" t="s">
        <v>2738</v>
      </c>
      <c r="D953" s="155"/>
      <c r="E953" s="155"/>
      <c r="F953" s="154" t="s">
        <v>2739</v>
      </c>
      <c r="G953" s="154">
        <v>5.07840268E8</v>
      </c>
      <c r="H953" s="156">
        <v>0.0</v>
      </c>
      <c r="I953" s="154">
        <v>5.06253133E8</v>
      </c>
      <c r="J953" s="156">
        <v>0.0</v>
      </c>
      <c r="K953" s="154" t="s">
        <v>361</v>
      </c>
    </row>
    <row r="954">
      <c r="A954" s="154" t="s">
        <v>2740</v>
      </c>
      <c r="B954" s="155"/>
      <c r="C954" s="154" t="s">
        <v>2741</v>
      </c>
      <c r="D954" s="155"/>
      <c r="E954" s="155"/>
      <c r="F954" s="154" t="s">
        <v>2742</v>
      </c>
      <c r="G954" s="156">
        <v>0.0</v>
      </c>
      <c r="H954" s="156">
        <v>0.0</v>
      </c>
      <c r="I954" s="154">
        <v>5.06569446E8</v>
      </c>
      <c r="J954" s="156">
        <v>0.0</v>
      </c>
      <c r="K954" s="154" t="s">
        <v>206</v>
      </c>
    </row>
    <row r="955">
      <c r="A955" s="154" t="s">
        <v>2740</v>
      </c>
      <c r="B955" s="154" t="s">
        <v>2741</v>
      </c>
      <c r="D955" s="154">
        <v>2.0</v>
      </c>
      <c r="E955" s="154" t="s">
        <v>761</v>
      </c>
      <c r="F955" s="154" t="s">
        <v>2743</v>
      </c>
      <c r="G955" s="154">
        <v>5.09128639E8</v>
      </c>
      <c r="H955" s="156">
        <v>0.0</v>
      </c>
      <c r="I955" s="156">
        <v>0.0</v>
      </c>
      <c r="J955" s="156">
        <v>0.0</v>
      </c>
      <c r="K955" s="154" t="s">
        <v>1814</v>
      </c>
    </row>
    <row r="956">
      <c r="A956" s="154" t="s">
        <v>2744</v>
      </c>
      <c r="B956" s="154" t="s">
        <v>2745</v>
      </c>
      <c r="D956" s="154">
        <v>2.0</v>
      </c>
      <c r="E956" s="154" t="s">
        <v>761</v>
      </c>
      <c r="F956" s="154" t="s">
        <v>2746</v>
      </c>
      <c r="G956" s="154" t="s">
        <v>2747</v>
      </c>
      <c r="H956" s="156">
        <v>0.0</v>
      </c>
      <c r="I956" s="154">
        <v>9.71506243853E11</v>
      </c>
      <c r="J956" s="156">
        <v>0.0</v>
      </c>
      <c r="K956" s="154" t="s">
        <v>2748</v>
      </c>
    </row>
    <row r="957">
      <c r="A957" s="154" t="s">
        <v>2744</v>
      </c>
      <c r="B957" s="155"/>
      <c r="C957" s="154" t="s">
        <v>2745</v>
      </c>
      <c r="D957" s="155"/>
      <c r="E957" s="155"/>
      <c r="F957" s="154" t="s">
        <v>2749</v>
      </c>
      <c r="G957" s="154">
        <v>4.2994486E7</v>
      </c>
      <c r="H957" s="154" t="s">
        <v>2750</v>
      </c>
      <c r="I957" s="154">
        <v>5.06243853E8</v>
      </c>
      <c r="J957" s="156">
        <v>0.0</v>
      </c>
      <c r="K957" s="154" t="s">
        <v>2748</v>
      </c>
    </row>
    <row r="958">
      <c r="A958" s="154" t="s">
        <v>2751</v>
      </c>
      <c r="B958" s="154" t="s">
        <v>2752</v>
      </c>
      <c r="D958" s="154">
        <v>2.0</v>
      </c>
      <c r="E958" s="154" t="s">
        <v>761</v>
      </c>
      <c r="F958" s="154" t="s">
        <v>2753</v>
      </c>
      <c r="G958" s="154">
        <v>4.3911111E7</v>
      </c>
      <c r="H958" s="156">
        <v>0.0</v>
      </c>
      <c r="I958" s="154">
        <v>5.66822477E8</v>
      </c>
      <c r="J958" s="156">
        <v>0.0</v>
      </c>
      <c r="K958" s="154" t="s">
        <v>311</v>
      </c>
    </row>
    <row r="959">
      <c r="A959" s="154" t="s">
        <v>2751</v>
      </c>
      <c r="B959" s="155"/>
      <c r="C959" s="154" t="s">
        <v>2752</v>
      </c>
      <c r="D959" s="155"/>
      <c r="E959" s="155"/>
      <c r="F959" s="154" t="s">
        <v>2753</v>
      </c>
      <c r="G959" s="154">
        <v>4.3911111E7</v>
      </c>
      <c r="H959" s="156">
        <v>0.0</v>
      </c>
      <c r="I959" s="154">
        <v>5.66822477E8</v>
      </c>
      <c r="J959" s="156">
        <v>0.0</v>
      </c>
      <c r="K959" s="154" t="s">
        <v>311</v>
      </c>
    </row>
    <row r="960">
      <c r="A960" s="154" t="s">
        <v>2754</v>
      </c>
      <c r="B960" s="154" t="s">
        <v>2755</v>
      </c>
      <c r="D960" s="154">
        <v>2.0</v>
      </c>
      <c r="E960" s="154" t="s">
        <v>761</v>
      </c>
      <c r="F960" s="154" t="s">
        <v>2756</v>
      </c>
      <c r="G960" s="156">
        <v>0.0</v>
      </c>
      <c r="H960" s="156">
        <v>0.0</v>
      </c>
      <c r="I960" s="154">
        <v>9.71506249532E11</v>
      </c>
      <c r="J960" s="156">
        <v>0.0</v>
      </c>
      <c r="K960" s="154" t="s">
        <v>884</v>
      </c>
    </row>
    <row r="961">
      <c r="A961" s="154" t="s">
        <v>2754</v>
      </c>
      <c r="B961" s="155"/>
      <c r="C961" s="154" t="s">
        <v>2755</v>
      </c>
      <c r="D961" s="155"/>
      <c r="E961" s="155"/>
      <c r="F961" s="154" t="s">
        <v>2756</v>
      </c>
      <c r="G961" s="156">
        <v>0.0</v>
      </c>
      <c r="H961" s="156">
        <v>0.0</v>
      </c>
      <c r="I961" s="154">
        <v>9.71506249532E11</v>
      </c>
      <c r="J961" s="156">
        <v>0.0</v>
      </c>
      <c r="K961" s="154" t="s">
        <v>884</v>
      </c>
    </row>
    <row r="962">
      <c r="A962" s="154" t="s">
        <v>2757</v>
      </c>
      <c r="B962" s="154" t="s">
        <v>2758</v>
      </c>
      <c r="D962" s="154">
        <v>2.0</v>
      </c>
      <c r="E962" s="154" t="s">
        <v>761</v>
      </c>
      <c r="F962" s="154" t="s">
        <v>2759</v>
      </c>
      <c r="G962" s="154">
        <v>5.02221722E8</v>
      </c>
      <c r="H962" s="156">
        <v>0.0</v>
      </c>
      <c r="I962" s="154">
        <v>5.02221722E8</v>
      </c>
      <c r="J962" s="156">
        <v>0.0</v>
      </c>
      <c r="K962" s="154" t="s">
        <v>207</v>
      </c>
    </row>
    <row r="963">
      <c r="A963" s="154" t="s">
        <v>2757</v>
      </c>
      <c r="B963" s="155"/>
      <c r="C963" s="154" t="s">
        <v>2758</v>
      </c>
      <c r="D963" s="155"/>
      <c r="E963" s="155"/>
      <c r="F963" s="154" t="s">
        <v>2759</v>
      </c>
      <c r="G963" s="154">
        <v>5.02221722E8</v>
      </c>
      <c r="H963" s="156">
        <v>0.0</v>
      </c>
      <c r="I963" s="154">
        <v>5.02221722E8</v>
      </c>
      <c r="J963" s="156">
        <v>0.0</v>
      </c>
      <c r="K963" s="154" t="s">
        <v>207</v>
      </c>
    </row>
    <row r="964">
      <c r="A964" s="154" t="s">
        <v>2760</v>
      </c>
      <c r="B964" s="155"/>
      <c r="C964" s="154" t="s">
        <v>2761</v>
      </c>
      <c r="D964" s="155"/>
      <c r="E964" s="155"/>
      <c r="F964" s="154" t="s">
        <v>2762</v>
      </c>
      <c r="G964" s="154">
        <v>0.0</v>
      </c>
      <c r="H964" s="156">
        <v>0.0</v>
      </c>
      <c r="I964" s="154" t="s">
        <v>2763</v>
      </c>
      <c r="J964" s="156">
        <v>0.0</v>
      </c>
      <c r="K964" s="154" t="s">
        <v>259</v>
      </c>
    </row>
    <row r="965">
      <c r="A965" s="154" t="s">
        <v>2760</v>
      </c>
      <c r="B965" s="154" t="s">
        <v>2761</v>
      </c>
      <c r="D965" s="154">
        <v>2.0</v>
      </c>
      <c r="E965" s="154" t="s">
        <v>761</v>
      </c>
      <c r="F965" s="154" t="s">
        <v>2762</v>
      </c>
      <c r="G965" s="154">
        <v>0.0</v>
      </c>
      <c r="H965" s="156">
        <v>0.0</v>
      </c>
      <c r="I965" s="154" t="s">
        <v>2763</v>
      </c>
      <c r="J965" s="156">
        <v>0.0</v>
      </c>
      <c r="K965" s="154" t="s">
        <v>259</v>
      </c>
    </row>
    <row r="966">
      <c r="A966" s="154" t="s">
        <v>2764</v>
      </c>
      <c r="B966" s="154" t="s">
        <v>2765</v>
      </c>
      <c r="D966" s="154">
        <v>2.0</v>
      </c>
      <c r="E966" s="154" t="s">
        <v>761</v>
      </c>
      <c r="F966" s="154" t="s">
        <v>2766</v>
      </c>
      <c r="G966" s="156">
        <v>0.0</v>
      </c>
      <c r="H966" s="156">
        <v>0.0</v>
      </c>
      <c r="I966" s="154">
        <v>5.06250283E8</v>
      </c>
      <c r="J966" s="156">
        <v>0.0</v>
      </c>
      <c r="K966" s="154" t="s">
        <v>365</v>
      </c>
    </row>
    <row r="967">
      <c r="A967" s="154" t="s">
        <v>2764</v>
      </c>
      <c r="B967" s="155"/>
      <c r="C967" s="154" t="s">
        <v>2765</v>
      </c>
      <c r="D967" s="155"/>
      <c r="E967" s="155"/>
      <c r="F967" s="154" t="s">
        <v>2766</v>
      </c>
      <c r="G967" s="156">
        <v>0.0</v>
      </c>
      <c r="H967" s="156">
        <v>0.0</v>
      </c>
      <c r="I967" s="154">
        <v>5.06250283E8</v>
      </c>
      <c r="J967" s="156">
        <v>0.0</v>
      </c>
      <c r="K967" s="154" t="s">
        <v>365</v>
      </c>
    </row>
    <row r="968">
      <c r="A968" s="154" t="s">
        <v>2767</v>
      </c>
      <c r="B968" s="155"/>
      <c r="C968" s="154" t="s">
        <v>2768</v>
      </c>
      <c r="D968" s="155"/>
      <c r="E968" s="155"/>
      <c r="F968" s="154" t="s">
        <v>2769</v>
      </c>
      <c r="G968" s="156">
        <v>0.0</v>
      </c>
      <c r="H968" s="156">
        <v>0.0</v>
      </c>
      <c r="I968" s="154" t="s">
        <v>2770</v>
      </c>
      <c r="J968" s="154" t="s">
        <v>2771</v>
      </c>
      <c r="K968" s="154" t="s">
        <v>1426</v>
      </c>
    </row>
    <row r="969">
      <c r="A969" s="154" t="s">
        <v>2767</v>
      </c>
      <c r="B969" s="154" t="s">
        <v>2768</v>
      </c>
      <c r="D969" s="154">
        <v>2.0</v>
      </c>
      <c r="E969" s="154" t="s">
        <v>761</v>
      </c>
      <c r="F969" s="154" t="s">
        <v>2769</v>
      </c>
      <c r="G969" s="156">
        <v>0.0</v>
      </c>
      <c r="H969" s="156">
        <v>0.0</v>
      </c>
      <c r="I969" s="154" t="s">
        <v>2770</v>
      </c>
      <c r="J969" s="154" t="s">
        <v>2771</v>
      </c>
      <c r="K969" s="154" t="s">
        <v>1426</v>
      </c>
    </row>
    <row r="970">
      <c r="A970" s="154" t="s">
        <v>2772</v>
      </c>
      <c r="B970" s="155"/>
      <c r="C970" s="154" t="s">
        <v>2773</v>
      </c>
      <c r="D970" s="155"/>
      <c r="E970" s="155"/>
      <c r="F970" s="154" t="s">
        <v>2774</v>
      </c>
      <c r="G970" s="154">
        <v>0.0</v>
      </c>
      <c r="H970" s="156">
        <v>0.0</v>
      </c>
      <c r="I970" s="154">
        <v>9.71508246314E11</v>
      </c>
      <c r="J970" s="156">
        <v>0.0</v>
      </c>
      <c r="K970" s="154" t="s">
        <v>361</v>
      </c>
    </row>
    <row r="971">
      <c r="A971" s="154" t="s">
        <v>2772</v>
      </c>
      <c r="B971" s="154" t="s">
        <v>2773</v>
      </c>
      <c r="D971" s="154">
        <v>2.0</v>
      </c>
      <c r="E971" s="154" t="s">
        <v>761</v>
      </c>
      <c r="F971" s="154" t="s">
        <v>2775</v>
      </c>
      <c r="G971" s="154">
        <v>5.082646314E9</v>
      </c>
      <c r="H971" s="156">
        <v>0.0</v>
      </c>
      <c r="I971" s="154">
        <v>9.71508246314E11</v>
      </c>
      <c r="J971" s="156">
        <v>0.0</v>
      </c>
      <c r="K971" s="154" t="s">
        <v>361</v>
      </c>
    </row>
    <row r="972">
      <c r="A972" s="154" t="s">
        <v>2776</v>
      </c>
      <c r="B972" s="154" t="s">
        <v>2777</v>
      </c>
      <c r="D972" s="154">
        <v>2.0</v>
      </c>
      <c r="E972" s="154" t="s">
        <v>761</v>
      </c>
      <c r="F972" s="154" t="s">
        <v>2778</v>
      </c>
      <c r="G972" s="156">
        <v>0.0</v>
      </c>
      <c r="H972" s="156">
        <v>0.0</v>
      </c>
      <c r="I972" s="154">
        <v>9.71506531285E11</v>
      </c>
      <c r="J972" s="156">
        <v>0.0</v>
      </c>
      <c r="K972" s="154" t="s">
        <v>1059</v>
      </c>
    </row>
    <row r="973">
      <c r="A973" s="154" t="s">
        <v>2776</v>
      </c>
      <c r="B973" s="155"/>
      <c r="C973" s="154" t="s">
        <v>2777</v>
      </c>
      <c r="D973" s="155"/>
      <c r="E973" s="155"/>
      <c r="F973" s="154" t="s">
        <v>2778</v>
      </c>
      <c r="G973" s="156">
        <v>0.0</v>
      </c>
      <c r="H973" s="156">
        <v>0.0</v>
      </c>
      <c r="I973" s="154">
        <v>9.71506531285E11</v>
      </c>
      <c r="J973" s="156">
        <v>0.0</v>
      </c>
      <c r="K973" s="154" t="s">
        <v>1059</v>
      </c>
    </row>
    <row r="974">
      <c r="A974" s="154" t="s">
        <v>2779</v>
      </c>
      <c r="B974" s="155"/>
      <c r="C974" s="154" t="s">
        <v>2780</v>
      </c>
      <c r="D974" s="155"/>
      <c r="E974" s="155"/>
      <c r="F974" s="154" t="s">
        <v>2781</v>
      </c>
      <c r="G974" s="154">
        <v>4.0</v>
      </c>
      <c r="H974" s="156">
        <v>0.0</v>
      </c>
      <c r="I974" s="154" t="s">
        <v>2782</v>
      </c>
      <c r="J974" s="156">
        <v>0.0</v>
      </c>
      <c r="K974" s="154" t="s">
        <v>259</v>
      </c>
    </row>
    <row r="975">
      <c r="A975" s="154" t="s">
        <v>2779</v>
      </c>
      <c r="B975" s="154" t="s">
        <v>2780</v>
      </c>
      <c r="D975" s="154">
        <v>2.0</v>
      </c>
      <c r="E975" s="154" t="s">
        <v>761</v>
      </c>
      <c r="F975" s="154" t="s">
        <v>2781</v>
      </c>
      <c r="G975" s="154">
        <v>4.0</v>
      </c>
      <c r="H975" s="156">
        <v>0.0</v>
      </c>
      <c r="I975" s="154" t="s">
        <v>2782</v>
      </c>
      <c r="J975" s="156">
        <v>0.0</v>
      </c>
      <c r="K975" s="154" t="s">
        <v>259</v>
      </c>
    </row>
    <row r="976">
      <c r="A976" s="154" t="s">
        <v>2783</v>
      </c>
      <c r="B976" s="154" t="s">
        <v>2784</v>
      </c>
      <c r="D976" s="154">
        <v>2.0</v>
      </c>
      <c r="E976" s="154" t="s">
        <v>761</v>
      </c>
      <c r="F976" s="154" t="s">
        <v>2785</v>
      </c>
      <c r="G976" s="156">
        <v>0.0</v>
      </c>
      <c r="H976" s="154" t="s">
        <v>2786</v>
      </c>
      <c r="I976" s="154" t="s">
        <v>2787</v>
      </c>
      <c r="J976" s="156">
        <v>0.0</v>
      </c>
      <c r="K976" s="154" t="s">
        <v>207</v>
      </c>
    </row>
    <row r="977">
      <c r="A977" s="154" t="s">
        <v>2783</v>
      </c>
      <c r="B977" s="155"/>
      <c r="C977" s="154" t="s">
        <v>2784</v>
      </c>
      <c r="D977" s="155"/>
      <c r="E977" s="155"/>
      <c r="F977" s="154" t="s">
        <v>2785</v>
      </c>
      <c r="G977" s="156">
        <v>0.0</v>
      </c>
      <c r="H977" s="154" t="s">
        <v>2786</v>
      </c>
      <c r="I977" s="154" t="s">
        <v>2787</v>
      </c>
      <c r="J977" s="156">
        <v>0.0</v>
      </c>
      <c r="K977" s="154" t="s">
        <v>207</v>
      </c>
    </row>
    <row r="978">
      <c r="A978" s="154" t="s">
        <v>2788</v>
      </c>
      <c r="B978" s="154" t="s">
        <v>2789</v>
      </c>
      <c r="D978" s="154">
        <v>2.0</v>
      </c>
      <c r="E978" s="154" t="s">
        <v>897</v>
      </c>
      <c r="F978" s="154" t="s">
        <v>2790</v>
      </c>
      <c r="G978" s="156">
        <v>0.0</v>
      </c>
      <c r="H978" s="154" t="s">
        <v>2791</v>
      </c>
      <c r="I978" s="154" t="s">
        <v>2792</v>
      </c>
      <c r="J978" s="154" t="s">
        <v>2793</v>
      </c>
      <c r="K978" s="154" t="s">
        <v>361</v>
      </c>
    </row>
    <row r="979">
      <c r="A979" s="154" t="s">
        <v>2788</v>
      </c>
      <c r="B979" s="155"/>
      <c r="C979" s="154" t="s">
        <v>2794</v>
      </c>
      <c r="D979" s="155"/>
      <c r="E979" s="155"/>
      <c r="F979" s="154" t="s">
        <v>2790</v>
      </c>
      <c r="G979" s="156">
        <v>0.0</v>
      </c>
      <c r="H979" s="154" t="s">
        <v>2791</v>
      </c>
      <c r="I979" s="154" t="s">
        <v>2792</v>
      </c>
      <c r="J979" s="154" t="s">
        <v>2793</v>
      </c>
      <c r="K979" s="154" t="s">
        <v>361</v>
      </c>
    </row>
    <row r="980">
      <c r="A980" s="154" t="s">
        <v>2795</v>
      </c>
      <c r="B980" s="154" t="s">
        <v>2796</v>
      </c>
      <c r="D980" s="154">
        <v>2.0</v>
      </c>
      <c r="E980" s="154" t="s">
        <v>897</v>
      </c>
      <c r="F980" s="154" t="s">
        <v>1619</v>
      </c>
      <c r="G980" s="154">
        <v>4.3903333E7</v>
      </c>
      <c r="H980" s="154" t="s">
        <v>1620</v>
      </c>
      <c r="I980" s="156">
        <v>0.0</v>
      </c>
      <c r="J980" s="156">
        <v>0.0</v>
      </c>
      <c r="K980" s="156">
        <v>0.0</v>
      </c>
    </row>
    <row r="981">
      <c r="A981" s="154" t="s">
        <v>2795</v>
      </c>
      <c r="B981" s="155"/>
      <c r="C981" s="154" t="s">
        <v>2797</v>
      </c>
      <c r="D981" s="155"/>
      <c r="E981" s="155"/>
      <c r="F981" s="154" t="s">
        <v>2798</v>
      </c>
      <c r="G981" s="154">
        <v>5.09101155E8</v>
      </c>
      <c r="H981" s="156">
        <v>0.0</v>
      </c>
      <c r="I981" s="154">
        <v>0.0</v>
      </c>
      <c r="J981" s="156">
        <v>0.0</v>
      </c>
      <c r="K981" s="154" t="s">
        <v>776</v>
      </c>
    </row>
    <row r="982">
      <c r="A982" s="154" t="s">
        <v>2799</v>
      </c>
      <c r="B982" s="154" t="s">
        <v>2800</v>
      </c>
      <c r="D982" s="154">
        <v>2.0</v>
      </c>
      <c r="E982" s="154" t="s">
        <v>897</v>
      </c>
      <c r="F982" s="154" t="s">
        <v>2801</v>
      </c>
      <c r="G982" s="154" t="s">
        <v>2802</v>
      </c>
      <c r="H982" s="156">
        <v>0.0</v>
      </c>
      <c r="I982" s="154">
        <v>9.71505595094E11</v>
      </c>
      <c r="J982" s="156">
        <v>0.0</v>
      </c>
      <c r="K982" s="154" t="s">
        <v>206</v>
      </c>
    </row>
    <row r="983">
      <c r="A983" s="154" t="s">
        <v>2799</v>
      </c>
      <c r="B983" s="155"/>
      <c r="C983" s="154" t="s">
        <v>2803</v>
      </c>
      <c r="D983" s="155"/>
      <c r="E983" s="155"/>
      <c r="F983" s="154" t="s">
        <v>1619</v>
      </c>
      <c r="G983" s="154">
        <v>4.3903333E7</v>
      </c>
      <c r="H983" s="154" t="s">
        <v>1620</v>
      </c>
      <c r="I983" s="156">
        <v>0.0</v>
      </c>
      <c r="J983" s="156">
        <v>0.0</v>
      </c>
      <c r="K983" s="156">
        <v>0.0</v>
      </c>
    </row>
    <row r="984">
      <c r="A984" s="154" t="s">
        <v>2804</v>
      </c>
      <c r="B984" s="155"/>
      <c r="C984" s="154" t="s">
        <v>2805</v>
      </c>
      <c r="D984" s="155"/>
      <c r="E984" s="155"/>
      <c r="F984" s="154" t="s">
        <v>2806</v>
      </c>
      <c r="G984" s="154">
        <v>5.5390465E8</v>
      </c>
      <c r="H984" s="154" t="s">
        <v>2807</v>
      </c>
      <c r="I984" s="154">
        <v>5.5390465E8</v>
      </c>
      <c r="J984" s="156">
        <v>0.0</v>
      </c>
      <c r="K984" s="154" t="s">
        <v>760</v>
      </c>
    </row>
    <row r="985">
      <c r="A985" s="154" t="s">
        <v>2804</v>
      </c>
      <c r="B985" s="154" t="s">
        <v>2808</v>
      </c>
      <c r="D985" s="154">
        <v>2.0</v>
      </c>
      <c r="E985" s="154" t="s">
        <v>897</v>
      </c>
      <c r="F985" s="154" t="s">
        <v>2806</v>
      </c>
      <c r="G985" s="154">
        <v>5.5390465E8</v>
      </c>
      <c r="H985" s="154" t="s">
        <v>2807</v>
      </c>
      <c r="I985" s="154">
        <v>5.5390465E8</v>
      </c>
      <c r="J985" s="156">
        <v>0.0</v>
      </c>
      <c r="K985" s="154" t="s">
        <v>760</v>
      </c>
    </row>
    <row r="986">
      <c r="A986" s="154" t="s">
        <v>2809</v>
      </c>
      <c r="B986" s="155"/>
      <c r="C986" s="154" t="s">
        <v>2810</v>
      </c>
      <c r="D986" s="155"/>
      <c r="E986" s="155"/>
      <c r="F986" s="154" t="s">
        <v>2811</v>
      </c>
      <c r="G986" s="154" t="s">
        <v>2812</v>
      </c>
      <c r="H986" s="156">
        <v>0.0</v>
      </c>
      <c r="I986" s="154" t="s">
        <v>2813</v>
      </c>
      <c r="J986" s="154" t="s">
        <v>2812</v>
      </c>
      <c r="K986" s="154" t="s">
        <v>846</v>
      </c>
    </row>
    <row r="987">
      <c r="A987" s="154" t="s">
        <v>2809</v>
      </c>
      <c r="B987" s="154" t="s">
        <v>2814</v>
      </c>
      <c r="D987" s="154">
        <v>2.0</v>
      </c>
      <c r="E987" s="154" t="s">
        <v>897</v>
      </c>
      <c r="F987" s="154" t="s">
        <v>2811</v>
      </c>
      <c r="G987" s="154" t="s">
        <v>2812</v>
      </c>
      <c r="H987" s="156">
        <v>0.0</v>
      </c>
      <c r="I987" s="154" t="s">
        <v>2813</v>
      </c>
      <c r="J987" s="154" t="s">
        <v>2812</v>
      </c>
      <c r="K987" s="154" t="s">
        <v>846</v>
      </c>
    </row>
    <row r="988">
      <c r="A988" s="154" t="s">
        <v>2815</v>
      </c>
      <c r="B988" s="155"/>
      <c r="C988" s="154" t="s">
        <v>2816</v>
      </c>
      <c r="D988" s="155"/>
      <c r="E988" s="155"/>
      <c r="F988" s="154" t="s">
        <v>2817</v>
      </c>
      <c r="G988" s="156">
        <v>0.0</v>
      </c>
      <c r="H988" s="154" t="s">
        <v>1838</v>
      </c>
      <c r="I988" s="154" t="s">
        <v>2818</v>
      </c>
      <c r="J988" s="154" t="s">
        <v>2819</v>
      </c>
      <c r="K988" s="154" t="s">
        <v>301</v>
      </c>
    </row>
    <row r="989">
      <c r="A989" s="154" t="s">
        <v>2815</v>
      </c>
      <c r="B989" s="154" t="s">
        <v>2820</v>
      </c>
      <c r="D989" s="154">
        <v>2.0</v>
      </c>
      <c r="E989" s="154" t="s">
        <v>897</v>
      </c>
      <c r="F989" s="154" t="s">
        <v>2817</v>
      </c>
      <c r="G989" s="156">
        <v>0.0</v>
      </c>
      <c r="H989" s="154" t="s">
        <v>1838</v>
      </c>
      <c r="I989" s="154" t="s">
        <v>2818</v>
      </c>
      <c r="J989" s="154" t="s">
        <v>2819</v>
      </c>
      <c r="K989" s="154" t="s">
        <v>301</v>
      </c>
    </row>
    <row r="990">
      <c r="A990" s="154" t="s">
        <v>2821</v>
      </c>
      <c r="B990" s="154" t="s">
        <v>2822</v>
      </c>
      <c r="D990" s="154">
        <v>2.0</v>
      </c>
      <c r="E990" s="154" t="s">
        <v>897</v>
      </c>
      <c r="F990" s="154" t="s">
        <v>1619</v>
      </c>
      <c r="G990" s="154">
        <v>4.3903333E7</v>
      </c>
      <c r="H990" s="154" t="s">
        <v>1620</v>
      </c>
      <c r="I990" s="156">
        <v>0.0</v>
      </c>
      <c r="J990" s="156">
        <v>0.0</v>
      </c>
      <c r="K990" s="156">
        <v>0.0</v>
      </c>
    </row>
    <row r="991">
      <c r="A991" s="154" t="s">
        <v>2821</v>
      </c>
      <c r="B991" s="155"/>
      <c r="C991" s="154" t="s">
        <v>2823</v>
      </c>
      <c r="D991" s="155"/>
      <c r="E991" s="155"/>
      <c r="F991" s="154" t="s">
        <v>2824</v>
      </c>
      <c r="G991" s="156">
        <v>0.0</v>
      </c>
      <c r="H991" s="156">
        <v>0.0</v>
      </c>
      <c r="I991" s="154" t="s">
        <v>2825</v>
      </c>
      <c r="J991" s="154" t="s">
        <v>2826</v>
      </c>
      <c r="K991" s="154" t="s">
        <v>197</v>
      </c>
    </row>
    <row r="992">
      <c r="A992" s="154" t="s">
        <v>2827</v>
      </c>
      <c r="B992" s="154" t="s">
        <v>2828</v>
      </c>
      <c r="D992" s="154">
        <v>2.0</v>
      </c>
      <c r="E992" s="154" t="s">
        <v>897</v>
      </c>
      <c r="F992" s="154" t="s">
        <v>2829</v>
      </c>
      <c r="G992" s="156">
        <v>0.0</v>
      </c>
      <c r="H992" s="154" t="s">
        <v>1185</v>
      </c>
      <c r="I992" s="154" t="s">
        <v>2830</v>
      </c>
      <c r="J992" s="154" t="s">
        <v>2831</v>
      </c>
      <c r="K992" s="154" t="s">
        <v>361</v>
      </c>
    </row>
    <row r="993">
      <c r="A993" s="154" t="s">
        <v>2827</v>
      </c>
      <c r="B993" s="155"/>
      <c r="C993" s="154" t="s">
        <v>2832</v>
      </c>
      <c r="D993" s="155"/>
      <c r="E993" s="155"/>
      <c r="F993" s="154" t="s">
        <v>1619</v>
      </c>
      <c r="G993" s="154">
        <v>4.3903333E7</v>
      </c>
      <c r="H993" s="154" t="s">
        <v>1620</v>
      </c>
      <c r="I993" s="156">
        <v>0.0</v>
      </c>
      <c r="J993" s="156">
        <v>0.0</v>
      </c>
      <c r="K993" s="156">
        <v>0.0</v>
      </c>
    </row>
    <row r="994">
      <c r="A994" s="154" t="s">
        <v>2833</v>
      </c>
      <c r="B994" s="155"/>
      <c r="C994" s="154" t="s">
        <v>2834</v>
      </c>
      <c r="D994" s="155"/>
      <c r="E994" s="155"/>
      <c r="F994" s="154" t="s">
        <v>1619</v>
      </c>
      <c r="G994" s="154">
        <v>4.3903333E7</v>
      </c>
      <c r="H994" s="154" t="s">
        <v>1620</v>
      </c>
      <c r="I994" s="156">
        <v>0.0</v>
      </c>
      <c r="J994" s="156">
        <v>0.0</v>
      </c>
      <c r="K994" s="156">
        <v>0.0</v>
      </c>
    </row>
    <row r="995">
      <c r="A995" s="154" t="s">
        <v>2833</v>
      </c>
      <c r="B995" s="154" t="s">
        <v>2835</v>
      </c>
      <c r="D995" s="154">
        <v>2.0</v>
      </c>
      <c r="E995" s="154" t="s">
        <v>897</v>
      </c>
      <c r="F995" s="154" t="s">
        <v>1619</v>
      </c>
      <c r="G995" s="154">
        <v>4.3903333E7</v>
      </c>
      <c r="H995" s="154" t="s">
        <v>1620</v>
      </c>
      <c r="I995" s="156">
        <v>0.0</v>
      </c>
      <c r="J995" s="156">
        <v>0.0</v>
      </c>
      <c r="K995" s="156">
        <v>0.0</v>
      </c>
    </row>
    <row r="996">
      <c r="A996" s="154" t="s">
        <v>2836</v>
      </c>
      <c r="B996" s="154" t="s">
        <v>2837</v>
      </c>
      <c r="D996" s="154">
        <v>2.0</v>
      </c>
      <c r="E996" s="154" t="s">
        <v>897</v>
      </c>
      <c r="F996" s="154" t="s">
        <v>2838</v>
      </c>
      <c r="G996" s="156">
        <v>0.0</v>
      </c>
      <c r="H996" s="154" t="s">
        <v>2839</v>
      </c>
      <c r="I996" s="154" t="s">
        <v>2840</v>
      </c>
      <c r="J996" s="156">
        <v>0.0</v>
      </c>
      <c r="K996" s="154" t="s">
        <v>1059</v>
      </c>
    </row>
    <row r="997">
      <c r="A997" s="154" t="s">
        <v>2836</v>
      </c>
      <c r="B997" s="155"/>
      <c r="C997" s="154" t="s">
        <v>2841</v>
      </c>
      <c r="D997" s="155"/>
      <c r="E997" s="155"/>
      <c r="F997" s="154" t="s">
        <v>2838</v>
      </c>
      <c r="G997" s="156">
        <v>0.0</v>
      </c>
      <c r="H997" s="154" t="s">
        <v>2839</v>
      </c>
      <c r="I997" s="154" t="s">
        <v>2840</v>
      </c>
      <c r="J997" s="156">
        <v>0.0</v>
      </c>
      <c r="K997" s="154" t="s">
        <v>1059</v>
      </c>
    </row>
    <row r="998">
      <c r="A998" s="154" t="s">
        <v>2842</v>
      </c>
      <c r="B998" s="154" t="s">
        <v>2843</v>
      </c>
      <c r="D998" s="154">
        <v>2.0</v>
      </c>
      <c r="E998" s="154" t="s">
        <v>897</v>
      </c>
      <c r="F998" s="154" t="s">
        <v>2844</v>
      </c>
      <c r="G998" s="156">
        <v>0.0</v>
      </c>
      <c r="H998" s="156">
        <v>0.0</v>
      </c>
      <c r="I998" s="154" t="s">
        <v>2845</v>
      </c>
      <c r="J998" s="154" t="s">
        <v>2846</v>
      </c>
      <c r="K998" s="154" t="s">
        <v>207</v>
      </c>
    </row>
    <row r="999">
      <c r="A999" s="154" t="s">
        <v>2842</v>
      </c>
      <c r="B999" s="155"/>
      <c r="C999" s="154" t="s">
        <v>2847</v>
      </c>
      <c r="D999" s="155"/>
      <c r="E999" s="155"/>
      <c r="F999" s="154" t="s">
        <v>2848</v>
      </c>
      <c r="G999" s="156">
        <v>0.0</v>
      </c>
      <c r="H999" s="156">
        <v>0.0</v>
      </c>
      <c r="I999" s="156">
        <v>0.0</v>
      </c>
      <c r="J999" s="156">
        <v>0.0</v>
      </c>
      <c r="K999" s="154" t="s">
        <v>197</v>
      </c>
    </row>
    <row r="1000">
      <c r="A1000" s="154" t="s">
        <v>2849</v>
      </c>
      <c r="B1000" s="154" t="s">
        <v>2850</v>
      </c>
      <c r="C1000" s="155"/>
      <c r="D1000" s="154">
        <v>2.0</v>
      </c>
      <c r="E1000" s="154" t="s">
        <v>897</v>
      </c>
      <c r="F1000" s="154" t="s">
        <v>1619</v>
      </c>
      <c r="G1000" s="154">
        <v>4.3903333E7</v>
      </c>
      <c r="H1000" s="154" t="s">
        <v>1620</v>
      </c>
      <c r="I1000" s="156">
        <v>0.0</v>
      </c>
      <c r="J1000" s="156">
        <v>0.0</v>
      </c>
      <c r="K1000" s="156">
        <v>0.0</v>
      </c>
    </row>
    <row r="1001">
      <c r="A1001" s="154" t="s">
        <v>2849</v>
      </c>
      <c r="B1001" s="155"/>
      <c r="C1001" s="154" t="s">
        <v>2850</v>
      </c>
      <c r="D1001" s="155"/>
      <c r="E1001" s="155"/>
      <c r="F1001" s="154" t="s">
        <v>2851</v>
      </c>
      <c r="G1001" s="156">
        <v>0.0</v>
      </c>
      <c r="H1001" s="156">
        <v>0.0</v>
      </c>
      <c r="I1001" s="154">
        <v>5.06510197E8</v>
      </c>
      <c r="J1001" s="156">
        <v>0.0</v>
      </c>
      <c r="K1001" s="154" t="s">
        <v>361</v>
      </c>
    </row>
    <row r="1002">
      <c r="A1002" s="154" t="s">
        <v>2852</v>
      </c>
      <c r="B1002" s="155"/>
      <c r="C1002" s="154" t="s">
        <v>2853</v>
      </c>
      <c r="D1002" s="155"/>
      <c r="E1002" s="155"/>
      <c r="F1002" s="154" t="s">
        <v>1619</v>
      </c>
      <c r="G1002" s="154">
        <v>4.3903333E7</v>
      </c>
      <c r="H1002" s="154" t="s">
        <v>1620</v>
      </c>
      <c r="I1002" s="156">
        <v>0.0</v>
      </c>
      <c r="J1002" s="156">
        <v>0.0</v>
      </c>
      <c r="K1002" s="156">
        <v>0.0</v>
      </c>
    </row>
    <row r="1003">
      <c r="A1003" s="154" t="s">
        <v>2852</v>
      </c>
      <c r="B1003" s="154" t="s">
        <v>2854</v>
      </c>
      <c r="D1003" s="154">
        <v>2.0</v>
      </c>
      <c r="E1003" s="154" t="s">
        <v>897</v>
      </c>
      <c r="F1003" s="154" t="s">
        <v>2855</v>
      </c>
      <c r="G1003" s="156">
        <v>0.0</v>
      </c>
      <c r="H1003" s="154" t="s">
        <v>2856</v>
      </c>
      <c r="I1003" s="154" t="s">
        <v>2857</v>
      </c>
      <c r="J1003" s="156">
        <v>0.0</v>
      </c>
      <c r="K1003" s="154" t="s">
        <v>2858</v>
      </c>
    </row>
    <row r="1004">
      <c r="A1004" s="154" t="s">
        <v>2859</v>
      </c>
      <c r="B1004" s="155"/>
      <c r="C1004" s="154" t="s">
        <v>2860</v>
      </c>
      <c r="D1004" s="155"/>
      <c r="E1004" s="155"/>
      <c r="F1004" s="154" t="s">
        <v>2861</v>
      </c>
      <c r="G1004" s="156">
        <v>0.0</v>
      </c>
      <c r="H1004" s="154" t="s">
        <v>2862</v>
      </c>
      <c r="I1004" s="154" t="s">
        <v>2863</v>
      </c>
      <c r="J1004" s="156">
        <v>0.0</v>
      </c>
      <c r="K1004" s="154" t="s">
        <v>846</v>
      </c>
    </row>
    <row r="1005">
      <c r="A1005" s="154" t="s">
        <v>2859</v>
      </c>
      <c r="B1005" s="154" t="s">
        <v>2864</v>
      </c>
      <c r="D1005" s="154">
        <v>2.0</v>
      </c>
      <c r="E1005" s="154" t="s">
        <v>897</v>
      </c>
      <c r="F1005" s="154" t="s">
        <v>2865</v>
      </c>
      <c r="G1005" s="156">
        <v>0.0</v>
      </c>
      <c r="H1005" s="156">
        <v>0.0</v>
      </c>
      <c r="I1005" s="154" t="s">
        <v>2863</v>
      </c>
      <c r="J1005" s="156">
        <v>0.0</v>
      </c>
      <c r="K1005" s="154" t="s">
        <v>365</v>
      </c>
    </row>
    <row r="1006">
      <c r="A1006" s="154" t="s">
        <v>2866</v>
      </c>
      <c r="B1006" s="155"/>
      <c r="C1006" s="154" t="s">
        <v>2867</v>
      </c>
      <c r="D1006" s="155"/>
      <c r="E1006" s="155"/>
      <c r="F1006" s="154" t="s">
        <v>1619</v>
      </c>
      <c r="G1006" s="154">
        <v>4.3903333E7</v>
      </c>
      <c r="H1006" s="154" t="s">
        <v>1620</v>
      </c>
      <c r="I1006" s="156">
        <v>0.0</v>
      </c>
      <c r="J1006" s="156">
        <v>0.0</v>
      </c>
      <c r="K1006" s="156">
        <v>0.0</v>
      </c>
    </row>
    <row r="1007">
      <c r="A1007" s="154" t="s">
        <v>2866</v>
      </c>
      <c r="B1007" s="154" t="s">
        <v>2868</v>
      </c>
      <c r="D1007" s="154">
        <v>2.0</v>
      </c>
      <c r="E1007" s="154" t="s">
        <v>897</v>
      </c>
      <c r="F1007" s="154" t="s">
        <v>2869</v>
      </c>
      <c r="G1007" s="156">
        <v>0.0</v>
      </c>
      <c r="H1007" s="156">
        <v>0.0</v>
      </c>
      <c r="I1007" s="154">
        <v>9.71505257083E11</v>
      </c>
      <c r="J1007" s="156">
        <v>0.0</v>
      </c>
      <c r="K1007" s="154" t="s">
        <v>197</v>
      </c>
    </row>
    <row r="1008">
      <c r="A1008" s="154" t="s">
        <v>2870</v>
      </c>
      <c r="B1008" s="155"/>
      <c r="C1008" s="154" t="s">
        <v>2871</v>
      </c>
      <c r="D1008" s="155"/>
      <c r="E1008" s="155"/>
      <c r="F1008" s="154" t="s">
        <v>1619</v>
      </c>
      <c r="G1008" s="154">
        <v>4.3903333E7</v>
      </c>
      <c r="H1008" s="154" t="s">
        <v>1620</v>
      </c>
      <c r="I1008" s="156">
        <v>0.0</v>
      </c>
      <c r="J1008" s="156">
        <v>0.0</v>
      </c>
      <c r="K1008" s="156">
        <v>0.0</v>
      </c>
    </row>
    <row r="1009">
      <c r="A1009" s="154" t="s">
        <v>2870</v>
      </c>
      <c r="B1009" s="154" t="s">
        <v>2872</v>
      </c>
      <c r="D1009" s="154">
        <v>2.0</v>
      </c>
      <c r="E1009" s="154" t="s">
        <v>897</v>
      </c>
      <c r="F1009" s="154" t="s">
        <v>1619</v>
      </c>
      <c r="G1009" s="154">
        <v>4.3903333E7</v>
      </c>
      <c r="H1009" s="154" t="s">
        <v>1620</v>
      </c>
      <c r="I1009" s="156">
        <v>0.0</v>
      </c>
      <c r="J1009" s="156">
        <v>0.0</v>
      </c>
      <c r="K1009" s="156">
        <v>0.0</v>
      </c>
    </row>
    <row r="1010">
      <c r="A1010" s="154" t="s">
        <v>2873</v>
      </c>
      <c r="B1010" s="154" t="s">
        <v>2874</v>
      </c>
      <c r="D1010" s="154">
        <v>2.0</v>
      </c>
      <c r="E1010" s="154" t="s">
        <v>897</v>
      </c>
      <c r="F1010" s="154" t="s">
        <v>2875</v>
      </c>
      <c r="G1010" s="154">
        <v>9.689927995E9</v>
      </c>
      <c r="H1010" s="156">
        <v>0.0</v>
      </c>
      <c r="I1010" s="156">
        <v>0.0</v>
      </c>
      <c r="J1010" s="156">
        <v>0.0</v>
      </c>
      <c r="K1010" s="154" t="s">
        <v>361</v>
      </c>
    </row>
    <row r="1011">
      <c r="A1011" s="154" t="s">
        <v>2873</v>
      </c>
      <c r="B1011" s="155"/>
      <c r="C1011" s="154" t="s">
        <v>2876</v>
      </c>
      <c r="D1011" s="155"/>
      <c r="E1011" s="155"/>
      <c r="F1011" s="154" t="s">
        <v>2875</v>
      </c>
      <c r="G1011" s="154">
        <v>9.689927995E9</v>
      </c>
      <c r="H1011" s="156">
        <v>0.0</v>
      </c>
      <c r="I1011" s="156">
        <v>0.0</v>
      </c>
      <c r="J1011" s="156">
        <v>0.0</v>
      </c>
      <c r="K1011" s="154" t="s">
        <v>361</v>
      </c>
    </row>
    <row r="1012">
      <c r="A1012" s="154" t="s">
        <v>2877</v>
      </c>
      <c r="B1012" s="154" t="s">
        <v>2878</v>
      </c>
      <c r="D1012" s="154">
        <v>2.0</v>
      </c>
      <c r="E1012" s="154" t="s">
        <v>897</v>
      </c>
      <c r="F1012" s="154" t="s">
        <v>2879</v>
      </c>
      <c r="G1012" s="156">
        <v>0.0</v>
      </c>
      <c r="H1012" s="154" t="s">
        <v>2880</v>
      </c>
      <c r="I1012" s="154" t="s">
        <v>2881</v>
      </c>
      <c r="J1012" s="154" t="s">
        <v>2882</v>
      </c>
      <c r="K1012" s="154" t="s">
        <v>846</v>
      </c>
    </row>
    <row r="1013">
      <c r="A1013" s="154" t="s">
        <v>2877</v>
      </c>
      <c r="B1013" s="155"/>
      <c r="C1013" s="154" t="s">
        <v>2883</v>
      </c>
      <c r="D1013" s="155"/>
      <c r="E1013" s="155"/>
      <c r="F1013" s="154" t="s">
        <v>2879</v>
      </c>
      <c r="G1013" s="156">
        <v>0.0</v>
      </c>
      <c r="H1013" s="154" t="s">
        <v>2880</v>
      </c>
      <c r="I1013" s="154" t="s">
        <v>2881</v>
      </c>
      <c r="J1013" s="154" t="s">
        <v>2882</v>
      </c>
      <c r="K1013" s="154" t="s">
        <v>846</v>
      </c>
    </row>
    <row r="1014">
      <c r="A1014" s="154" t="s">
        <v>2884</v>
      </c>
      <c r="B1014" s="155"/>
      <c r="C1014" s="154" t="s">
        <v>2885</v>
      </c>
      <c r="D1014" s="155"/>
      <c r="E1014" s="155"/>
      <c r="F1014" s="154" t="s">
        <v>2886</v>
      </c>
      <c r="G1014" s="154">
        <v>4.4037777E7</v>
      </c>
      <c r="H1014" s="156">
        <v>0.0</v>
      </c>
      <c r="I1014" s="154">
        <v>5.021548758E9</v>
      </c>
      <c r="J1014" s="156">
        <v>0.0</v>
      </c>
      <c r="K1014" s="154" t="s">
        <v>301</v>
      </c>
    </row>
    <row r="1015">
      <c r="A1015" s="154" t="s">
        <v>2884</v>
      </c>
      <c r="B1015" s="154" t="s">
        <v>2887</v>
      </c>
      <c r="D1015" s="154">
        <v>2.0</v>
      </c>
      <c r="E1015" s="154" t="s">
        <v>897</v>
      </c>
      <c r="F1015" s="154" t="s">
        <v>1619</v>
      </c>
      <c r="G1015" s="154">
        <v>4.3903333E7</v>
      </c>
      <c r="H1015" s="154" t="s">
        <v>1620</v>
      </c>
      <c r="I1015" s="156">
        <v>0.0</v>
      </c>
      <c r="J1015" s="156">
        <v>0.0</v>
      </c>
      <c r="K1015" s="156">
        <v>0.0</v>
      </c>
    </row>
    <row r="1016">
      <c r="A1016" s="154" t="s">
        <v>2888</v>
      </c>
      <c r="B1016" s="155"/>
      <c r="C1016" s="154" t="s">
        <v>2889</v>
      </c>
      <c r="D1016" s="155"/>
      <c r="E1016" s="155"/>
      <c r="F1016" s="154" t="s">
        <v>2890</v>
      </c>
      <c r="G1016" s="154">
        <v>4.3507525E7</v>
      </c>
      <c r="H1016" s="156">
        <v>0.0</v>
      </c>
      <c r="I1016" s="154">
        <v>5.29061215E8</v>
      </c>
      <c r="J1016" s="156">
        <v>0.0</v>
      </c>
      <c r="K1016" s="154" t="s">
        <v>361</v>
      </c>
    </row>
    <row r="1017">
      <c r="A1017" s="154" t="s">
        <v>2888</v>
      </c>
      <c r="B1017" s="154" t="s">
        <v>2891</v>
      </c>
      <c r="D1017" s="154">
        <v>2.0</v>
      </c>
      <c r="E1017" s="154" t="s">
        <v>897</v>
      </c>
      <c r="F1017" s="154" t="s">
        <v>1619</v>
      </c>
      <c r="G1017" s="154">
        <v>4.3903333E7</v>
      </c>
      <c r="H1017" s="154" t="s">
        <v>1620</v>
      </c>
      <c r="I1017" s="156">
        <v>0.0</v>
      </c>
      <c r="J1017" s="156">
        <v>0.0</v>
      </c>
      <c r="K1017" s="156">
        <v>0.0</v>
      </c>
    </row>
    <row r="1018">
      <c r="A1018" s="154" t="s">
        <v>2892</v>
      </c>
      <c r="B1018" s="154" t="s">
        <v>2893</v>
      </c>
      <c r="D1018" s="154">
        <v>2.0</v>
      </c>
      <c r="E1018" s="154" t="s">
        <v>897</v>
      </c>
      <c r="F1018" s="154" t="s">
        <v>1619</v>
      </c>
      <c r="G1018" s="154">
        <v>4.3903333E7</v>
      </c>
      <c r="H1018" s="154" t="s">
        <v>1620</v>
      </c>
      <c r="I1018" s="156">
        <v>0.0</v>
      </c>
      <c r="J1018" s="156">
        <v>0.0</v>
      </c>
      <c r="K1018" s="156">
        <v>0.0</v>
      </c>
    </row>
    <row r="1019">
      <c r="A1019" s="154" t="s">
        <v>2892</v>
      </c>
      <c r="B1019" s="155"/>
      <c r="C1019" s="154" t="s">
        <v>2894</v>
      </c>
      <c r="D1019" s="155"/>
      <c r="E1019" s="155"/>
      <c r="F1019" s="154" t="s">
        <v>1619</v>
      </c>
      <c r="G1019" s="154">
        <v>4.3903333E7</v>
      </c>
      <c r="H1019" s="154" t="s">
        <v>1620</v>
      </c>
      <c r="I1019" s="156">
        <v>0.0</v>
      </c>
      <c r="J1019" s="156">
        <v>0.0</v>
      </c>
      <c r="K1019" s="156">
        <v>0.0</v>
      </c>
    </row>
    <row r="1020">
      <c r="A1020" s="154" t="s">
        <v>2895</v>
      </c>
      <c r="B1020" s="155"/>
      <c r="C1020" s="154" t="s">
        <v>2896</v>
      </c>
      <c r="D1020" s="155"/>
      <c r="E1020" s="155"/>
      <c r="F1020" s="154" t="s">
        <v>2897</v>
      </c>
      <c r="G1020" s="156">
        <v>0.0</v>
      </c>
      <c r="H1020" s="156">
        <v>0.0</v>
      </c>
      <c r="I1020" s="154" t="s">
        <v>2898</v>
      </c>
      <c r="J1020" s="154" t="s">
        <v>2899</v>
      </c>
      <c r="K1020" s="154" t="s">
        <v>846</v>
      </c>
    </row>
    <row r="1021">
      <c r="A1021" s="154" t="s">
        <v>2895</v>
      </c>
      <c r="B1021" s="154" t="s">
        <v>2900</v>
      </c>
      <c r="D1021" s="154">
        <v>2.0</v>
      </c>
      <c r="E1021" s="154" t="s">
        <v>897</v>
      </c>
      <c r="F1021" s="154" t="s">
        <v>2897</v>
      </c>
      <c r="G1021" s="156">
        <v>0.0</v>
      </c>
      <c r="H1021" s="156">
        <v>0.0</v>
      </c>
      <c r="I1021" s="154" t="s">
        <v>2898</v>
      </c>
      <c r="J1021" s="154" t="s">
        <v>2899</v>
      </c>
      <c r="K1021" s="154" t="s">
        <v>846</v>
      </c>
    </row>
    <row r="1022">
      <c r="A1022" s="154" t="s">
        <v>2901</v>
      </c>
      <c r="B1022" s="154" t="s">
        <v>2902</v>
      </c>
      <c r="D1022" s="154">
        <v>2.0</v>
      </c>
      <c r="E1022" s="154" t="s">
        <v>897</v>
      </c>
      <c r="F1022" s="154" t="s">
        <v>2903</v>
      </c>
      <c r="G1022" s="154">
        <v>4.3688808E7</v>
      </c>
      <c r="H1022" s="156">
        <v>0.0</v>
      </c>
      <c r="I1022" s="154">
        <v>0.0</v>
      </c>
      <c r="J1022" s="156">
        <v>0.0</v>
      </c>
      <c r="K1022" s="154" t="s">
        <v>301</v>
      </c>
    </row>
    <row r="1023">
      <c r="A1023" s="154" t="s">
        <v>2901</v>
      </c>
      <c r="B1023" s="155"/>
      <c r="C1023" s="154" t="s">
        <v>2904</v>
      </c>
      <c r="D1023" s="155"/>
      <c r="E1023" s="155"/>
      <c r="F1023" s="154" t="s">
        <v>2905</v>
      </c>
      <c r="G1023" s="154">
        <v>5.58874701E8</v>
      </c>
      <c r="H1023" s="156">
        <v>0.0</v>
      </c>
      <c r="I1023" s="154">
        <v>9.71558874701E11</v>
      </c>
      <c r="J1023" s="156">
        <v>0.0</v>
      </c>
      <c r="K1023" s="154" t="s">
        <v>361</v>
      </c>
    </row>
    <row r="1024">
      <c r="A1024" s="154" t="s">
        <v>2906</v>
      </c>
      <c r="B1024" s="154" t="s">
        <v>2907</v>
      </c>
      <c r="D1024" s="154">
        <v>2.0</v>
      </c>
      <c r="E1024" s="154" t="s">
        <v>897</v>
      </c>
      <c r="F1024" s="154" t="s">
        <v>1619</v>
      </c>
      <c r="G1024" s="154">
        <v>4.3903333E7</v>
      </c>
      <c r="H1024" s="154" t="s">
        <v>1620</v>
      </c>
      <c r="I1024" s="156">
        <v>0.0</v>
      </c>
      <c r="J1024" s="156">
        <v>0.0</v>
      </c>
      <c r="K1024" s="156">
        <v>0.0</v>
      </c>
    </row>
    <row r="1025">
      <c r="A1025" s="154" t="s">
        <v>2906</v>
      </c>
      <c r="B1025" s="155"/>
      <c r="C1025" s="154" t="s">
        <v>2908</v>
      </c>
      <c r="D1025" s="155"/>
      <c r="E1025" s="155"/>
      <c r="F1025" s="154" t="s">
        <v>1619</v>
      </c>
      <c r="G1025" s="154">
        <v>4.3903333E7</v>
      </c>
      <c r="H1025" s="154" t="s">
        <v>1620</v>
      </c>
      <c r="I1025" s="156">
        <v>0.0</v>
      </c>
      <c r="J1025" s="156">
        <v>0.0</v>
      </c>
      <c r="K1025" s="156">
        <v>0.0</v>
      </c>
    </row>
    <row r="1026">
      <c r="A1026" s="154" t="s">
        <v>2909</v>
      </c>
      <c r="B1026" s="155"/>
      <c r="C1026" s="154" t="s">
        <v>2910</v>
      </c>
      <c r="D1026" s="155"/>
      <c r="E1026" s="155"/>
      <c r="F1026" s="154" t="s">
        <v>2911</v>
      </c>
      <c r="G1026" s="156">
        <v>0.0</v>
      </c>
      <c r="H1026" s="154" t="s">
        <v>2912</v>
      </c>
      <c r="I1026" s="154" t="s">
        <v>2913</v>
      </c>
      <c r="J1026" s="154" t="s">
        <v>2914</v>
      </c>
      <c r="K1026" s="154" t="s">
        <v>197</v>
      </c>
    </row>
    <row r="1027">
      <c r="A1027" s="154" t="s">
        <v>2909</v>
      </c>
      <c r="B1027" s="154" t="s">
        <v>2915</v>
      </c>
      <c r="D1027" s="154">
        <v>2.0</v>
      </c>
      <c r="E1027" s="154" t="s">
        <v>897</v>
      </c>
      <c r="F1027" s="154" t="s">
        <v>1619</v>
      </c>
      <c r="G1027" s="154">
        <v>4.3903333E7</v>
      </c>
      <c r="H1027" s="154" t="s">
        <v>1620</v>
      </c>
      <c r="I1027" s="156">
        <v>0.0</v>
      </c>
      <c r="J1027" s="156">
        <v>0.0</v>
      </c>
      <c r="K1027" s="156">
        <v>0.0</v>
      </c>
    </row>
    <row r="1028">
      <c r="A1028" s="154" t="s">
        <v>2916</v>
      </c>
      <c r="B1028" s="155"/>
      <c r="C1028" s="154" t="s">
        <v>2917</v>
      </c>
      <c r="D1028" s="155"/>
      <c r="E1028" s="155"/>
      <c r="F1028" s="154" t="s">
        <v>2918</v>
      </c>
      <c r="G1028" s="154">
        <v>4.2665758E7</v>
      </c>
      <c r="H1028" s="154" t="s">
        <v>2919</v>
      </c>
      <c r="I1028" s="154">
        <v>5.06324716E8</v>
      </c>
      <c r="J1028" s="156">
        <v>0.0</v>
      </c>
      <c r="K1028" s="154" t="s">
        <v>206</v>
      </c>
    </row>
    <row r="1029">
      <c r="A1029" s="154" t="s">
        <v>2916</v>
      </c>
      <c r="B1029" s="154" t="s">
        <v>2920</v>
      </c>
      <c r="D1029" s="154">
        <v>2.0</v>
      </c>
      <c r="E1029" s="154" t="s">
        <v>897</v>
      </c>
      <c r="F1029" s="154" t="s">
        <v>2921</v>
      </c>
      <c r="G1029" s="156">
        <v>0.0</v>
      </c>
      <c r="H1029" s="156">
        <v>0.0</v>
      </c>
      <c r="I1029" s="154">
        <v>5.06178911E8</v>
      </c>
      <c r="J1029" s="156">
        <v>0.0</v>
      </c>
      <c r="K1029" s="154" t="s">
        <v>259</v>
      </c>
    </row>
    <row r="1030">
      <c r="A1030" s="154" t="s">
        <v>2922</v>
      </c>
      <c r="B1030" s="155"/>
      <c r="C1030" s="154" t="s">
        <v>2923</v>
      </c>
      <c r="D1030" s="155"/>
      <c r="E1030" s="155"/>
      <c r="F1030" s="154" t="s">
        <v>2924</v>
      </c>
      <c r="G1030" s="156">
        <v>0.0</v>
      </c>
      <c r="H1030" s="154" t="s">
        <v>2925</v>
      </c>
      <c r="I1030" s="154" t="s">
        <v>2926</v>
      </c>
      <c r="J1030" s="156">
        <v>0.0</v>
      </c>
      <c r="K1030" s="154" t="s">
        <v>760</v>
      </c>
    </row>
    <row r="1031">
      <c r="A1031" s="154" t="s">
        <v>2922</v>
      </c>
      <c r="B1031" s="154" t="s">
        <v>2927</v>
      </c>
      <c r="D1031" s="154">
        <v>2.0</v>
      </c>
      <c r="E1031" s="154" t="s">
        <v>897</v>
      </c>
      <c r="F1031" s="154" t="s">
        <v>2928</v>
      </c>
      <c r="G1031" s="156">
        <v>0.0</v>
      </c>
      <c r="H1031" s="154" t="s">
        <v>2925</v>
      </c>
      <c r="I1031" s="154" t="s">
        <v>2929</v>
      </c>
      <c r="J1031" s="156">
        <v>0.0</v>
      </c>
      <c r="K1031" s="154" t="s">
        <v>760</v>
      </c>
    </row>
    <row r="1032">
      <c r="A1032" s="154" t="s">
        <v>2930</v>
      </c>
      <c r="B1032" s="154" t="s">
        <v>2931</v>
      </c>
      <c r="D1032" s="154">
        <v>2.0</v>
      </c>
      <c r="E1032" s="154" t="s">
        <v>897</v>
      </c>
      <c r="F1032" s="154" t="s">
        <v>1619</v>
      </c>
      <c r="G1032" s="154">
        <v>4.3903333E7</v>
      </c>
      <c r="H1032" s="154" t="s">
        <v>1620</v>
      </c>
      <c r="I1032" s="156">
        <v>0.0</v>
      </c>
      <c r="J1032" s="156">
        <v>0.0</v>
      </c>
      <c r="K1032" s="156">
        <v>0.0</v>
      </c>
    </row>
    <row r="1033">
      <c r="A1033" s="154" t="s">
        <v>2930</v>
      </c>
      <c r="B1033" s="155"/>
      <c r="C1033" s="154" t="s">
        <v>2932</v>
      </c>
      <c r="D1033" s="155"/>
      <c r="E1033" s="155"/>
      <c r="F1033" s="154" t="s">
        <v>2933</v>
      </c>
      <c r="G1033" s="154">
        <v>0.0</v>
      </c>
      <c r="H1033" s="156">
        <v>0.0</v>
      </c>
      <c r="I1033" s="156">
        <v>0.0</v>
      </c>
      <c r="J1033" s="156">
        <v>0.0</v>
      </c>
      <c r="K1033" s="154" t="s">
        <v>914</v>
      </c>
    </row>
    <row r="1034">
      <c r="A1034" s="154" t="s">
        <v>2934</v>
      </c>
      <c r="B1034" s="155"/>
      <c r="C1034" s="154" t="s">
        <v>2935</v>
      </c>
      <c r="D1034" s="155"/>
      <c r="E1034" s="155"/>
      <c r="F1034" s="154" t="s">
        <v>2936</v>
      </c>
      <c r="G1034" s="154">
        <v>4.24963E7</v>
      </c>
      <c r="H1034" s="154" t="s">
        <v>2937</v>
      </c>
      <c r="I1034" s="154">
        <v>5.5686879E8</v>
      </c>
      <c r="J1034" s="154" t="s">
        <v>2938</v>
      </c>
      <c r="K1034" s="154" t="s">
        <v>760</v>
      </c>
    </row>
    <row r="1035">
      <c r="A1035" s="154" t="s">
        <v>2934</v>
      </c>
      <c r="B1035" s="154" t="s">
        <v>2939</v>
      </c>
      <c r="D1035" s="154">
        <v>2.0</v>
      </c>
      <c r="E1035" s="154" t="s">
        <v>897</v>
      </c>
      <c r="F1035" s="154" t="s">
        <v>2936</v>
      </c>
      <c r="G1035" s="154">
        <v>4.24963E7</v>
      </c>
      <c r="H1035" s="154" t="s">
        <v>2937</v>
      </c>
      <c r="I1035" s="154">
        <v>5.5686879E8</v>
      </c>
      <c r="J1035" s="154" t="s">
        <v>2938</v>
      </c>
      <c r="K1035" s="154" t="s">
        <v>760</v>
      </c>
    </row>
    <row r="1036">
      <c r="A1036" s="154" t="s">
        <v>2940</v>
      </c>
      <c r="B1036" s="154" t="s">
        <v>2941</v>
      </c>
      <c r="D1036" s="154">
        <v>2.0</v>
      </c>
      <c r="E1036" s="154" t="s">
        <v>897</v>
      </c>
      <c r="F1036" s="154" t="s">
        <v>2942</v>
      </c>
      <c r="G1036" s="156">
        <v>0.0</v>
      </c>
      <c r="H1036" s="156">
        <v>0.0</v>
      </c>
      <c r="I1036" s="154" t="s">
        <v>2943</v>
      </c>
      <c r="J1036" s="156">
        <v>0.0</v>
      </c>
      <c r="K1036" s="154" t="s">
        <v>1426</v>
      </c>
    </row>
    <row r="1037">
      <c r="A1037" s="154" t="s">
        <v>2940</v>
      </c>
      <c r="B1037" s="155"/>
      <c r="C1037" s="154" t="s">
        <v>2944</v>
      </c>
      <c r="D1037" s="155"/>
      <c r="E1037" s="155"/>
      <c r="F1037" s="154" t="s">
        <v>2942</v>
      </c>
      <c r="G1037" s="156">
        <v>0.0</v>
      </c>
      <c r="H1037" s="156">
        <v>0.0</v>
      </c>
      <c r="I1037" s="154" t="s">
        <v>2943</v>
      </c>
      <c r="J1037" s="156">
        <v>0.0</v>
      </c>
      <c r="K1037" s="154" t="s">
        <v>1426</v>
      </c>
    </row>
    <row r="1038">
      <c r="A1038" s="154" t="s">
        <v>2945</v>
      </c>
      <c r="B1038" s="154" t="s">
        <v>2946</v>
      </c>
      <c r="D1038" s="154">
        <v>2.0</v>
      </c>
      <c r="E1038" s="154" t="s">
        <v>897</v>
      </c>
      <c r="F1038" s="154" t="s">
        <v>2947</v>
      </c>
      <c r="G1038" s="154">
        <v>4.0</v>
      </c>
      <c r="H1038" s="154" t="s">
        <v>2948</v>
      </c>
      <c r="I1038" s="156">
        <v>0.0</v>
      </c>
      <c r="J1038" s="156">
        <v>0.0</v>
      </c>
      <c r="K1038" s="156">
        <v>0.0</v>
      </c>
    </row>
    <row r="1039">
      <c r="A1039" s="154" t="s">
        <v>2945</v>
      </c>
      <c r="B1039" s="155"/>
      <c r="C1039" s="154" t="s">
        <v>2949</v>
      </c>
      <c r="D1039" s="155"/>
      <c r="E1039" s="155"/>
      <c r="F1039" s="154" t="s">
        <v>2947</v>
      </c>
      <c r="G1039" s="154">
        <v>4.0</v>
      </c>
      <c r="H1039" s="154" t="s">
        <v>2948</v>
      </c>
      <c r="I1039" s="156">
        <v>0.0</v>
      </c>
      <c r="J1039" s="156">
        <v>0.0</v>
      </c>
      <c r="K1039" s="156">
        <v>0.0</v>
      </c>
    </row>
    <row r="1040">
      <c r="A1040" s="154" t="s">
        <v>2950</v>
      </c>
      <c r="B1040" s="154" t="s">
        <v>2951</v>
      </c>
      <c r="C1040" s="155"/>
      <c r="D1040" s="154">
        <v>2.0</v>
      </c>
      <c r="E1040" s="154" t="s">
        <v>1237</v>
      </c>
      <c r="F1040" s="154" t="s">
        <v>2952</v>
      </c>
      <c r="G1040" s="154">
        <v>0.0</v>
      </c>
      <c r="H1040" s="156">
        <v>0.0</v>
      </c>
      <c r="I1040" s="156">
        <v>0.0</v>
      </c>
      <c r="J1040" s="156">
        <v>0.0</v>
      </c>
      <c r="K1040" s="154" t="s">
        <v>197</v>
      </c>
    </row>
    <row r="1041">
      <c r="A1041" s="154" t="s">
        <v>2950</v>
      </c>
      <c r="B1041" s="155"/>
      <c r="C1041" s="154" t="s">
        <v>2951</v>
      </c>
      <c r="D1041" s="155"/>
      <c r="E1041" s="155"/>
      <c r="F1041" s="154" t="s">
        <v>2952</v>
      </c>
      <c r="G1041" s="154">
        <v>0.0</v>
      </c>
      <c r="H1041" s="156">
        <v>0.0</v>
      </c>
      <c r="I1041" s="156">
        <v>0.0</v>
      </c>
      <c r="J1041" s="156">
        <v>0.0</v>
      </c>
      <c r="K1041" s="154" t="s">
        <v>197</v>
      </c>
    </row>
    <row r="1042">
      <c r="A1042" s="154" t="s">
        <v>2953</v>
      </c>
      <c r="B1042" s="154" t="s">
        <v>2954</v>
      </c>
      <c r="C1042" s="155"/>
      <c r="D1042" s="154">
        <v>2.0</v>
      </c>
      <c r="E1042" s="154" t="s">
        <v>1237</v>
      </c>
      <c r="F1042" s="154" t="s">
        <v>1619</v>
      </c>
      <c r="G1042" s="154">
        <v>4.3903333E7</v>
      </c>
      <c r="H1042" s="154" t="s">
        <v>1620</v>
      </c>
      <c r="I1042" s="156">
        <v>0.0</v>
      </c>
      <c r="J1042" s="156">
        <v>0.0</v>
      </c>
      <c r="K1042" s="156">
        <v>0.0</v>
      </c>
    </row>
    <row r="1043">
      <c r="A1043" s="154" t="s">
        <v>2953</v>
      </c>
      <c r="B1043" s="155"/>
      <c r="C1043" s="154" t="s">
        <v>2954</v>
      </c>
      <c r="D1043" s="155"/>
      <c r="E1043" s="155"/>
      <c r="F1043" s="154" t="s">
        <v>1619</v>
      </c>
      <c r="G1043" s="154">
        <v>4.3903333E7</v>
      </c>
      <c r="H1043" s="154" t="s">
        <v>1620</v>
      </c>
      <c r="I1043" s="156">
        <v>0.0</v>
      </c>
      <c r="J1043" s="156">
        <v>0.0</v>
      </c>
      <c r="K1043" s="156">
        <v>0.0</v>
      </c>
    </row>
    <row r="1044">
      <c r="A1044" s="154" t="s">
        <v>2955</v>
      </c>
      <c r="B1044" s="154" t="s">
        <v>2956</v>
      </c>
      <c r="C1044" s="155"/>
      <c r="D1044" s="154">
        <v>2.0</v>
      </c>
      <c r="E1044" s="154" t="s">
        <v>1237</v>
      </c>
      <c r="F1044" s="154" t="s">
        <v>1238</v>
      </c>
      <c r="G1044" s="154">
        <v>4.7018111E7</v>
      </c>
      <c r="H1044" s="154" t="s">
        <v>1239</v>
      </c>
      <c r="I1044" s="156">
        <v>0.0</v>
      </c>
      <c r="J1044" s="156">
        <v>0.0</v>
      </c>
      <c r="K1044" s="156">
        <v>0.0</v>
      </c>
    </row>
    <row r="1045">
      <c r="A1045" s="154" t="s">
        <v>2955</v>
      </c>
      <c r="B1045" s="155"/>
      <c r="C1045" s="154" t="s">
        <v>2956</v>
      </c>
      <c r="D1045" s="155"/>
      <c r="E1045" s="155"/>
      <c r="F1045" s="154" t="s">
        <v>1238</v>
      </c>
      <c r="G1045" s="154">
        <v>4.7018111E7</v>
      </c>
      <c r="H1045" s="154" t="s">
        <v>1239</v>
      </c>
      <c r="I1045" s="156">
        <v>0.0</v>
      </c>
      <c r="J1045" s="156">
        <v>0.0</v>
      </c>
      <c r="K1045" s="156">
        <v>0.0</v>
      </c>
    </row>
    <row r="1046">
      <c r="A1046" s="154" t="s">
        <v>2957</v>
      </c>
      <c r="B1046" s="155"/>
      <c r="C1046" s="154" t="s">
        <v>2958</v>
      </c>
      <c r="D1046" s="155"/>
      <c r="E1046" s="155"/>
      <c r="F1046" s="154" t="s">
        <v>2959</v>
      </c>
      <c r="G1046" s="154">
        <v>4.8812222E7</v>
      </c>
      <c r="H1046" s="156">
        <v>0.0</v>
      </c>
      <c r="I1046" s="154">
        <v>5.29844055E8</v>
      </c>
      <c r="J1046" s="156">
        <v>0.0</v>
      </c>
      <c r="K1046" s="154" t="s">
        <v>1059</v>
      </c>
    </row>
    <row r="1047">
      <c r="A1047" s="154" t="s">
        <v>2957</v>
      </c>
      <c r="B1047" s="154" t="s">
        <v>2958</v>
      </c>
      <c r="C1047" s="155"/>
      <c r="D1047" s="154">
        <v>2.0</v>
      </c>
      <c r="E1047" s="154" t="s">
        <v>1237</v>
      </c>
      <c r="F1047" s="154" t="s">
        <v>2960</v>
      </c>
      <c r="G1047" s="154">
        <v>3590690.0</v>
      </c>
      <c r="H1047" s="156">
        <v>0.0</v>
      </c>
      <c r="I1047" s="154">
        <v>5.05975112E8</v>
      </c>
      <c r="J1047" s="156">
        <v>0.0</v>
      </c>
      <c r="K1047" s="154" t="s">
        <v>1059</v>
      </c>
    </row>
    <row r="1048">
      <c r="A1048" s="154" t="s">
        <v>2961</v>
      </c>
      <c r="B1048" s="155"/>
      <c r="C1048" s="154" t="s">
        <v>2962</v>
      </c>
      <c r="D1048" s="155"/>
      <c r="E1048" s="155"/>
      <c r="F1048" s="154" t="s">
        <v>2355</v>
      </c>
      <c r="G1048" s="154" t="s">
        <v>2356</v>
      </c>
      <c r="H1048" s="156">
        <v>0.0</v>
      </c>
      <c r="I1048" s="154" t="s">
        <v>2357</v>
      </c>
      <c r="J1048" s="154" t="s">
        <v>2356</v>
      </c>
      <c r="K1048" s="154" t="s">
        <v>776</v>
      </c>
    </row>
    <row r="1049">
      <c r="A1049" s="154" t="s">
        <v>2961</v>
      </c>
      <c r="B1049" s="154" t="s">
        <v>2962</v>
      </c>
      <c r="C1049" s="155"/>
      <c r="D1049" s="154">
        <v>2.0</v>
      </c>
      <c r="E1049" s="154" t="s">
        <v>1237</v>
      </c>
      <c r="F1049" s="154" t="s">
        <v>2355</v>
      </c>
      <c r="G1049" s="154" t="s">
        <v>2356</v>
      </c>
      <c r="H1049" s="156">
        <v>0.0</v>
      </c>
      <c r="I1049" s="154" t="s">
        <v>2357</v>
      </c>
      <c r="J1049" s="154" t="s">
        <v>2356</v>
      </c>
      <c r="K1049" s="154" t="s">
        <v>776</v>
      </c>
    </row>
    <row r="1050">
      <c r="A1050" s="154" t="s">
        <v>2963</v>
      </c>
      <c r="B1050" s="155"/>
      <c r="C1050" s="154" t="s">
        <v>2964</v>
      </c>
      <c r="D1050" s="155"/>
      <c r="E1050" s="155"/>
      <c r="F1050" s="154" t="s">
        <v>2965</v>
      </c>
      <c r="G1050" s="154">
        <v>5.05547599E8</v>
      </c>
      <c r="H1050" s="156">
        <v>0.0</v>
      </c>
      <c r="I1050" s="156">
        <v>0.0</v>
      </c>
      <c r="J1050" s="156">
        <v>0.0</v>
      </c>
      <c r="K1050" s="156">
        <v>0.0</v>
      </c>
    </row>
    <row r="1051">
      <c r="A1051" s="154" t="s">
        <v>2963</v>
      </c>
      <c r="B1051" s="154" t="s">
        <v>2964</v>
      </c>
      <c r="C1051" s="155"/>
      <c r="D1051" s="154">
        <v>2.0</v>
      </c>
      <c r="E1051" s="154" t="s">
        <v>1237</v>
      </c>
      <c r="F1051" s="154" t="s">
        <v>2965</v>
      </c>
      <c r="G1051" s="154">
        <v>5.05547599E8</v>
      </c>
      <c r="H1051" s="156">
        <v>0.0</v>
      </c>
      <c r="I1051" s="156">
        <v>0.0</v>
      </c>
      <c r="J1051" s="156">
        <v>0.0</v>
      </c>
      <c r="K1051" s="156">
        <v>0.0</v>
      </c>
    </row>
    <row r="1052">
      <c r="A1052" s="154" t="s">
        <v>2966</v>
      </c>
      <c r="B1052" s="155"/>
      <c r="C1052" s="154" t="s">
        <v>2967</v>
      </c>
      <c r="D1052" s="155"/>
      <c r="E1052" s="155"/>
      <c r="F1052" s="154" t="s">
        <v>2968</v>
      </c>
      <c r="G1052" s="156">
        <v>0.0</v>
      </c>
      <c r="H1052" s="154" t="s">
        <v>1437</v>
      </c>
      <c r="I1052" s="154" t="s">
        <v>2969</v>
      </c>
      <c r="J1052" s="156">
        <v>0.0</v>
      </c>
      <c r="K1052" s="154" t="s">
        <v>1426</v>
      </c>
    </row>
    <row r="1053">
      <c r="A1053" s="154" t="s">
        <v>2966</v>
      </c>
      <c r="B1053" s="154" t="s">
        <v>2967</v>
      </c>
      <c r="C1053" s="155"/>
      <c r="D1053" s="154">
        <v>2.0</v>
      </c>
      <c r="E1053" s="154" t="s">
        <v>1237</v>
      </c>
      <c r="F1053" s="154" t="s">
        <v>2968</v>
      </c>
      <c r="G1053" s="156">
        <v>0.0</v>
      </c>
      <c r="H1053" s="154" t="s">
        <v>1437</v>
      </c>
      <c r="I1053" s="154" t="s">
        <v>2969</v>
      </c>
      <c r="J1053" s="156">
        <v>0.0</v>
      </c>
      <c r="K1053" s="154" t="s">
        <v>1426</v>
      </c>
    </row>
    <row r="1054">
      <c r="A1054" s="154" t="s">
        <v>2970</v>
      </c>
      <c r="B1054" s="154" t="s">
        <v>2971</v>
      </c>
      <c r="C1054" s="155"/>
      <c r="D1054" s="154">
        <v>2.0</v>
      </c>
      <c r="E1054" s="154" t="s">
        <v>1237</v>
      </c>
      <c r="F1054" s="154" t="s">
        <v>2972</v>
      </c>
      <c r="G1054" s="156">
        <v>0.0</v>
      </c>
      <c r="H1054" s="156">
        <v>0.0</v>
      </c>
      <c r="I1054" s="154" t="s">
        <v>2973</v>
      </c>
      <c r="J1054" s="156">
        <v>0.0</v>
      </c>
      <c r="K1054" s="154" t="s">
        <v>206</v>
      </c>
    </row>
    <row r="1055">
      <c r="A1055" s="154" t="s">
        <v>2970</v>
      </c>
      <c r="B1055" s="155"/>
      <c r="C1055" s="154" t="s">
        <v>2971</v>
      </c>
      <c r="D1055" s="155"/>
      <c r="E1055" s="155"/>
      <c r="F1055" s="154" t="s">
        <v>2974</v>
      </c>
      <c r="G1055" s="154">
        <v>5.06442015E8</v>
      </c>
      <c r="H1055" s="156">
        <v>0.0</v>
      </c>
      <c r="I1055" s="154">
        <v>5.06442015E8</v>
      </c>
      <c r="J1055" s="156">
        <v>0.0</v>
      </c>
      <c r="K1055" s="154" t="s">
        <v>206</v>
      </c>
    </row>
    <row r="1056">
      <c r="A1056" s="154" t="s">
        <v>2975</v>
      </c>
      <c r="B1056" s="154" t="s">
        <v>2976</v>
      </c>
      <c r="C1056" s="155"/>
      <c r="D1056" s="154">
        <v>2.0</v>
      </c>
      <c r="E1056" s="154" t="s">
        <v>1237</v>
      </c>
      <c r="F1056" s="154" t="s">
        <v>2977</v>
      </c>
      <c r="G1056" s="156">
        <v>0.0</v>
      </c>
      <c r="H1056" s="156">
        <v>0.0</v>
      </c>
      <c r="I1056" s="154" t="s">
        <v>2978</v>
      </c>
      <c r="J1056" s="156">
        <v>0.0</v>
      </c>
      <c r="K1056" s="154" t="s">
        <v>197</v>
      </c>
    </row>
    <row r="1057">
      <c r="A1057" s="154" t="s">
        <v>2975</v>
      </c>
      <c r="B1057" s="155"/>
      <c r="C1057" s="154" t="s">
        <v>2976</v>
      </c>
      <c r="D1057" s="155"/>
      <c r="E1057" s="155"/>
      <c r="F1057" s="154" t="s">
        <v>2977</v>
      </c>
      <c r="G1057" s="156">
        <v>0.0</v>
      </c>
      <c r="H1057" s="156">
        <v>0.0</v>
      </c>
      <c r="I1057" s="154" t="s">
        <v>2978</v>
      </c>
      <c r="J1057" s="156">
        <v>0.0</v>
      </c>
      <c r="K1057" s="154" t="s">
        <v>197</v>
      </c>
    </row>
    <row r="1058">
      <c r="A1058" s="154" t="s">
        <v>2979</v>
      </c>
      <c r="B1058" s="154" t="s">
        <v>2980</v>
      </c>
      <c r="D1058" s="154">
        <v>2.0</v>
      </c>
      <c r="E1058" s="154" t="s">
        <v>897</v>
      </c>
      <c r="F1058" s="154" t="s">
        <v>1349</v>
      </c>
      <c r="G1058" s="156">
        <v>0.0</v>
      </c>
      <c r="H1058" s="154" t="s">
        <v>1185</v>
      </c>
      <c r="I1058" s="154" t="s">
        <v>1350</v>
      </c>
      <c r="J1058" s="154" t="s">
        <v>1351</v>
      </c>
      <c r="K1058" s="154" t="s">
        <v>846</v>
      </c>
    </row>
    <row r="1059">
      <c r="A1059" s="154" t="s">
        <v>2979</v>
      </c>
      <c r="B1059" s="155"/>
      <c r="C1059" s="154" t="s">
        <v>2981</v>
      </c>
      <c r="D1059" s="155"/>
      <c r="E1059" s="155"/>
      <c r="F1059" s="154" t="s">
        <v>1349</v>
      </c>
      <c r="G1059" s="156">
        <v>0.0</v>
      </c>
      <c r="H1059" s="154" t="s">
        <v>1185</v>
      </c>
      <c r="I1059" s="154" t="s">
        <v>1350</v>
      </c>
      <c r="J1059" s="154" t="s">
        <v>1351</v>
      </c>
      <c r="K1059" s="154" t="s">
        <v>846</v>
      </c>
    </row>
    <row r="1060">
      <c r="A1060" s="154" t="s">
        <v>2982</v>
      </c>
      <c r="B1060" s="154" t="s">
        <v>2983</v>
      </c>
      <c r="D1060" s="154">
        <v>2.0</v>
      </c>
      <c r="E1060" s="154" t="s">
        <v>897</v>
      </c>
      <c r="F1060" s="154" t="s">
        <v>2984</v>
      </c>
      <c r="G1060" s="154">
        <v>370719.0</v>
      </c>
      <c r="H1060" s="156">
        <v>0.0</v>
      </c>
      <c r="I1060" s="154">
        <v>5.06447841E8</v>
      </c>
      <c r="J1060" s="156">
        <v>0.0</v>
      </c>
      <c r="K1060" s="154" t="s">
        <v>361</v>
      </c>
    </row>
    <row r="1061">
      <c r="A1061" s="154" t="s">
        <v>2982</v>
      </c>
      <c r="B1061" s="155"/>
      <c r="C1061" s="154" t="s">
        <v>2985</v>
      </c>
      <c r="D1061" s="155"/>
      <c r="E1061" s="155"/>
      <c r="F1061" s="154" t="s">
        <v>1619</v>
      </c>
      <c r="G1061" s="154">
        <v>4.3903333E7</v>
      </c>
      <c r="H1061" s="154" t="s">
        <v>1620</v>
      </c>
      <c r="I1061" s="156">
        <v>0.0</v>
      </c>
      <c r="J1061" s="156">
        <v>0.0</v>
      </c>
      <c r="K1061" s="156">
        <v>0.0</v>
      </c>
    </row>
    <row r="1062">
      <c r="A1062" s="154" t="s">
        <v>2986</v>
      </c>
      <c r="B1062" s="154" t="s">
        <v>2987</v>
      </c>
      <c r="D1062" s="154">
        <v>2.0</v>
      </c>
      <c r="E1062" s="154" t="s">
        <v>897</v>
      </c>
      <c r="F1062" s="154" t="s">
        <v>2988</v>
      </c>
      <c r="G1062" s="156">
        <v>0.0</v>
      </c>
      <c r="H1062" s="156">
        <v>0.0</v>
      </c>
      <c r="I1062" s="154" t="s">
        <v>2989</v>
      </c>
      <c r="J1062" s="154" t="s">
        <v>2990</v>
      </c>
      <c r="K1062" s="154" t="s">
        <v>789</v>
      </c>
    </row>
    <row r="1063">
      <c r="A1063" s="154" t="s">
        <v>2986</v>
      </c>
      <c r="B1063" s="155"/>
      <c r="C1063" s="154" t="s">
        <v>2991</v>
      </c>
      <c r="D1063" s="155"/>
      <c r="E1063" s="155"/>
      <c r="F1063" s="154" t="s">
        <v>1619</v>
      </c>
      <c r="G1063" s="154">
        <v>4.3903333E7</v>
      </c>
      <c r="H1063" s="154" t="s">
        <v>1620</v>
      </c>
      <c r="I1063" s="156">
        <v>0.0</v>
      </c>
      <c r="J1063" s="156">
        <v>0.0</v>
      </c>
      <c r="K1063" s="156">
        <v>0.0</v>
      </c>
    </row>
    <row r="1064">
      <c r="A1064" s="154" t="s">
        <v>2992</v>
      </c>
      <c r="B1064" s="155"/>
      <c r="C1064" s="154" t="s">
        <v>2993</v>
      </c>
      <c r="D1064" s="155"/>
      <c r="E1064" s="155"/>
      <c r="F1064" s="154" t="s">
        <v>2994</v>
      </c>
      <c r="G1064" s="154" t="s">
        <v>2995</v>
      </c>
      <c r="H1064" s="156">
        <v>0.0</v>
      </c>
      <c r="I1064" s="154" t="s">
        <v>2996</v>
      </c>
      <c r="J1064" s="154" t="s">
        <v>2997</v>
      </c>
      <c r="K1064" s="154" t="s">
        <v>1408</v>
      </c>
    </row>
    <row r="1065">
      <c r="A1065" s="154" t="s">
        <v>2992</v>
      </c>
      <c r="B1065" s="154" t="s">
        <v>2998</v>
      </c>
      <c r="D1065" s="154">
        <v>2.0</v>
      </c>
      <c r="E1065" s="154" t="s">
        <v>897</v>
      </c>
      <c r="F1065" s="154" t="s">
        <v>2994</v>
      </c>
      <c r="G1065" s="154" t="s">
        <v>2995</v>
      </c>
      <c r="H1065" s="156">
        <v>0.0</v>
      </c>
      <c r="I1065" s="154" t="s">
        <v>2996</v>
      </c>
      <c r="J1065" s="154" t="s">
        <v>2997</v>
      </c>
      <c r="K1065" s="154" t="s">
        <v>1408</v>
      </c>
    </row>
    <row r="1066">
      <c r="A1066" s="154" t="s">
        <v>2999</v>
      </c>
      <c r="B1066" s="155"/>
      <c r="C1066" s="154" t="s">
        <v>3000</v>
      </c>
      <c r="D1066" s="155"/>
      <c r="E1066" s="155"/>
      <c r="F1066" s="154" t="s">
        <v>3001</v>
      </c>
      <c r="G1066" s="154">
        <v>7.261337E7</v>
      </c>
      <c r="H1066" s="156">
        <v>0.0</v>
      </c>
      <c r="I1066" s="154">
        <v>5.6261337E8</v>
      </c>
      <c r="J1066" s="156">
        <v>0.0</v>
      </c>
      <c r="K1066" s="154" t="s">
        <v>2195</v>
      </c>
    </row>
    <row r="1067">
      <c r="A1067" s="154" t="s">
        <v>2999</v>
      </c>
      <c r="B1067" s="154" t="s">
        <v>3002</v>
      </c>
      <c r="D1067" s="154">
        <v>2.0</v>
      </c>
      <c r="E1067" s="154" t="s">
        <v>897</v>
      </c>
      <c r="F1067" s="154" t="s">
        <v>3001</v>
      </c>
      <c r="G1067" s="154">
        <v>7.261337E7</v>
      </c>
      <c r="H1067" s="156">
        <v>0.0</v>
      </c>
      <c r="I1067" s="154">
        <v>5.6261337E8</v>
      </c>
      <c r="J1067" s="156">
        <v>0.0</v>
      </c>
      <c r="K1067" s="154" t="s">
        <v>2195</v>
      </c>
    </row>
    <row r="1068">
      <c r="A1068" s="154" t="s">
        <v>3003</v>
      </c>
      <c r="B1068" s="154" t="s">
        <v>3004</v>
      </c>
      <c r="D1068" s="154">
        <v>2.0</v>
      </c>
      <c r="E1068" s="154" t="s">
        <v>897</v>
      </c>
      <c r="F1068" s="154" t="s">
        <v>3005</v>
      </c>
      <c r="G1068" s="156">
        <v>0.0</v>
      </c>
      <c r="H1068" s="154" t="s">
        <v>3006</v>
      </c>
      <c r="I1068" s="154" t="s">
        <v>3007</v>
      </c>
      <c r="J1068" s="154" t="s">
        <v>3008</v>
      </c>
      <c r="K1068" s="154" t="s">
        <v>1874</v>
      </c>
    </row>
    <row r="1069">
      <c r="A1069" s="154" t="s">
        <v>3003</v>
      </c>
      <c r="B1069" s="155"/>
      <c r="C1069" s="154" t="s">
        <v>3009</v>
      </c>
      <c r="D1069" s="155"/>
      <c r="E1069" s="155"/>
      <c r="F1069" s="154" t="s">
        <v>1619</v>
      </c>
      <c r="G1069" s="154">
        <v>4.3903333E7</v>
      </c>
      <c r="H1069" s="154" t="s">
        <v>1620</v>
      </c>
      <c r="I1069" s="156">
        <v>0.0</v>
      </c>
      <c r="J1069" s="156">
        <v>0.0</v>
      </c>
      <c r="K1069" s="156">
        <v>0.0</v>
      </c>
    </row>
    <row r="1070">
      <c r="A1070" s="154" t="s">
        <v>3010</v>
      </c>
      <c r="B1070" s="155"/>
      <c r="C1070" s="154" t="s">
        <v>3011</v>
      </c>
      <c r="D1070" s="155"/>
      <c r="E1070" s="155"/>
      <c r="F1070" s="154" t="s">
        <v>1619</v>
      </c>
      <c r="G1070" s="154">
        <v>4.3903333E7</v>
      </c>
      <c r="H1070" s="154" t="s">
        <v>1620</v>
      </c>
      <c r="I1070" s="156">
        <v>0.0</v>
      </c>
      <c r="J1070" s="156">
        <v>0.0</v>
      </c>
      <c r="K1070" s="156">
        <v>0.0</v>
      </c>
    </row>
    <row r="1071">
      <c r="A1071" s="154" t="s">
        <v>3010</v>
      </c>
      <c r="B1071" s="154" t="s">
        <v>3012</v>
      </c>
      <c r="D1071" s="154">
        <v>2.0</v>
      </c>
      <c r="E1071" s="154" t="s">
        <v>897</v>
      </c>
      <c r="F1071" s="154" t="s">
        <v>1352</v>
      </c>
      <c r="G1071" s="154" t="s">
        <v>1353</v>
      </c>
      <c r="H1071" s="154" t="s">
        <v>1354</v>
      </c>
      <c r="I1071" s="154" t="s">
        <v>1355</v>
      </c>
      <c r="J1071" s="154" t="s">
        <v>1356</v>
      </c>
      <c r="K1071" s="154" t="s">
        <v>846</v>
      </c>
    </row>
    <row r="1072">
      <c r="A1072" s="154" t="s">
        <v>3013</v>
      </c>
      <c r="B1072" s="155"/>
      <c r="C1072" s="154" t="s">
        <v>3014</v>
      </c>
      <c r="D1072" s="155"/>
      <c r="E1072" s="155"/>
      <c r="F1072" s="154" t="s">
        <v>3015</v>
      </c>
      <c r="G1072" s="154" t="s">
        <v>3016</v>
      </c>
      <c r="H1072" s="154" t="s">
        <v>3017</v>
      </c>
      <c r="I1072" s="154" t="s">
        <v>3018</v>
      </c>
      <c r="J1072" s="154" t="s">
        <v>3016</v>
      </c>
      <c r="K1072" s="154" t="s">
        <v>3019</v>
      </c>
    </row>
    <row r="1073">
      <c r="A1073" s="154" t="s">
        <v>3013</v>
      </c>
      <c r="B1073" s="154" t="s">
        <v>3020</v>
      </c>
      <c r="D1073" s="154">
        <v>2.0</v>
      </c>
      <c r="E1073" s="154" t="s">
        <v>897</v>
      </c>
      <c r="F1073" s="154" t="s">
        <v>3015</v>
      </c>
      <c r="G1073" s="154" t="s">
        <v>3016</v>
      </c>
      <c r="H1073" s="154" t="s">
        <v>3017</v>
      </c>
      <c r="I1073" s="154" t="s">
        <v>3018</v>
      </c>
      <c r="J1073" s="154" t="s">
        <v>3016</v>
      </c>
      <c r="K1073" s="154" t="s">
        <v>3019</v>
      </c>
    </row>
    <row r="1074">
      <c r="A1074" s="154" t="s">
        <v>3021</v>
      </c>
      <c r="B1074" s="154" t="s">
        <v>3022</v>
      </c>
      <c r="D1074" s="154">
        <v>2.0</v>
      </c>
      <c r="E1074" s="154" t="s">
        <v>897</v>
      </c>
      <c r="F1074" s="154" t="s">
        <v>1619</v>
      </c>
      <c r="G1074" s="154">
        <v>4.3903333E7</v>
      </c>
      <c r="H1074" s="154" t="s">
        <v>1620</v>
      </c>
      <c r="I1074" s="156">
        <v>0.0</v>
      </c>
      <c r="J1074" s="156">
        <v>0.0</v>
      </c>
      <c r="K1074" s="156">
        <v>0.0</v>
      </c>
    </row>
    <row r="1075">
      <c r="A1075" s="154" t="s">
        <v>3021</v>
      </c>
      <c r="B1075" s="155"/>
      <c r="C1075" s="154" t="s">
        <v>3023</v>
      </c>
      <c r="D1075" s="155"/>
      <c r="E1075" s="155"/>
      <c r="F1075" s="154" t="s">
        <v>3024</v>
      </c>
      <c r="G1075" s="156">
        <v>0.0</v>
      </c>
      <c r="H1075" s="156">
        <v>0.0</v>
      </c>
      <c r="I1075" s="154" t="s">
        <v>3025</v>
      </c>
      <c r="J1075" s="154" t="s">
        <v>3026</v>
      </c>
      <c r="K1075" s="154" t="s">
        <v>1731</v>
      </c>
    </row>
    <row r="1076">
      <c r="A1076" s="154" t="s">
        <v>3027</v>
      </c>
      <c r="B1076" s="155"/>
      <c r="C1076" s="154" t="s">
        <v>3028</v>
      </c>
      <c r="D1076" s="155"/>
      <c r="E1076" s="155"/>
      <c r="F1076" s="154" t="s">
        <v>3029</v>
      </c>
      <c r="G1076" s="156">
        <v>0.0</v>
      </c>
      <c r="H1076" s="156">
        <v>0.0</v>
      </c>
      <c r="I1076" s="154">
        <v>5.07244472E8</v>
      </c>
      <c r="J1076" s="156">
        <v>0.0</v>
      </c>
      <c r="K1076" s="154" t="s">
        <v>259</v>
      </c>
    </row>
    <row r="1077">
      <c r="A1077" s="154" t="s">
        <v>3027</v>
      </c>
      <c r="B1077" s="154" t="s">
        <v>3030</v>
      </c>
      <c r="D1077" s="154">
        <v>2.0</v>
      </c>
      <c r="E1077" s="154" t="s">
        <v>897</v>
      </c>
      <c r="F1077" s="154" t="s">
        <v>1619</v>
      </c>
      <c r="G1077" s="154">
        <v>4.3903333E7</v>
      </c>
      <c r="H1077" s="154" t="s">
        <v>1620</v>
      </c>
      <c r="I1077" s="156">
        <v>0.0</v>
      </c>
      <c r="J1077" s="156">
        <v>0.0</v>
      </c>
      <c r="K1077" s="156">
        <v>0.0</v>
      </c>
    </row>
    <row r="1078">
      <c r="A1078" s="154" t="s">
        <v>3031</v>
      </c>
      <c r="B1078" s="154" t="s">
        <v>3032</v>
      </c>
      <c r="D1078" s="154">
        <v>2.0</v>
      </c>
      <c r="E1078" s="154" t="s">
        <v>897</v>
      </c>
      <c r="F1078" s="154" t="s">
        <v>3033</v>
      </c>
      <c r="G1078" s="156">
        <v>0.0</v>
      </c>
      <c r="H1078" s="154" t="s">
        <v>3034</v>
      </c>
      <c r="I1078" s="154" t="s">
        <v>3035</v>
      </c>
      <c r="J1078" s="154" t="s">
        <v>3036</v>
      </c>
      <c r="K1078" s="154" t="s">
        <v>301</v>
      </c>
    </row>
    <row r="1079">
      <c r="A1079" s="154" t="s">
        <v>3031</v>
      </c>
      <c r="B1079" s="155"/>
      <c r="C1079" s="154" t="s">
        <v>3037</v>
      </c>
      <c r="D1079" s="155"/>
      <c r="E1079" s="155"/>
      <c r="F1079" s="154" t="s">
        <v>3038</v>
      </c>
      <c r="G1079" s="156">
        <v>0.0</v>
      </c>
      <c r="H1079" s="154" t="s">
        <v>3039</v>
      </c>
      <c r="I1079" s="154" t="s">
        <v>3040</v>
      </c>
      <c r="J1079" s="154" t="s">
        <v>3041</v>
      </c>
      <c r="K1079" s="154" t="s">
        <v>301</v>
      </c>
    </row>
    <row r="1080">
      <c r="A1080" s="154" t="s">
        <v>3042</v>
      </c>
      <c r="B1080" s="154" t="s">
        <v>3043</v>
      </c>
      <c r="D1080" s="154">
        <v>2.0</v>
      </c>
      <c r="E1080" s="154" t="s">
        <v>897</v>
      </c>
      <c r="F1080" s="154" t="s">
        <v>3044</v>
      </c>
      <c r="G1080" s="156">
        <v>0.0</v>
      </c>
      <c r="H1080" s="156">
        <v>0.0</v>
      </c>
      <c r="I1080" s="154" t="s">
        <v>3045</v>
      </c>
      <c r="J1080" s="154" t="s">
        <v>3046</v>
      </c>
      <c r="K1080" s="154" t="s">
        <v>846</v>
      </c>
    </row>
    <row r="1081">
      <c r="A1081" s="154" t="s">
        <v>3042</v>
      </c>
      <c r="B1081" s="155"/>
      <c r="C1081" s="154" t="s">
        <v>3047</v>
      </c>
      <c r="D1081" s="155"/>
      <c r="E1081" s="155"/>
      <c r="F1081" s="154" t="s">
        <v>3044</v>
      </c>
      <c r="G1081" s="156">
        <v>0.0</v>
      </c>
      <c r="H1081" s="156">
        <v>0.0</v>
      </c>
      <c r="I1081" s="154" t="s">
        <v>3045</v>
      </c>
      <c r="J1081" s="154" t="s">
        <v>3046</v>
      </c>
      <c r="K1081" s="154" t="s">
        <v>846</v>
      </c>
    </row>
    <row r="1082">
      <c r="A1082" s="154" t="s">
        <v>3048</v>
      </c>
      <c r="B1082" s="154" t="s">
        <v>3049</v>
      </c>
      <c r="D1082" s="154">
        <v>2.0</v>
      </c>
      <c r="E1082" s="154" t="s">
        <v>897</v>
      </c>
      <c r="F1082" s="154" t="s">
        <v>1619</v>
      </c>
      <c r="G1082" s="154">
        <v>4.3903333E7</v>
      </c>
      <c r="H1082" s="154" t="s">
        <v>1620</v>
      </c>
      <c r="I1082" s="156">
        <v>0.0</v>
      </c>
      <c r="J1082" s="156">
        <v>0.0</v>
      </c>
      <c r="K1082" s="156">
        <v>0.0</v>
      </c>
    </row>
    <row r="1083">
      <c r="A1083" s="154" t="s">
        <v>3048</v>
      </c>
      <c r="B1083" s="155"/>
      <c r="C1083" s="154" t="s">
        <v>3050</v>
      </c>
      <c r="D1083" s="155"/>
      <c r="E1083" s="155"/>
      <c r="F1083" s="154" t="s">
        <v>1619</v>
      </c>
      <c r="G1083" s="154">
        <v>4.3903333E7</v>
      </c>
      <c r="H1083" s="154" t="s">
        <v>1620</v>
      </c>
      <c r="I1083" s="156">
        <v>0.0</v>
      </c>
      <c r="J1083" s="156">
        <v>0.0</v>
      </c>
      <c r="K1083" s="156">
        <v>0.0</v>
      </c>
    </row>
    <row r="1084">
      <c r="A1084" s="154" t="s">
        <v>3051</v>
      </c>
      <c r="B1084" s="154" t="s">
        <v>3052</v>
      </c>
      <c r="D1084" s="154">
        <v>2.0</v>
      </c>
      <c r="E1084" s="154" t="s">
        <v>897</v>
      </c>
      <c r="F1084" s="154" t="s">
        <v>1619</v>
      </c>
      <c r="G1084" s="154">
        <v>4.3903333E7</v>
      </c>
      <c r="H1084" s="154" t="s">
        <v>1620</v>
      </c>
      <c r="I1084" s="156">
        <v>0.0</v>
      </c>
      <c r="J1084" s="156">
        <v>0.0</v>
      </c>
      <c r="K1084" s="156">
        <v>0.0</v>
      </c>
    </row>
    <row r="1085">
      <c r="A1085" s="154" t="s">
        <v>3051</v>
      </c>
      <c r="B1085" s="155"/>
      <c r="C1085" s="154" t="s">
        <v>3053</v>
      </c>
      <c r="D1085" s="155"/>
      <c r="E1085" s="155"/>
      <c r="F1085" s="154" t="s">
        <v>3054</v>
      </c>
      <c r="G1085" s="154">
        <v>4.116622E7</v>
      </c>
      <c r="H1085" s="156">
        <v>0.0</v>
      </c>
      <c r="I1085" s="154">
        <v>9.61555460081E11</v>
      </c>
      <c r="J1085" s="156">
        <v>0.0</v>
      </c>
      <c r="K1085" s="154" t="s">
        <v>3055</v>
      </c>
    </row>
    <row r="1086">
      <c r="A1086" s="154" t="s">
        <v>3056</v>
      </c>
      <c r="B1086" s="154" t="s">
        <v>3057</v>
      </c>
      <c r="D1086" s="154">
        <v>2.0</v>
      </c>
      <c r="E1086" s="154" t="s">
        <v>897</v>
      </c>
      <c r="F1086" s="154" t="s">
        <v>3058</v>
      </c>
      <c r="G1086" s="156">
        <v>0.0</v>
      </c>
      <c r="H1086" s="154" t="s">
        <v>3059</v>
      </c>
      <c r="I1086" s="154" t="s">
        <v>3060</v>
      </c>
      <c r="J1086" s="154" t="s">
        <v>3061</v>
      </c>
      <c r="K1086" s="154" t="s">
        <v>760</v>
      </c>
    </row>
    <row r="1087">
      <c r="A1087" s="154" t="s">
        <v>3056</v>
      </c>
      <c r="B1087" s="155"/>
      <c r="C1087" s="154" t="s">
        <v>3062</v>
      </c>
      <c r="D1087" s="155"/>
      <c r="E1087" s="155"/>
      <c r="F1087" s="154" t="s">
        <v>3058</v>
      </c>
      <c r="G1087" s="156">
        <v>0.0</v>
      </c>
      <c r="H1087" s="154" t="s">
        <v>3059</v>
      </c>
      <c r="I1087" s="154" t="s">
        <v>3060</v>
      </c>
      <c r="J1087" s="154" t="s">
        <v>3061</v>
      </c>
      <c r="K1087" s="154" t="s">
        <v>760</v>
      </c>
    </row>
    <row r="1088">
      <c r="A1088" s="154" t="s">
        <v>3063</v>
      </c>
      <c r="B1088" s="155"/>
      <c r="C1088" s="154" t="s">
        <v>3064</v>
      </c>
      <c r="D1088" s="155"/>
      <c r="E1088" s="155"/>
      <c r="F1088" s="154" t="s">
        <v>1619</v>
      </c>
      <c r="G1088" s="154">
        <v>4.3903333E7</v>
      </c>
      <c r="H1088" s="154" t="s">
        <v>1620</v>
      </c>
      <c r="I1088" s="156">
        <v>0.0</v>
      </c>
      <c r="J1088" s="156">
        <v>0.0</v>
      </c>
      <c r="K1088" s="156">
        <v>0.0</v>
      </c>
    </row>
    <row r="1089">
      <c r="A1089" s="154" t="s">
        <v>3063</v>
      </c>
      <c r="B1089" s="154" t="s">
        <v>3065</v>
      </c>
      <c r="D1089" s="154">
        <v>2.0</v>
      </c>
      <c r="E1089" s="154" t="s">
        <v>897</v>
      </c>
      <c r="F1089" s="154" t="s">
        <v>1619</v>
      </c>
      <c r="G1089" s="154">
        <v>4.3903333E7</v>
      </c>
      <c r="H1089" s="154" t="s">
        <v>1620</v>
      </c>
      <c r="I1089" s="156">
        <v>0.0</v>
      </c>
      <c r="J1089" s="156">
        <v>0.0</v>
      </c>
      <c r="K1089" s="156">
        <v>0.0</v>
      </c>
    </row>
    <row r="1090">
      <c r="A1090" s="154" t="s">
        <v>3066</v>
      </c>
      <c r="B1090" s="155"/>
      <c r="C1090" s="154" t="s">
        <v>3067</v>
      </c>
      <c r="D1090" s="155"/>
      <c r="E1090" s="155"/>
      <c r="F1090" s="154" t="s">
        <v>3068</v>
      </c>
      <c r="G1090" s="156">
        <v>0.0</v>
      </c>
      <c r="H1090" s="156">
        <v>0.0</v>
      </c>
      <c r="I1090" s="154">
        <v>5.5586664E8</v>
      </c>
      <c r="J1090" s="156">
        <v>0.0</v>
      </c>
      <c r="K1090" s="154" t="s">
        <v>914</v>
      </c>
    </row>
    <row r="1091">
      <c r="A1091" s="154" t="s">
        <v>3066</v>
      </c>
      <c r="B1091" s="154" t="s">
        <v>3069</v>
      </c>
      <c r="D1091" s="154">
        <v>2.0</v>
      </c>
      <c r="E1091" s="154" t="s">
        <v>897</v>
      </c>
      <c r="F1091" s="154" t="s">
        <v>3068</v>
      </c>
      <c r="G1091" s="156">
        <v>0.0</v>
      </c>
      <c r="H1091" s="156">
        <v>0.0</v>
      </c>
      <c r="I1091" s="154">
        <v>5.5586664E8</v>
      </c>
      <c r="J1091" s="156">
        <v>0.0</v>
      </c>
      <c r="K1091" s="154" t="s">
        <v>914</v>
      </c>
    </row>
    <row r="1092">
      <c r="A1092" s="154" t="s">
        <v>3070</v>
      </c>
      <c r="B1092" s="155"/>
      <c r="C1092" s="154" t="s">
        <v>3071</v>
      </c>
      <c r="D1092" s="155"/>
      <c r="E1092" s="155"/>
      <c r="F1092" s="154" t="s">
        <v>1619</v>
      </c>
      <c r="G1092" s="154">
        <v>4.3903333E7</v>
      </c>
      <c r="H1092" s="154" t="s">
        <v>1620</v>
      </c>
      <c r="I1092" s="156">
        <v>0.0</v>
      </c>
      <c r="J1092" s="156">
        <v>0.0</v>
      </c>
      <c r="K1092" s="156">
        <v>0.0</v>
      </c>
    </row>
    <row r="1093">
      <c r="A1093" s="154" t="s">
        <v>3070</v>
      </c>
      <c r="B1093" s="154" t="s">
        <v>3072</v>
      </c>
      <c r="D1093" s="154">
        <v>2.0</v>
      </c>
      <c r="E1093" s="154" t="s">
        <v>897</v>
      </c>
      <c r="F1093" s="154" t="s">
        <v>3073</v>
      </c>
      <c r="G1093" s="156">
        <v>0.0</v>
      </c>
      <c r="H1093" s="154" t="s">
        <v>3074</v>
      </c>
      <c r="I1093" s="154" t="s">
        <v>3075</v>
      </c>
      <c r="J1093" s="154" t="s">
        <v>3076</v>
      </c>
      <c r="K1093" s="154" t="s">
        <v>207</v>
      </c>
    </row>
    <row r="1094">
      <c r="A1094" s="154" t="s">
        <v>3077</v>
      </c>
      <c r="B1094" s="154" t="s">
        <v>3078</v>
      </c>
      <c r="D1094" s="154">
        <v>2.0</v>
      </c>
      <c r="E1094" s="154" t="s">
        <v>897</v>
      </c>
      <c r="F1094" s="154" t="s">
        <v>3079</v>
      </c>
      <c r="G1094" s="154" t="s">
        <v>3080</v>
      </c>
      <c r="H1094" s="156">
        <v>0.0</v>
      </c>
      <c r="I1094" s="154">
        <v>9.71506454077E11</v>
      </c>
      <c r="J1094" s="156">
        <v>0.0</v>
      </c>
      <c r="K1094" s="154" t="s">
        <v>776</v>
      </c>
    </row>
    <row r="1095">
      <c r="A1095" s="154" t="s">
        <v>3077</v>
      </c>
      <c r="B1095" s="155"/>
      <c r="C1095" s="154" t="s">
        <v>3081</v>
      </c>
      <c r="D1095" s="155"/>
      <c r="E1095" s="155"/>
      <c r="F1095" s="154" t="s">
        <v>3079</v>
      </c>
      <c r="G1095" s="154" t="s">
        <v>3080</v>
      </c>
      <c r="H1095" s="156">
        <v>0.0</v>
      </c>
      <c r="I1095" s="154">
        <v>9.71506454077E11</v>
      </c>
      <c r="J1095" s="156">
        <v>0.0</v>
      </c>
      <c r="K1095" s="154" t="s">
        <v>776</v>
      </c>
    </row>
    <row r="1096">
      <c r="A1096" s="154" t="s">
        <v>3082</v>
      </c>
      <c r="B1096" s="154" t="s">
        <v>3083</v>
      </c>
      <c r="D1096" s="154">
        <v>2.0</v>
      </c>
      <c r="E1096" s="154" t="s">
        <v>897</v>
      </c>
      <c r="F1096" s="154" t="s">
        <v>3084</v>
      </c>
      <c r="G1096" s="156">
        <v>0.0</v>
      </c>
      <c r="H1096" s="154" t="s">
        <v>3085</v>
      </c>
      <c r="I1096" s="154" t="s">
        <v>3086</v>
      </c>
      <c r="J1096" s="154" t="s">
        <v>3087</v>
      </c>
      <c r="K1096" s="154" t="s">
        <v>361</v>
      </c>
    </row>
    <row r="1097">
      <c r="A1097" s="154" t="s">
        <v>3082</v>
      </c>
      <c r="B1097" s="155"/>
      <c r="C1097" s="154" t="s">
        <v>3088</v>
      </c>
      <c r="D1097" s="155"/>
      <c r="E1097" s="155"/>
      <c r="F1097" s="154" t="s">
        <v>3089</v>
      </c>
      <c r="G1097" s="154" t="s">
        <v>3090</v>
      </c>
      <c r="H1097" s="154" t="s">
        <v>3091</v>
      </c>
      <c r="I1097" s="154" t="s">
        <v>3092</v>
      </c>
      <c r="J1097" s="154" t="s">
        <v>3090</v>
      </c>
      <c r="K1097" s="154" t="s">
        <v>1446</v>
      </c>
    </row>
    <row r="1098">
      <c r="A1098" s="154" t="s">
        <v>3093</v>
      </c>
      <c r="B1098" s="154" t="s">
        <v>3094</v>
      </c>
      <c r="D1098" s="154">
        <v>2.0</v>
      </c>
      <c r="E1098" s="154" t="s">
        <v>897</v>
      </c>
      <c r="F1098" s="154" t="s">
        <v>3084</v>
      </c>
      <c r="G1098" s="156">
        <v>0.0</v>
      </c>
      <c r="H1098" s="154" t="s">
        <v>3085</v>
      </c>
      <c r="I1098" s="154" t="s">
        <v>3086</v>
      </c>
      <c r="J1098" s="154" t="s">
        <v>3087</v>
      </c>
      <c r="K1098" s="154" t="s">
        <v>361</v>
      </c>
    </row>
    <row r="1099">
      <c r="A1099" s="154" t="s">
        <v>3093</v>
      </c>
      <c r="B1099" s="155"/>
      <c r="C1099" s="154" t="s">
        <v>3095</v>
      </c>
      <c r="D1099" s="155"/>
      <c r="E1099" s="155"/>
      <c r="F1099" s="154" t="s">
        <v>3096</v>
      </c>
      <c r="G1099" s="156">
        <v>0.0</v>
      </c>
      <c r="H1099" s="156">
        <v>0.0</v>
      </c>
      <c r="I1099" s="154">
        <v>9.71569416245E11</v>
      </c>
      <c r="J1099" s="156">
        <v>0.0</v>
      </c>
      <c r="K1099" s="154" t="s">
        <v>760</v>
      </c>
    </row>
    <row r="1100">
      <c r="A1100" s="154" t="s">
        <v>3097</v>
      </c>
      <c r="B1100" s="154" t="s">
        <v>3098</v>
      </c>
      <c r="D1100" s="154">
        <v>2.0</v>
      </c>
      <c r="E1100" s="154" t="s">
        <v>897</v>
      </c>
      <c r="F1100" s="154" t="s">
        <v>1619</v>
      </c>
      <c r="G1100" s="154">
        <v>4.3903333E7</v>
      </c>
      <c r="H1100" s="154" t="s">
        <v>1620</v>
      </c>
      <c r="I1100" s="156">
        <v>0.0</v>
      </c>
      <c r="J1100" s="156">
        <v>0.0</v>
      </c>
      <c r="K1100" s="156">
        <v>0.0</v>
      </c>
    </row>
    <row r="1101">
      <c r="A1101" s="154" t="s">
        <v>3097</v>
      </c>
      <c r="B1101" s="155"/>
      <c r="C1101" s="154" t="s">
        <v>3099</v>
      </c>
      <c r="D1101" s="155"/>
      <c r="E1101" s="155"/>
      <c r="F1101" s="154" t="s">
        <v>3089</v>
      </c>
      <c r="G1101" s="154" t="s">
        <v>3090</v>
      </c>
      <c r="H1101" s="154" t="s">
        <v>3091</v>
      </c>
      <c r="I1101" s="154" t="s">
        <v>3092</v>
      </c>
      <c r="J1101" s="154" t="s">
        <v>3090</v>
      </c>
      <c r="K1101" s="154" t="s">
        <v>1446</v>
      </c>
    </row>
    <row r="1102">
      <c r="A1102" s="154" t="s">
        <v>3100</v>
      </c>
      <c r="B1102" s="154" t="s">
        <v>3101</v>
      </c>
      <c r="D1102" s="154">
        <v>2.0</v>
      </c>
      <c r="E1102" s="154" t="s">
        <v>897</v>
      </c>
      <c r="F1102" s="154" t="s">
        <v>1619</v>
      </c>
      <c r="G1102" s="154">
        <v>4.3903333E7</v>
      </c>
      <c r="H1102" s="154" t="s">
        <v>1620</v>
      </c>
      <c r="I1102" s="156">
        <v>0.0</v>
      </c>
      <c r="J1102" s="156">
        <v>0.0</v>
      </c>
      <c r="K1102" s="156">
        <v>0.0</v>
      </c>
    </row>
    <row r="1103">
      <c r="A1103" s="154" t="s">
        <v>3100</v>
      </c>
      <c r="B1103" s="155"/>
      <c r="C1103" s="154" t="s">
        <v>3102</v>
      </c>
      <c r="D1103" s="155"/>
      <c r="E1103" s="155"/>
      <c r="F1103" s="154" t="s">
        <v>1619</v>
      </c>
      <c r="G1103" s="154">
        <v>4.3903333E7</v>
      </c>
      <c r="H1103" s="154" t="s">
        <v>1620</v>
      </c>
      <c r="I1103" s="156">
        <v>0.0</v>
      </c>
      <c r="J1103" s="156">
        <v>0.0</v>
      </c>
      <c r="K1103" s="156">
        <v>0.0</v>
      </c>
    </row>
    <row r="1104">
      <c r="A1104" s="154" t="s">
        <v>3103</v>
      </c>
      <c r="B1104" s="155"/>
      <c r="C1104" s="154" t="s">
        <v>3104</v>
      </c>
      <c r="D1104" s="155"/>
      <c r="E1104" s="155"/>
      <c r="F1104" s="154" t="s">
        <v>1619</v>
      </c>
      <c r="G1104" s="154">
        <v>4.3903333E7</v>
      </c>
      <c r="H1104" s="154" t="s">
        <v>1620</v>
      </c>
      <c r="I1104" s="156">
        <v>0.0</v>
      </c>
      <c r="J1104" s="156">
        <v>0.0</v>
      </c>
      <c r="K1104" s="156">
        <v>0.0</v>
      </c>
    </row>
    <row r="1105">
      <c r="A1105" s="154" t="s">
        <v>3103</v>
      </c>
      <c r="B1105" s="154" t="s">
        <v>3105</v>
      </c>
      <c r="D1105" s="154">
        <v>2.0</v>
      </c>
      <c r="E1105" s="154" t="s">
        <v>897</v>
      </c>
      <c r="F1105" s="154" t="s">
        <v>1619</v>
      </c>
      <c r="G1105" s="154">
        <v>4.3903333E7</v>
      </c>
      <c r="H1105" s="154" t="s">
        <v>1620</v>
      </c>
      <c r="I1105" s="156">
        <v>0.0</v>
      </c>
      <c r="J1105" s="156">
        <v>0.0</v>
      </c>
      <c r="K1105" s="156">
        <v>0.0</v>
      </c>
    </row>
    <row r="1106">
      <c r="A1106" s="154" t="s">
        <v>3106</v>
      </c>
      <c r="B1106" s="155"/>
      <c r="C1106" s="154" t="s">
        <v>3107</v>
      </c>
      <c r="D1106" s="155"/>
      <c r="E1106" s="155"/>
      <c r="F1106" s="154" t="s">
        <v>3108</v>
      </c>
      <c r="G1106" s="154" t="s">
        <v>3109</v>
      </c>
      <c r="H1106" s="156">
        <v>0.0</v>
      </c>
      <c r="I1106" s="154" t="s">
        <v>3110</v>
      </c>
      <c r="J1106" s="154" t="s">
        <v>3111</v>
      </c>
      <c r="K1106" s="154" t="s">
        <v>207</v>
      </c>
    </row>
    <row r="1107">
      <c r="A1107" s="154" t="s">
        <v>3106</v>
      </c>
      <c r="B1107" s="154" t="s">
        <v>3112</v>
      </c>
      <c r="D1107" s="154">
        <v>2.0</v>
      </c>
      <c r="E1107" s="154" t="s">
        <v>897</v>
      </c>
      <c r="F1107" s="154" t="s">
        <v>1619</v>
      </c>
      <c r="G1107" s="154">
        <v>4.3903333E7</v>
      </c>
      <c r="H1107" s="154" t="s">
        <v>1620</v>
      </c>
      <c r="I1107" s="156">
        <v>0.0</v>
      </c>
      <c r="J1107" s="156">
        <v>0.0</v>
      </c>
      <c r="K1107" s="156">
        <v>0.0</v>
      </c>
    </row>
    <row r="1108">
      <c r="A1108" s="154" t="s">
        <v>3113</v>
      </c>
      <c r="B1108" s="154" t="s">
        <v>3114</v>
      </c>
      <c r="D1108" s="154">
        <v>2.0</v>
      </c>
      <c r="E1108" s="154" t="s">
        <v>897</v>
      </c>
      <c r="F1108" s="154" t="s">
        <v>3115</v>
      </c>
      <c r="G1108" s="154">
        <v>5.57140801E8</v>
      </c>
      <c r="H1108" s="156">
        <v>0.0</v>
      </c>
      <c r="I1108" s="154">
        <v>9.71557140801E11</v>
      </c>
      <c r="J1108" s="156">
        <v>0.0</v>
      </c>
      <c r="K1108" s="154" t="s">
        <v>760</v>
      </c>
    </row>
    <row r="1109">
      <c r="A1109" s="154" t="s">
        <v>3113</v>
      </c>
      <c r="B1109" s="155"/>
      <c r="C1109" s="154" t="s">
        <v>3116</v>
      </c>
      <c r="D1109" s="155"/>
      <c r="E1109" s="155"/>
      <c r="F1109" s="154" t="s">
        <v>3115</v>
      </c>
      <c r="G1109" s="154">
        <v>5.57140801E8</v>
      </c>
      <c r="H1109" s="156">
        <v>0.0</v>
      </c>
      <c r="I1109" s="154">
        <v>9.71557140801E11</v>
      </c>
      <c r="J1109" s="156">
        <v>0.0</v>
      </c>
      <c r="K1109" s="154" t="s">
        <v>760</v>
      </c>
    </row>
    <row r="1110">
      <c r="A1110" s="154" t="s">
        <v>3117</v>
      </c>
      <c r="B1110" s="155"/>
      <c r="C1110" s="154" t="s">
        <v>3118</v>
      </c>
      <c r="D1110" s="155"/>
      <c r="E1110" s="155"/>
      <c r="F1110" s="154" t="s">
        <v>3119</v>
      </c>
      <c r="G1110" s="154">
        <v>5.02987856E8</v>
      </c>
      <c r="H1110" s="156">
        <v>0.0</v>
      </c>
      <c r="I1110" s="156">
        <v>0.0</v>
      </c>
      <c r="J1110" s="156">
        <v>0.0</v>
      </c>
      <c r="K1110" s="154" t="s">
        <v>760</v>
      </c>
    </row>
    <row r="1111">
      <c r="A1111" s="154" t="s">
        <v>3117</v>
      </c>
      <c r="B1111" s="154" t="s">
        <v>3120</v>
      </c>
      <c r="D1111" s="154">
        <v>2.0</v>
      </c>
      <c r="E1111" s="154" t="s">
        <v>897</v>
      </c>
      <c r="F1111" s="154" t="s">
        <v>1619</v>
      </c>
      <c r="G1111" s="154">
        <v>4.3903333E7</v>
      </c>
      <c r="H1111" s="154" t="s">
        <v>1620</v>
      </c>
      <c r="I1111" s="156">
        <v>0.0</v>
      </c>
      <c r="J1111" s="156">
        <v>0.0</v>
      </c>
      <c r="K1111" s="156">
        <v>0.0</v>
      </c>
    </row>
    <row r="1112">
      <c r="A1112" s="154" t="s">
        <v>3121</v>
      </c>
      <c r="B1112" s="155"/>
      <c r="C1112" s="154" t="s">
        <v>3122</v>
      </c>
      <c r="D1112" s="155"/>
      <c r="E1112" s="155"/>
      <c r="F1112" s="154" t="s">
        <v>1619</v>
      </c>
      <c r="G1112" s="154">
        <v>4.3903333E7</v>
      </c>
      <c r="H1112" s="154" t="s">
        <v>1620</v>
      </c>
      <c r="I1112" s="156">
        <v>0.0</v>
      </c>
      <c r="J1112" s="156">
        <v>0.0</v>
      </c>
      <c r="K1112" s="156">
        <v>0.0</v>
      </c>
    </row>
    <row r="1113">
      <c r="A1113" s="154" t="s">
        <v>3121</v>
      </c>
      <c r="B1113" s="154" t="s">
        <v>3123</v>
      </c>
      <c r="D1113" s="154">
        <v>2.0</v>
      </c>
      <c r="E1113" s="154" t="s">
        <v>897</v>
      </c>
      <c r="F1113" s="154" t="s">
        <v>3124</v>
      </c>
      <c r="G1113" s="154">
        <v>5.57140801E8</v>
      </c>
      <c r="H1113" s="156">
        <v>0.0</v>
      </c>
      <c r="I1113" s="154">
        <v>9.71557140801E11</v>
      </c>
      <c r="J1113" s="156">
        <v>0.0</v>
      </c>
      <c r="K1113" s="154" t="s">
        <v>760</v>
      </c>
    </row>
    <row r="1114">
      <c r="A1114" s="154" t="s">
        <v>3125</v>
      </c>
      <c r="B1114" s="154" t="s">
        <v>3126</v>
      </c>
      <c r="D1114" s="154">
        <v>2.0</v>
      </c>
      <c r="E1114" s="154" t="s">
        <v>897</v>
      </c>
      <c r="F1114" s="154" t="s">
        <v>3127</v>
      </c>
      <c r="G1114" s="156">
        <v>0.0</v>
      </c>
      <c r="H1114" s="154" t="s">
        <v>3128</v>
      </c>
      <c r="I1114" s="154" t="s">
        <v>3129</v>
      </c>
      <c r="J1114" s="154" t="s">
        <v>3130</v>
      </c>
      <c r="K1114" s="154" t="s">
        <v>191</v>
      </c>
    </row>
    <row r="1115">
      <c r="A1115" s="154" t="s">
        <v>3125</v>
      </c>
      <c r="B1115" s="155"/>
      <c r="C1115" s="154" t="s">
        <v>3131</v>
      </c>
      <c r="D1115" s="155"/>
      <c r="E1115" s="155"/>
      <c r="F1115" s="154" t="s">
        <v>3132</v>
      </c>
      <c r="G1115" s="154">
        <v>5.57140801E8</v>
      </c>
      <c r="H1115" s="156">
        <v>0.0</v>
      </c>
      <c r="I1115" s="154">
        <v>9.71557140801E11</v>
      </c>
      <c r="J1115" s="156">
        <v>0.0</v>
      </c>
      <c r="K1115" s="154" t="s">
        <v>760</v>
      </c>
    </row>
    <row r="1116">
      <c r="A1116" s="154" t="s">
        <v>3133</v>
      </c>
      <c r="B1116" s="154" t="s">
        <v>3134</v>
      </c>
      <c r="D1116" s="154">
        <v>2.0</v>
      </c>
      <c r="E1116" s="154" t="s">
        <v>897</v>
      </c>
      <c r="F1116" s="154" t="s">
        <v>1619</v>
      </c>
      <c r="G1116" s="154">
        <v>4.3903333E7</v>
      </c>
      <c r="H1116" s="154" t="s">
        <v>1620</v>
      </c>
      <c r="I1116" s="156">
        <v>0.0</v>
      </c>
      <c r="J1116" s="156">
        <v>0.0</v>
      </c>
      <c r="K1116" s="156">
        <v>0.0</v>
      </c>
    </row>
    <row r="1117">
      <c r="A1117" s="154" t="s">
        <v>3133</v>
      </c>
      <c r="B1117" s="155"/>
      <c r="C1117" s="154" t="s">
        <v>3135</v>
      </c>
      <c r="D1117" s="155"/>
      <c r="E1117" s="155"/>
      <c r="F1117" s="154" t="s">
        <v>3136</v>
      </c>
      <c r="G1117" s="154">
        <v>4.2718077E7</v>
      </c>
      <c r="H1117" s="156">
        <v>0.0</v>
      </c>
      <c r="I1117" s="154">
        <v>9.71553202996E11</v>
      </c>
      <c r="J1117" s="156">
        <v>0.0</v>
      </c>
      <c r="K1117" s="154" t="s">
        <v>760</v>
      </c>
    </row>
    <row r="1118">
      <c r="A1118" s="154" t="s">
        <v>3137</v>
      </c>
      <c r="B1118" s="155"/>
      <c r="C1118" s="154" t="s">
        <v>3138</v>
      </c>
      <c r="D1118" s="155"/>
      <c r="E1118" s="155"/>
      <c r="F1118" s="154" t="s">
        <v>1619</v>
      </c>
      <c r="G1118" s="154">
        <v>4.3903333E7</v>
      </c>
      <c r="H1118" s="154" t="s">
        <v>1620</v>
      </c>
      <c r="I1118" s="156">
        <v>0.0</v>
      </c>
      <c r="J1118" s="156">
        <v>0.0</v>
      </c>
      <c r="K1118" s="156">
        <v>0.0</v>
      </c>
    </row>
    <row r="1119">
      <c r="A1119" s="154" t="s">
        <v>3137</v>
      </c>
      <c r="B1119" s="154" t="s">
        <v>3139</v>
      </c>
      <c r="D1119" s="154">
        <v>2.0</v>
      </c>
      <c r="E1119" s="154" t="s">
        <v>897</v>
      </c>
      <c r="F1119" s="154" t="s">
        <v>1619</v>
      </c>
      <c r="G1119" s="154">
        <v>4.3903333E7</v>
      </c>
      <c r="H1119" s="154" t="s">
        <v>1620</v>
      </c>
      <c r="I1119" s="156">
        <v>0.0</v>
      </c>
      <c r="J1119" s="156">
        <v>0.0</v>
      </c>
      <c r="K1119" s="156">
        <v>0.0</v>
      </c>
    </row>
    <row r="1120">
      <c r="A1120" s="154" t="s">
        <v>3140</v>
      </c>
      <c r="B1120" s="155"/>
      <c r="C1120" s="154" t="s">
        <v>3141</v>
      </c>
      <c r="D1120" s="155"/>
      <c r="E1120" s="155"/>
      <c r="F1120" s="154" t="s">
        <v>3142</v>
      </c>
      <c r="G1120" s="154" t="s">
        <v>3143</v>
      </c>
      <c r="H1120" s="156">
        <v>0.0</v>
      </c>
      <c r="I1120" s="154" t="s">
        <v>3144</v>
      </c>
      <c r="J1120" s="154" t="s">
        <v>3145</v>
      </c>
      <c r="K1120" s="154" t="s">
        <v>361</v>
      </c>
    </row>
    <row r="1121">
      <c r="A1121" s="154" t="s">
        <v>3140</v>
      </c>
      <c r="B1121" s="154" t="s">
        <v>3146</v>
      </c>
      <c r="D1121" s="154">
        <v>2.0</v>
      </c>
      <c r="E1121" s="154" t="s">
        <v>897</v>
      </c>
      <c r="F1121" s="154" t="s">
        <v>1619</v>
      </c>
      <c r="G1121" s="154">
        <v>4.3903333E7</v>
      </c>
      <c r="H1121" s="154" t="s">
        <v>1620</v>
      </c>
      <c r="I1121" s="156">
        <v>0.0</v>
      </c>
      <c r="J1121" s="156">
        <v>0.0</v>
      </c>
      <c r="K1121" s="156">
        <v>0.0</v>
      </c>
    </row>
    <row r="1122">
      <c r="A1122" s="154" t="s">
        <v>3147</v>
      </c>
      <c r="B1122" s="155"/>
      <c r="C1122" s="154" t="s">
        <v>3148</v>
      </c>
      <c r="D1122" s="155"/>
      <c r="E1122" s="155"/>
      <c r="F1122" s="154" t="s">
        <v>3149</v>
      </c>
      <c r="G1122" s="156">
        <v>0.0</v>
      </c>
      <c r="H1122" s="156">
        <v>0.0</v>
      </c>
      <c r="I1122" s="154" t="s">
        <v>3150</v>
      </c>
      <c r="J1122" s="154" t="s">
        <v>3151</v>
      </c>
      <c r="K1122" s="154" t="s">
        <v>361</v>
      </c>
    </row>
    <row r="1123">
      <c r="A1123" s="154" t="s">
        <v>3147</v>
      </c>
      <c r="B1123" s="154" t="s">
        <v>3152</v>
      </c>
      <c r="D1123" s="154">
        <v>2.0</v>
      </c>
      <c r="E1123" s="154" t="s">
        <v>897</v>
      </c>
      <c r="F1123" s="154" t="s">
        <v>1619</v>
      </c>
      <c r="G1123" s="154">
        <v>4.3903333E7</v>
      </c>
      <c r="H1123" s="154" t="s">
        <v>1620</v>
      </c>
      <c r="I1123" s="156">
        <v>0.0</v>
      </c>
      <c r="J1123" s="156">
        <v>0.0</v>
      </c>
      <c r="K1123" s="156">
        <v>0.0</v>
      </c>
    </row>
    <row r="1124">
      <c r="A1124" s="154" t="s">
        <v>3153</v>
      </c>
      <c r="B1124" s="155"/>
      <c r="C1124" s="154" t="s">
        <v>3154</v>
      </c>
      <c r="D1124" s="155"/>
      <c r="E1124" s="155"/>
      <c r="F1124" s="154" t="s">
        <v>3155</v>
      </c>
      <c r="G1124" s="154" t="s">
        <v>3143</v>
      </c>
      <c r="H1124" s="154" t="s">
        <v>3156</v>
      </c>
      <c r="I1124" s="154" t="s">
        <v>3157</v>
      </c>
      <c r="J1124" s="154" t="s">
        <v>3158</v>
      </c>
      <c r="K1124" s="154" t="s">
        <v>361</v>
      </c>
    </row>
    <row r="1125">
      <c r="A1125" s="154" t="s">
        <v>3153</v>
      </c>
      <c r="B1125" s="154" t="s">
        <v>3159</v>
      </c>
      <c r="D1125" s="154">
        <v>2.0</v>
      </c>
      <c r="E1125" s="154" t="s">
        <v>897</v>
      </c>
      <c r="F1125" s="154" t="s">
        <v>1619</v>
      </c>
      <c r="G1125" s="154">
        <v>4.3903333E7</v>
      </c>
      <c r="H1125" s="154" t="s">
        <v>1620</v>
      </c>
      <c r="I1125" s="156">
        <v>0.0</v>
      </c>
      <c r="J1125" s="156">
        <v>0.0</v>
      </c>
      <c r="K1125" s="156">
        <v>0.0</v>
      </c>
    </row>
    <row r="1126">
      <c r="A1126" s="154" t="s">
        <v>3160</v>
      </c>
      <c r="B1126" s="155"/>
      <c r="C1126" s="154" t="s">
        <v>3161</v>
      </c>
      <c r="D1126" s="155"/>
      <c r="E1126" s="155"/>
      <c r="F1126" s="154" t="s">
        <v>2798</v>
      </c>
      <c r="G1126" s="154">
        <v>5.09101155E8</v>
      </c>
      <c r="H1126" s="156">
        <v>0.0</v>
      </c>
      <c r="I1126" s="154">
        <v>0.0</v>
      </c>
      <c r="J1126" s="156">
        <v>0.0</v>
      </c>
      <c r="K1126" s="154" t="s">
        <v>776</v>
      </c>
    </row>
    <row r="1127">
      <c r="A1127" s="154" t="s">
        <v>3160</v>
      </c>
      <c r="B1127" s="154" t="s">
        <v>3162</v>
      </c>
      <c r="D1127" s="154">
        <v>2.0</v>
      </c>
      <c r="E1127" s="154" t="s">
        <v>897</v>
      </c>
      <c r="F1127" s="154" t="s">
        <v>3127</v>
      </c>
      <c r="G1127" s="156">
        <v>0.0</v>
      </c>
      <c r="H1127" s="154" t="s">
        <v>3128</v>
      </c>
      <c r="I1127" s="154" t="s">
        <v>3129</v>
      </c>
      <c r="J1127" s="154" t="s">
        <v>3130</v>
      </c>
      <c r="K1127" s="154" t="s">
        <v>191</v>
      </c>
    </row>
    <row r="1128">
      <c r="A1128" s="154" t="s">
        <v>3163</v>
      </c>
      <c r="B1128" s="154" t="s">
        <v>3164</v>
      </c>
      <c r="D1128" s="154">
        <v>2.0</v>
      </c>
      <c r="E1128" s="154" t="s">
        <v>897</v>
      </c>
      <c r="F1128" s="154" t="s">
        <v>3127</v>
      </c>
      <c r="G1128" s="156">
        <v>0.0</v>
      </c>
      <c r="H1128" s="154" t="s">
        <v>3128</v>
      </c>
      <c r="I1128" s="154" t="s">
        <v>3129</v>
      </c>
      <c r="J1128" s="154" t="s">
        <v>3130</v>
      </c>
      <c r="K1128" s="154" t="s">
        <v>191</v>
      </c>
    </row>
    <row r="1129">
      <c r="A1129" s="154" t="s">
        <v>3163</v>
      </c>
      <c r="B1129" s="155"/>
      <c r="C1129" s="154" t="s">
        <v>3165</v>
      </c>
      <c r="D1129" s="155"/>
      <c r="E1129" s="155"/>
      <c r="F1129" s="154" t="s">
        <v>3166</v>
      </c>
      <c r="G1129" s="154">
        <v>5.06459866E8</v>
      </c>
      <c r="H1129" s="156">
        <v>0.0</v>
      </c>
      <c r="I1129" s="154">
        <v>5.06459866E8</v>
      </c>
      <c r="J1129" s="156">
        <v>0.0</v>
      </c>
      <c r="K1129" s="154" t="s">
        <v>760</v>
      </c>
    </row>
    <row r="1130">
      <c r="A1130" s="154" t="s">
        <v>3167</v>
      </c>
      <c r="B1130" s="155"/>
      <c r="C1130" s="154" t="s">
        <v>3168</v>
      </c>
      <c r="D1130" s="155"/>
      <c r="E1130" s="155"/>
      <c r="F1130" s="154" t="s">
        <v>1619</v>
      </c>
      <c r="G1130" s="154">
        <v>4.3903333E7</v>
      </c>
      <c r="H1130" s="154" t="s">
        <v>1620</v>
      </c>
      <c r="I1130" s="156">
        <v>0.0</v>
      </c>
      <c r="J1130" s="156">
        <v>0.0</v>
      </c>
      <c r="K1130" s="156">
        <v>0.0</v>
      </c>
    </row>
    <row r="1131">
      <c r="A1131" s="154" t="s">
        <v>3167</v>
      </c>
      <c r="B1131" s="154" t="s">
        <v>3169</v>
      </c>
      <c r="D1131" s="154">
        <v>2.0</v>
      </c>
      <c r="E1131" s="154" t="s">
        <v>897</v>
      </c>
      <c r="F1131" s="154" t="s">
        <v>1619</v>
      </c>
      <c r="G1131" s="154">
        <v>4.3903333E7</v>
      </c>
      <c r="H1131" s="154" t="s">
        <v>1620</v>
      </c>
      <c r="I1131" s="156">
        <v>0.0</v>
      </c>
      <c r="J1131" s="156">
        <v>0.0</v>
      </c>
      <c r="K1131" s="156">
        <v>0.0</v>
      </c>
    </row>
    <row r="1132">
      <c r="A1132" s="154" t="s">
        <v>3170</v>
      </c>
      <c r="B1132" s="154" t="s">
        <v>3171</v>
      </c>
      <c r="D1132" s="154">
        <v>2.0</v>
      </c>
      <c r="E1132" s="154" t="s">
        <v>897</v>
      </c>
      <c r="F1132" s="154" t="s">
        <v>3172</v>
      </c>
      <c r="G1132" s="156">
        <v>0.0</v>
      </c>
      <c r="H1132" s="156">
        <v>0.0</v>
      </c>
      <c r="I1132" s="154" t="s">
        <v>3173</v>
      </c>
      <c r="J1132" s="154" t="s">
        <v>3174</v>
      </c>
      <c r="K1132" s="154" t="s">
        <v>361</v>
      </c>
    </row>
    <row r="1133">
      <c r="A1133" s="154" t="s">
        <v>3170</v>
      </c>
      <c r="B1133" s="155"/>
      <c r="C1133" s="154" t="s">
        <v>3175</v>
      </c>
      <c r="D1133" s="155"/>
      <c r="E1133" s="155"/>
      <c r="F1133" s="154" t="s">
        <v>3172</v>
      </c>
      <c r="G1133" s="156">
        <v>0.0</v>
      </c>
      <c r="H1133" s="156">
        <v>0.0</v>
      </c>
      <c r="I1133" s="154" t="s">
        <v>3173</v>
      </c>
      <c r="J1133" s="154" t="s">
        <v>3174</v>
      </c>
      <c r="K1133" s="154" t="s">
        <v>361</v>
      </c>
    </row>
    <row r="1134">
      <c r="A1134" s="154" t="s">
        <v>3176</v>
      </c>
      <c r="B1134" s="154" t="s">
        <v>3177</v>
      </c>
      <c r="D1134" s="154">
        <v>2.0</v>
      </c>
      <c r="E1134" s="154" t="s">
        <v>897</v>
      </c>
      <c r="F1134" s="154" t="s">
        <v>2798</v>
      </c>
      <c r="G1134" s="154">
        <v>5.09101155E8</v>
      </c>
      <c r="H1134" s="156">
        <v>0.0</v>
      </c>
      <c r="I1134" s="154">
        <v>0.0</v>
      </c>
      <c r="J1134" s="156">
        <v>0.0</v>
      </c>
      <c r="K1134" s="154" t="s">
        <v>776</v>
      </c>
    </row>
    <row r="1135">
      <c r="A1135" s="154" t="s">
        <v>3176</v>
      </c>
      <c r="B1135" s="155"/>
      <c r="C1135" s="154" t="s">
        <v>3178</v>
      </c>
      <c r="D1135" s="155"/>
      <c r="E1135" s="155"/>
      <c r="F1135" s="154" t="s">
        <v>2798</v>
      </c>
      <c r="G1135" s="154">
        <v>5.09101155E8</v>
      </c>
      <c r="H1135" s="156">
        <v>0.0</v>
      </c>
      <c r="I1135" s="154">
        <v>0.0</v>
      </c>
      <c r="J1135" s="156">
        <v>0.0</v>
      </c>
      <c r="K1135" s="154" t="s">
        <v>776</v>
      </c>
    </row>
    <row r="1136">
      <c r="A1136" s="154" t="s">
        <v>3179</v>
      </c>
      <c r="B1136" s="154" t="s">
        <v>3180</v>
      </c>
      <c r="D1136" s="154">
        <v>2.0</v>
      </c>
      <c r="E1136" s="154" t="s">
        <v>897</v>
      </c>
      <c r="F1136" s="154" t="s">
        <v>1619</v>
      </c>
      <c r="G1136" s="154">
        <v>4.3903333E7</v>
      </c>
      <c r="H1136" s="154" t="s">
        <v>1620</v>
      </c>
      <c r="I1136" s="156">
        <v>0.0</v>
      </c>
      <c r="J1136" s="156">
        <v>0.0</v>
      </c>
      <c r="K1136" s="156">
        <v>0.0</v>
      </c>
    </row>
    <row r="1137">
      <c r="A1137" s="154" t="s">
        <v>3179</v>
      </c>
      <c r="B1137" s="155"/>
      <c r="C1137" s="154" t="s">
        <v>3181</v>
      </c>
      <c r="D1137" s="155"/>
      <c r="E1137" s="155"/>
      <c r="F1137" s="154" t="s">
        <v>2798</v>
      </c>
      <c r="G1137" s="154">
        <v>5.09101155E8</v>
      </c>
      <c r="H1137" s="156">
        <v>0.0</v>
      </c>
      <c r="I1137" s="154">
        <v>0.0</v>
      </c>
      <c r="J1137" s="156">
        <v>0.0</v>
      </c>
      <c r="K1137" s="154" t="s">
        <v>776</v>
      </c>
    </row>
    <row r="1138">
      <c r="A1138" s="154" t="s">
        <v>3182</v>
      </c>
      <c r="B1138" s="154" t="s">
        <v>3183</v>
      </c>
      <c r="D1138" s="154">
        <v>2.0</v>
      </c>
      <c r="E1138" s="154" t="s">
        <v>761</v>
      </c>
      <c r="F1138" s="154" t="s">
        <v>3184</v>
      </c>
      <c r="G1138" s="154">
        <v>971.0</v>
      </c>
      <c r="H1138" s="156">
        <v>0.0</v>
      </c>
      <c r="I1138" s="154" t="s">
        <v>3185</v>
      </c>
      <c r="J1138" s="154" t="s">
        <v>3186</v>
      </c>
      <c r="K1138" s="154" t="s">
        <v>361</v>
      </c>
    </row>
    <row r="1139">
      <c r="A1139" s="154" t="s">
        <v>3182</v>
      </c>
      <c r="B1139" s="155"/>
      <c r="C1139" s="154" t="s">
        <v>3183</v>
      </c>
      <c r="D1139" s="155"/>
      <c r="E1139" s="155"/>
      <c r="F1139" s="154" t="s">
        <v>3184</v>
      </c>
      <c r="G1139" s="154">
        <v>971.0</v>
      </c>
      <c r="H1139" s="156">
        <v>0.0</v>
      </c>
      <c r="I1139" s="154" t="s">
        <v>3185</v>
      </c>
      <c r="J1139" s="154" t="s">
        <v>3186</v>
      </c>
      <c r="K1139" s="154" t="s">
        <v>361</v>
      </c>
    </row>
    <row r="1140">
      <c r="A1140" s="154" t="s">
        <v>3187</v>
      </c>
      <c r="B1140" s="154" t="s">
        <v>3188</v>
      </c>
      <c r="D1140" s="154">
        <v>2.0</v>
      </c>
      <c r="E1140" s="154" t="s">
        <v>761</v>
      </c>
      <c r="F1140" s="154" t="s">
        <v>3189</v>
      </c>
      <c r="G1140" s="156">
        <v>0.0</v>
      </c>
      <c r="H1140" s="154" t="s">
        <v>3190</v>
      </c>
      <c r="I1140" s="154" t="s">
        <v>3191</v>
      </c>
      <c r="J1140" s="154" t="s">
        <v>3192</v>
      </c>
      <c r="K1140" s="154" t="s">
        <v>197</v>
      </c>
    </row>
    <row r="1141">
      <c r="A1141" s="154" t="s">
        <v>3187</v>
      </c>
      <c r="B1141" s="155"/>
      <c r="C1141" s="154" t="s">
        <v>3188</v>
      </c>
      <c r="D1141" s="155"/>
      <c r="E1141" s="155"/>
      <c r="F1141" s="154" t="s">
        <v>3189</v>
      </c>
      <c r="G1141" s="156">
        <v>0.0</v>
      </c>
      <c r="H1141" s="154" t="s">
        <v>3190</v>
      </c>
      <c r="I1141" s="154" t="s">
        <v>3191</v>
      </c>
      <c r="J1141" s="154" t="s">
        <v>3192</v>
      </c>
      <c r="K1141" s="154" t="s">
        <v>197</v>
      </c>
    </row>
    <row r="1142">
      <c r="A1142" s="154" t="s">
        <v>3193</v>
      </c>
      <c r="B1142" s="155"/>
      <c r="C1142" s="154" t="s">
        <v>3194</v>
      </c>
      <c r="D1142" s="155"/>
      <c r="E1142" s="155"/>
      <c r="F1142" s="154" t="s">
        <v>3195</v>
      </c>
      <c r="G1142" s="154">
        <v>4.8861379E7</v>
      </c>
      <c r="H1142" s="156">
        <v>0.0</v>
      </c>
      <c r="I1142" s="154">
        <v>9.71506544391E11</v>
      </c>
      <c r="J1142" s="156">
        <v>0.0</v>
      </c>
      <c r="K1142" s="154" t="s">
        <v>197</v>
      </c>
    </row>
    <row r="1143">
      <c r="A1143" s="154" t="s">
        <v>3193</v>
      </c>
      <c r="B1143" s="154" t="s">
        <v>3194</v>
      </c>
      <c r="D1143" s="154">
        <v>2.0</v>
      </c>
      <c r="E1143" s="154" t="s">
        <v>761</v>
      </c>
      <c r="F1143" s="154" t="s">
        <v>3195</v>
      </c>
      <c r="G1143" s="154">
        <v>4.8861379E7</v>
      </c>
      <c r="H1143" s="156">
        <v>0.0</v>
      </c>
      <c r="I1143" s="154">
        <v>9.71506544391E11</v>
      </c>
      <c r="J1143" s="156">
        <v>0.0</v>
      </c>
      <c r="K1143" s="154" t="s">
        <v>197</v>
      </c>
    </row>
    <row r="1144">
      <c r="A1144" s="154" t="s">
        <v>3196</v>
      </c>
      <c r="B1144" s="155"/>
      <c r="C1144" s="154" t="s">
        <v>3197</v>
      </c>
      <c r="D1144" s="155"/>
      <c r="E1144" s="155"/>
      <c r="F1144" s="154" t="s">
        <v>3195</v>
      </c>
      <c r="G1144" s="154">
        <v>4.8861379E7</v>
      </c>
      <c r="H1144" s="156">
        <v>0.0</v>
      </c>
      <c r="I1144" s="154">
        <v>9.71506544391E11</v>
      </c>
      <c r="J1144" s="156">
        <v>0.0</v>
      </c>
      <c r="K1144" s="154" t="s">
        <v>197</v>
      </c>
    </row>
    <row r="1145">
      <c r="A1145" s="154" t="s">
        <v>3196</v>
      </c>
      <c r="B1145" s="154" t="s">
        <v>3197</v>
      </c>
      <c r="D1145" s="154">
        <v>2.0</v>
      </c>
      <c r="E1145" s="154" t="s">
        <v>761</v>
      </c>
      <c r="F1145" s="154" t="s">
        <v>3195</v>
      </c>
      <c r="G1145" s="154">
        <v>4.8861379E7</v>
      </c>
      <c r="H1145" s="156">
        <v>0.0</v>
      </c>
      <c r="I1145" s="154">
        <v>9.71506544391E11</v>
      </c>
      <c r="J1145" s="156">
        <v>0.0</v>
      </c>
      <c r="K1145" s="154" t="s">
        <v>197</v>
      </c>
    </row>
    <row r="1146">
      <c r="A1146" s="154" t="s">
        <v>3198</v>
      </c>
      <c r="B1146" s="155"/>
      <c r="C1146" s="154" t="s">
        <v>3199</v>
      </c>
      <c r="D1146" s="155"/>
      <c r="E1146" s="155"/>
      <c r="F1146" s="154" t="s">
        <v>3200</v>
      </c>
      <c r="G1146" s="154">
        <v>4.2692788E7</v>
      </c>
      <c r="H1146" s="154" t="s">
        <v>3201</v>
      </c>
      <c r="I1146" s="154">
        <v>9.7150651128E11</v>
      </c>
      <c r="J1146" s="156">
        <v>0.0</v>
      </c>
      <c r="K1146" s="154" t="s">
        <v>361</v>
      </c>
    </row>
    <row r="1147">
      <c r="A1147" s="154" t="s">
        <v>3198</v>
      </c>
      <c r="B1147" s="154" t="s">
        <v>3199</v>
      </c>
      <c r="D1147" s="154">
        <v>2.0</v>
      </c>
      <c r="E1147" s="154" t="s">
        <v>761</v>
      </c>
      <c r="F1147" s="154" t="s">
        <v>3200</v>
      </c>
      <c r="G1147" s="154">
        <v>4.2692788E7</v>
      </c>
      <c r="H1147" s="154" t="s">
        <v>3201</v>
      </c>
      <c r="I1147" s="154">
        <v>9.7150651128E11</v>
      </c>
      <c r="J1147" s="156">
        <v>0.0</v>
      </c>
      <c r="K1147" s="154" t="s">
        <v>361</v>
      </c>
    </row>
    <row r="1148">
      <c r="A1148" s="154" t="s">
        <v>3202</v>
      </c>
      <c r="B1148" s="154" t="s">
        <v>3203</v>
      </c>
      <c r="D1148" s="154">
        <v>2.0</v>
      </c>
      <c r="E1148" s="154" t="s">
        <v>761</v>
      </c>
      <c r="F1148" s="154" t="s">
        <v>3204</v>
      </c>
      <c r="G1148" s="156">
        <v>0.0</v>
      </c>
      <c r="H1148" s="156">
        <v>0.0</v>
      </c>
      <c r="I1148" s="154" t="s">
        <v>3205</v>
      </c>
      <c r="J1148" s="154" t="s">
        <v>3206</v>
      </c>
      <c r="K1148" s="154" t="s">
        <v>776</v>
      </c>
    </row>
    <row r="1149">
      <c r="A1149" s="154" t="s">
        <v>3202</v>
      </c>
      <c r="B1149" s="155"/>
      <c r="C1149" s="154" t="s">
        <v>3203</v>
      </c>
      <c r="D1149" s="155"/>
      <c r="E1149" s="155"/>
      <c r="F1149" s="154" t="s">
        <v>3207</v>
      </c>
      <c r="G1149" s="154">
        <v>0.0</v>
      </c>
      <c r="H1149" s="156">
        <v>0.0</v>
      </c>
      <c r="I1149" s="154">
        <v>5.06407205E8</v>
      </c>
      <c r="J1149" s="156">
        <v>0.0</v>
      </c>
      <c r="K1149" s="154" t="s">
        <v>361</v>
      </c>
    </row>
    <row r="1150">
      <c r="A1150" s="154" t="s">
        <v>3208</v>
      </c>
      <c r="B1150" s="155"/>
      <c r="C1150" s="154" t="s">
        <v>3209</v>
      </c>
      <c r="D1150" s="155"/>
      <c r="E1150" s="155"/>
      <c r="F1150" s="154" t="s">
        <v>3210</v>
      </c>
      <c r="G1150" s="156">
        <v>0.0</v>
      </c>
      <c r="H1150" s="156">
        <v>0.0</v>
      </c>
      <c r="I1150" s="154">
        <v>2.60966783007E11</v>
      </c>
      <c r="J1150" s="156">
        <v>0.0</v>
      </c>
      <c r="K1150" s="154" t="s">
        <v>259</v>
      </c>
    </row>
    <row r="1151">
      <c r="A1151" s="154" t="s">
        <v>3208</v>
      </c>
      <c r="B1151" s="154" t="s">
        <v>3209</v>
      </c>
      <c r="D1151" s="154">
        <v>2.0</v>
      </c>
      <c r="E1151" s="154" t="s">
        <v>761</v>
      </c>
      <c r="F1151" s="154" t="s">
        <v>3211</v>
      </c>
      <c r="G1151" s="154">
        <v>2.602228139E9</v>
      </c>
      <c r="H1151" s="156">
        <v>0.0</v>
      </c>
      <c r="I1151" s="154">
        <v>2.60966783007E11</v>
      </c>
      <c r="J1151" s="156">
        <v>0.0</v>
      </c>
      <c r="K1151" s="154" t="s">
        <v>259</v>
      </c>
    </row>
    <row r="1152">
      <c r="A1152" s="154" t="s">
        <v>3212</v>
      </c>
      <c r="B1152" s="155"/>
      <c r="C1152" s="154" t="s">
        <v>3213</v>
      </c>
      <c r="D1152" s="155"/>
      <c r="E1152" s="155"/>
      <c r="F1152" s="154" t="s">
        <v>3214</v>
      </c>
      <c r="G1152" s="154">
        <v>4.3383877E7</v>
      </c>
      <c r="H1152" s="156">
        <v>0.0</v>
      </c>
      <c r="I1152" s="154">
        <v>5.04545946E8</v>
      </c>
      <c r="J1152" s="156">
        <v>0.0</v>
      </c>
      <c r="K1152" s="154" t="s">
        <v>760</v>
      </c>
    </row>
    <row r="1153">
      <c r="A1153" s="154" t="s">
        <v>3212</v>
      </c>
      <c r="B1153" s="154" t="s">
        <v>3213</v>
      </c>
      <c r="D1153" s="154">
        <v>2.0</v>
      </c>
      <c r="E1153" s="154" t="s">
        <v>761</v>
      </c>
      <c r="F1153" s="154" t="s">
        <v>3214</v>
      </c>
      <c r="G1153" s="154">
        <v>4.3383877E7</v>
      </c>
      <c r="H1153" s="156">
        <v>0.0</v>
      </c>
      <c r="I1153" s="154">
        <v>5.04545946E8</v>
      </c>
      <c r="J1153" s="156">
        <v>0.0</v>
      </c>
      <c r="K1153" s="154" t="s">
        <v>760</v>
      </c>
    </row>
    <row r="1154">
      <c r="A1154" s="154" t="s">
        <v>3215</v>
      </c>
      <c r="B1154" s="154" t="s">
        <v>3216</v>
      </c>
      <c r="D1154" s="154">
        <v>2.0</v>
      </c>
      <c r="E1154" s="154" t="s">
        <v>761</v>
      </c>
      <c r="F1154" s="154" t="s">
        <v>3217</v>
      </c>
      <c r="G1154" s="154" t="s">
        <v>3218</v>
      </c>
      <c r="H1154" s="156">
        <v>0.0</v>
      </c>
      <c r="I1154" s="154">
        <v>9.71505539503E11</v>
      </c>
      <c r="J1154" s="156">
        <v>0.0</v>
      </c>
      <c r="K1154" s="154" t="s">
        <v>361</v>
      </c>
    </row>
    <row r="1155">
      <c r="A1155" s="154" t="s">
        <v>3215</v>
      </c>
      <c r="B1155" s="155"/>
      <c r="C1155" s="154" t="s">
        <v>3216</v>
      </c>
      <c r="D1155" s="155"/>
      <c r="E1155" s="155"/>
      <c r="F1155" s="154" t="s">
        <v>3217</v>
      </c>
      <c r="G1155" s="154" t="s">
        <v>3218</v>
      </c>
      <c r="H1155" s="156">
        <v>0.0</v>
      </c>
      <c r="I1155" s="154">
        <v>9.71505539503E11</v>
      </c>
      <c r="J1155" s="156">
        <v>0.0</v>
      </c>
      <c r="K1155" s="154" t="s">
        <v>361</v>
      </c>
    </row>
    <row r="1156">
      <c r="A1156" s="154" t="s">
        <v>3219</v>
      </c>
      <c r="B1156" s="155"/>
      <c r="C1156" s="154" t="s">
        <v>3220</v>
      </c>
      <c r="D1156" s="155"/>
      <c r="E1156" s="155"/>
      <c r="F1156" s="154" t="s">
        <v>902</v>
      </c>
      <c r="G1156" s="156">
        <v>0.0</v>
      </c>
      <c r="H1156" s="154" t="s">
        <v>903</v>
      </c>
      <c r="I1156" s="154" t="s">
        <v>904</v>
      </c>
      <c r="J1156" s="154" t="s">
        <v>905</v>
      </c>
      <c r="K1156" s="154" t="s">
        <v>207</v>
      </c>
    </row>
    <row r="1157">
      <c r="A1157" s="154" t="s">
        <v>3219</v>
      </c>
      <c r="B1157" s="154" t="s">
        <v>3220</v>
      </c>
      <c r="D1157" s="154">
        <v>2.0</v>
      </c>
      <c r="E1157" s="154" t="s">
        <v>761</v>
      </c>
      <c r="F1157" s="154" t="s">
        <v>902</v>
      </c>
      <c r="G1157" s="156">
        <v>0.0</v>
      </c>
      <c r="H1157" s="154" t="s">
        <v>903</v>
      </c>
      <c r="I1157" s="154" t="s">
        <v>904</v>
      </c>
      <c r="J1157" s="154" t="s">
        <v>905</v>
      </c>
      <c r="K1157" s="154" t="s">
        <v>207</v>
      </c>
    </row>
    <row r="1158">
      <c r="A1158" s="154" t="s">
        <v>3221</v>
      </c>
      <c r="B1158" s="154" t="s">
        <v>3222</v>
      </c>
      <c r="D1158" s="154">
        <v>2.0</v>
      </c>
      <c r="E1158" s="154" t="s">
        <v>761</v>
      </c>
      <c r="F1158" s="154" t="s">
        <v>3223</v>
      </c>
      <c r="G1158" s="154">
        <v>4.3933636E7</v>
      </c>
      <c r="H1158" s="156">
        <v>0.0</v>
      </c>
      <c r="I1158" s="154">
        <v>5.67687788E8</v>
      </c>
      <c r="J1158" s="156">
        <v>0.0</v>
      </c>
      <c r="K1158" s="154" t="s">
        <v>3224</v>
      </c>
    </row>
    <row r="1159">
      <c r="A1159" s="154" t="s">
        <v>3221</v>
      </c>
      <c r="B1159" s="155"/>
      <c r="C1159" s="154" t="s">
        <v>3222</v>
      </c>
      <c r="D1159" s="155"/>
      <c r="E1159" s="155"/>
      <c r="F1159" s="154" t="s">
        <v>3223</v>
      </c>
      <c r="G1159" s="154">
        <v>4.3933636E7</v>
      </c>
      <c r="H1159" s="156">
        <v>0.0</v>
      </c>
      <c r="I1159" s="154">
        <v>5.67687788E8</v>
      </c>
      <c r="J1159" s="156">
        <v>0.0</v>
      </c>
      <c r="K1159" s="154" t="s">
        <v>3224</v>
      </c>
    </row>
    <row r="1160">
      <c r="A1160" s="154" t="s">
        <v>3225</v>
      </c>
      <c r="B1160" s="154" t="s">
        <v>3226</v>
      </c>
      <c r="D1160" s="154">
        <v>2.0</v>
      </c>
      <c r="E1160" s="154" t="s">
        <v>761</v>
      </c>
      <c r="F1160" s="154" t="s">
        <v>3227</v>
      </c>
      <c r="G1160" s="156">
        <v>0.0</v>
      </c>
      <c r="H1160" s="156">
        <v>0.0</v>
      </c>
      <c r="I1160" s="156">
        <v>0.0</v>
      </c>
      <c r="J1160" s="154" t="s">
        <v>3228</v>
      </c>
      <c r="K1160" s="154" t="s">
        <v>1814</v>
      </c>
    </row>
    <row r="1161">
      <c r="A1161" s="154" t="s">
        <v>3225</v>
      </c>
      <c r="B1161" s="155"/>
      <c r="C1161" s="154" t="s">
        <v>3226</v>
      </c>
      <c r="D1161" s="155"/>
      <c r="E1161" s="155"/>
      <c r="F1161" s="154" t="s">
        <v>3227</v>
      </c>
      <c r="G1161" s="156">
        <v>0.0</v>
      </c>
      <c r="H1161" s="156">
        <v>0.0</v>
      </c>
      <c r="I1161" s="156">
        <v>0.0</v>
      </c>
      <c r="J1161" s="154" t="s">
        <v>3228</v>
      </c>
      <c r="K1161" s="154" t="s">
        <v>1814</v>
      </c>
    </row>
    <row r="1162">
      <c r="A1162" s="154" t="s">
        <v>3229</v>
      </c>
      <c r="B1162" s="154" t="s">
        <v>3230</v>
      </c>
      <c r="D1162" s="154">
        <v>2.0</v>
      </c>
      <c r="E1162" s="154" t="s">
        <v>761</v>
      </c>
      <c r="F1162" s="154" t="s">
        <v>3231</v>
      </c>
      <c r="G1162" s="156">
        <v>0.0</v>
      </c>
      <c r="H1162" s="156">
        <v>0.0</v>
      </c>
      <c r="I1162" s="154">
        <v>5.02933844E8</v>
      </c>
      <c r="J1162" s="156">
        <v>0.0</v>
      </c>
      <c r="K1162" s="154" t="s">
        <v>206</v>
      </c>
    </row>
    <row r="1163">
      <c r="A1163" s="154" t="s">
        <v>3229</v>
      </c>
      <c r="B1163" s="155"/>
      <c r="C1163" s="154" t="s">
        <v>3230</v>
      </c>
      <c r="D1163" s="155"/>
      <c r="E1163" s="155"/>
      <c r="F1163" s="154" t="s">
        <v>3232</v>
      </c>
      <c r="G1163" s="156">
        <v>0.0</v>
      </c>
      <c r="H1163" s="156">
        <v>0.0</v>
      </c>
      <c r="I1163" s="154">
        <v>5.02933844E8</v>
      </c>
      <c r="J1163" s="156">
        <v>0.0</v>
      </c>
      <c r="K1163" s="154" t="s">
        <v>206</v>
      </c>
    </row>
    <row r="1164">
      <c r="A1164" s="154" t="s">
        <v>3233</v>
      </c>
      <c r="B1164" s="154" t="s">
        <v>3234</v>
      </c>
      <c r="D1164" s="154">
        <v>2.0</v>
      </c>
      <c r="E1164" s="154" t="s">
        <v>761</v>
      </c>
      <c r="F1164" s="154" t="s">
        <v>3235</v>
      </c>
      <c r="G1164" s="154">
        <v>4.3573933E7</v>
      </c>
      <c r="H1164" s="154" t="s">
        <v>3236</v>
      </c>
      <c r="I1164" s="154">
        <v>9.71504945687E11</v>
      </c>
      <c r="J1164" s="156">
        <v>0.0</v>
      </c>
      <c r="K1164" s="154" t="s">
        <v>361</v>
      </c>
    </row>
    <row r="1165">
      <c r="A1165" s="154" t="s">
        <v>3233</v>
      </c>
      <c r="B1165" s="155"/>
      <c r="C1165" s="154" t="s">
        <v>3234</v>
      </c>
      <c r="D1165" s="155"/>
      <c r="E1165" s="155"/>
      <c r="F1165" s="154" t="s">
        <v>3235</v>
      </c>
      <c r="G1165" s="154">
        <v>4.3573933E7</v>
      </c>
      <c r="H1165" s="154" t="s">
        <v>3236</v>
      </c>
      <c r="I1165" s="154">
        <v>9.71504945687E11</v>
      </c>
      <c r="J1165" s="156">
        <v>0.0</v>
      </c>
      <c r="K1165" s="154" t="s">
        <v>361</v>
      </c>
    </row>
    <row r="1166">
      <c r="A1166" s="154" t="s">
        <v>3237</v>
      </c>
      <c r="B1166" s="155"/>
      <c r="C1166" s="154" t="s">
        <v>3238</v>
      </c>
      <c r="D1166" s="155"/>
      <c r="E1166" s="155"/>
      <c r="F1166" s="154" t="s">
        <v>2047</v>
      </c>
      <c r="G1166" s="154" t="s">
        <v>2048</v>
      </c>
      <c r="H1166" s="154" t="s">
        <v>2049</v>
      </c>
      <c r="I1166" s="154" t="s">
        <v>2050</v>
      </c>
      <c r="J1166" s="156">
        <v>0.0</v>
      </c>
      <c r="K1166" s="154" t="s">
        <v>207</v>
      </c>
    </row>
    <row r="1167">
      <c r="A1167" s="154" t="s">
        <v>3237</v>
      </c>
      <c r="B1167" s="154" t="s">
        <v>3238</v>
      </c>
      <c r="D1167" s="154">
        <v>2.0</v>
      </c>
      <c r="E1167" s="154" t="s">
        <v>761</v>
      </c>
      <c r="F1167" s="154" t="s">
        <v>2047</v>
      </c>
      <c r="G1167" s="154" t="s">
        <v>2048</v>
      </c>
      <c r="H1167" s="154" t="s">
        <v>2049</v>
      </c>
      <c r="I1167" s="154" t="s">
        <v>2050</v>
      </c>
      <c r="J1167" s="156">
        <v>0.0</v>
      </c>
      <c r="K1167" s="154" t="s">
        <v>207</v>
      </c>
    </row>
    <row r="1168">
      <c r="A1168" s="154" t="s">
        <v>3239</v>
      </c>
      <c r="B1168" s="154" t="s">
        <v>3240</v>
      </c>
      <c r="D1168" s="154">
        <v>2.0</v>
      </c>
      <c r="E1168" s="154" t="s">
        <v>761</v>
      </c>
      <c r="F1168" s="154" t="s">
        <v>3241</v>
      </c>
      <c r="G1168" s="154">
        <v>5.04555099E8</v>
      </c>
      <c r="H1168" s="156">
        <v>0.0</v>
      </c>
      <c r="I1168" s="156">
        <v>0.0</v>
      </c>
      <c r="J1168" s="156">
        <v>0.0</v>
      </c>
      <c r="K1168" s="154" t="s">
        <v>240</v>
      </c>
    </row>
    <row r="1169">
      <c r="A1169" s="154" t="s">
        <v>3239</v>
      </c>
      <c r="B1169" s="155"/>
      <c r="C1169" s="154" t="s">
        <v>3240</v>
      </c>
      <c r="D1169" s="155"/>
      <c r="E1169" s="155"/>
      <c r="F1169" s="154" t="s">
        <v>3241</v>
      </c>
      <c r="G1169" s="154">
        <v>5.04555099E8</v>
      </c>
      <c r="H1169" s="156">
        <v>0.0</v>
      </c>
      <c r="I1169" s="156">
        <v>0.0</v>
      </c>
      <c r="J1169" s="156">
        <v>0.0</v>
      </c>
      <c r="K1169" s="154" t="s">
        <v>240</v>
      </c>
    </row>
    <row r="1170">
      <c r="A1170" s="154" t="s">
        <v>3242</v>
      </c>
      <c r="B1170" s="155"/>
      <c r="C1170" s="154" t="s">
        <v>3243</v>
      </c>
      <c r="D1170" s="155"/>
      <c r="E1170" s="155"/>
      <c r="F1170" s="154" t="s">
        <v>3244</v>
      </c>
      <c r="G1170" s="156">
        <v>0.0</v>
      </c>
      <c r="H1170" s="156">
        <v>0.0</v>
      </c>
      <c r="I1170" s="154">
        <v>5.05520437E8</v>
      </c>
      <c r="J1170" s="156">
        <v>0.0</v>
      </c>
      <c r="K1170" s="154" t="s">
        <v>760</v>
      </c>
    </row>
    <row r="1171">
      <c r="A1171" s="154" t="s">
        <v>3242</v>
      </c>
      <c r="B1171" s="154" t="s">
        <v>3243</v>
      </c>
      <c r="D1171" s="154">
        <v>2.0</v>
      </c>
      <c r="E1171" s="154" t="s">
        <v>761</v>
      </c>
      <c r="F1171" s="154" t="s">
        <v>3244</v>
      </c>
      <c r="G1171" s="156">
        <v>0.0</v>
      </c>
      <c r="H1171" s="156">
        <v>0.0</v>
      </c>
      <c r="I1171" s="154">
        <v>5.05520437E8</v>
      </c>
      <c r="J1171" s="156">
        <v>0.0</v>
      </c>
      <c r="K1171" s="154" t="s">
        <v>760</v>
      </c>
    </row>
    <row r="1172">
      <c r="A1172" s="154" t="s">
        <v>3245</v>
      </c>
      <c r="B1172" s="155"/>
      <c r="C1172" s="154" t="s">
        <v>3246</v>
      </c>
      <c r="D1172" s="155"/>
      <c r="E1172" s="155"/>
      <c r="F1172" s="154" t="s">
        <v>3247</v>
      </c>
      <c r="G1172" s="154">
        <v>511700.0</v>
      </c>
      <c r="H1172" s="154" t="s">
        <v>3248</v>
      </c>
      <c r="I1172" s="156">
        <v>0.0</v>
      </c>
      <c r="J1172" s="156">
        <v>0.0</v>
      </c>
      <c r="K1172" s="156">
        <v>0.0</v>
      </c>
    </row>
    <row r="1173">
      <c r="A1173" s="154" t="s">
        <v>3245</v>
      </c>
      <c r="B1173" s="154" t="s">
        <v>3246</v>
      </c>
      <c r="D1173" s="154">
        <v>2.0</v>
      </c>
      <c r="E1173" s="154" t="s">
        <v>761</v>
      </c>
      <c r="F1173" s="154" t="s">
        <v>3249</v>
      </c>
      <c r="G1173" s="156">
        <v>0.0</v>
      </c>
      <c r="H1173" s="156">
        <v>0.0</v>
      </c>
      <c r="I1173" s="154" t="s">
        <v>853</v>
      </c>
      <c r="J1173" s="156">
        <v>0.0</v>
      </c>
      <c r="K1173" s="154" t="s">
        <v>259</v>
      </c>
    </row>
    <row r="1174">
      <c r="A1174" s="154" t="s">
        <v>3250</v>
      </c>
      <c r="B1174" s="154" t="s">
        <v>3251</v>
      </c>
      <c r="D1174" s="154">
        <v>2.0</v>
      </c>
      <c r="E1174" s="154" t="s">
        <v>761</v>
      </c>
      <c r="F1174" s="154" t="s">
        <v>3252</v>
      </c>
      <c r="G1174" s="154" t="s">
        <v>3253</v>
      </c>
      <c r="H1174" s="154" t="s">
        <v>3254</v>
      </c>
      <c r="I1174" s="154" t="s">
        <v>3255</v>
      </c>
      <c r="J1174" s="156">
        <v>0.0</v>
      </c>
      <c r="K1174" s="154" t="s">
        <v>207</v>
      </c>
    </row>
    <row r="1175">
      <c r="A1175" s="154" t="s">
        <v>3250</v>
      </c>
      <c r="B1175" s="155"/>
      <c r="C1175" s="154" t="s">
        <v>3251</v>
      </c>
      <c r="D1175" s="155"/>
      <c r="E1175" s="155"/>
      <c r="F1175" s="154" t="s">
        <v>3252</v>
      </c>
      <c r="G1175" s="154" t="s">
        <v>3253</v>
      </c>
      <c r="H1175" s="154" t="s">
        <v>3254</v>
      </c>
      <c r="I1175" s="154" t="s">
        <v>3255</v>
      </c>
      <c r="J1175" s="156">
        <v>0.0</v>
      </c>
      <c r="K1175" s="154" t="s">
        <v>207</v>
      </c>
    </row>
    <row r="1176">
      <c r="A1176" s="154" t="s">
        <v>3256</v>
      </c>
      <c r="B1176" s="155"/>
      <c r="C1176" s="154" t="s">
        <v>3257</v>
      </c>
      <c r="D1176" s="155"/>
      <c r="E1176" s="155"/>
      <c r="F1176" s="154" t="s">
        <v>3252</v>
      </c>
      <c r="G1176" s="154" t="s">
        <v>3253</v>
      </c>
      <c r="H1176" s="154" t="s">
        <v>3254</v>
      </c>
      <c r="I1176" s="154" t="s">
        <v>3255</v>
      </c>
      <c r="J1176" s="156">
        <v>0.0</v>
      </c>
      <c r="K1176" s="154" t="s">
        <v>207</v>
      </c>
    </row>
    <row r="1177">
      <c r="A1177" s="154" t="s">
        <v>3256</v>
      </c>
      <c r="B1177" s="154" t="s">
        <v>3257</v>
      </c>
      <c r="D1177" s="154">
        <v>2.0</v>
      </c>
      <c r="E1177" s="154" t="s">
        <v>761</v>
      </c>
      <c r="F1177" s="154" t="s">
        <v>3252</v>
      </c>
      <c r="G1177" s="154" t="s">
        <v>3253</v>
      </c>
      <c r="H1177" s="154" t="s">
        <v>3254</v>
      </c>
      <c r="I1177" s="154" t="s">
        <v>3255</v>
      </c>
      <c r="J1177" s="156">
        <v>0.0</v>
      </c>
      <c r="K1177" s="154" t="s">
        <v>207</v>
      </c>
    </row>
    <row r="1178">
      <c r="A1178" s="154" t="s">
        <v>3258</v>
      </c>
      <c r="B1178" s="154" t="s">
        <v>3259</v>
      </c>
      <c r="D1178" s="154">
        <v>2.0</v>
      </c>
      <c r="E1178" s="154" t="s">
        <v>761</v>
      </c>
      <c r="F1178" s="154" t="s">
        <v>3260</v>
      </c>
      <c r="G1178" s="154" t="s">
        <v>3261</v>
      </c>
      <c r="H1178" s="154" t="s">
        <v>3262</v>
      </c>
      <c r="I1178" s="154" t="s">
        <v>3263</v>
      </c>
      <c r="J1178" s="156">
        <v>0.0</v>
      </c>
      <c r="K1178" s="154" t="s">
        <v>361</v>
      </c>
    </row>
    <row r="1179">
      <c r="A1179" s="154" t="s">
        <v>3258</v>
      </c>
      <c r="B1179" s="155"/>
      <c r="C1179" s="154" t="s">
        <v>3259</v>
      </c>
      <c r="D1179" s="155"/>
      <c r="E1179" s="155"/>
      <c r="F1179" s="154" t="s">
        <v>3260</v>
      </c>
      <c r="G1179" s="154" t="s">
        <v>3261</v>
      </c>
      <c r="H1179" s="154" t="s">
        <v>3262</v>
      </c>
      <c r="I1179" s="154" t="s">
        <v>3263</v>
      </c>
      <c r="J1179" s="156">
        <v>0.0</v>
      </c>
      <c r="K1179" s="154" t="s">
        <v>361</v>
      </c>
    </row>
    <row r="1180">
      <c r="A1180" s="154" t="s">
        <v>3264</v>
      </c>
      <c r="B1180" s="154" t="s">
        <v>3265</v>
      </c>
      <c r="D1180" s="154">
        <v>2.0</v>
      </c>
      <c r="E1180" s="154" t="s">
        <v>761</v>
      </c>
      <c r="F1180" s="154" t="s">
        <v>3266</v>
      </c>
      <c r="G1180" s="154">
        <v>2278556.0</v>
      </c>
      <c r="H1180" s="156">
        <v>0.0</v>
      </c>
      <c r="I1180" s="154">
        <v>5.02578088E8</v>
      </c>
      <c r="J1180" s="156">
        <v>0.0</v>
      </c>
      <c r="K1180" s="154" t="s">
        <v>939</v>
      </c>
    </row>
    <row r="1181">
      <c r="A1181" s="154" t="s">
        <v>3264</v>
      </c>
      <c r="B1181" s="155"/>
      <c r="C1181" s="154" t="s">
        <v>3265</v>
      </c>
      <c r="D1181" s="155"/>
      <c r="E1181" s="155"/>
      <c r="F1181" s="154" t="s">
        <v>3266</v>
      </c>
      <c r="G1181" s="154">
        <v>2278556.0</v>
      </c>
      <c r="H1181" s="156">
        <v>0.0</v>
      </c>
      <c r="I1181" s="154">
        <v>5.02578088E8</v>
      </c>
      <c r="J1181" s="156">
        <v>0.0</v>
      </c>
      <c r="K1181" s="154" t="s">
        <v>939</v>
      </c>
    </row>
    <row r="1182">
      <c r="A1182" s="154" t="s">
        <v>3267</v>
      </c>
      <c r="B1182" s="154" t="s">
        <v>3268</v>
      </c>
      <c r="D1182" s="154">
        <v>2.0</v>
      </c>
      <c r="E1182" s="154" t="s">
        <v>761</v>
      </c>
      <c r="F1182" s="154" t="s">
        <v>3269</v>
      </c>
      <c r="G1182" s="154">
        <v>0.0</v>
      </c>
      <c r="H1182" s="156">
        <v>0.0</v>
      </c>
      <c r="I1182" s="154">
        <v>5.06008833E8</v>
      </c>
      <c r="J1182" s="156">
        <v>0.0</v>
      </c>
      <c r="K1182" s="154" t="s">
        <v>207</v>
      </c>
    </row>
    <row r="1183">
      <c r="A1183" s="154" t="s">
        <v>3267</v>
      </c>
      <c r="B1183" s="155"/>
      <c r="C1183" s="154" t="s">
        <v>3268</v>
      </c>
      <c r="D1183" s="155"/>
      <c r="E1183" s="155"/>
      <c r="F1183" s="154" t="s">
        <v>3269</v>
      </c>
      <c r="G1183" s="154">
        <v>0.0</v>
      </c>
      <c r="H1183" s="156">
        <v>0.0</v>
      </c>
      <c r="I1183" s="154">
        <v>5.06008833E8</v>
      </c>
      <c r="J1183" s="156">
        <v>0.0</v>
      </c>
      <c r="K1183" s="154" t="s">
        <v>207</v>
      </c>
    </row>
    <row r="1184">
      <c r="A1184" s="154" t="s">
        <v>3270</v>
      </c>
      <c r="B1184" s="154" t="s">
        <v>3271</v>
      </c>
      <c r="D1184" s="154">
        <v>2.0</v>
      </c>
      <c r="E1184" s="154" t="s">
        <v>761</v>
      </c>
      <c r="F1184" s="154" t="s">
        <v>792</v>
      </c>
      <c r="G1184" s="154" t="s">
        <v>793</v>
      </c>
      <c r="H1184" s="154" t="s">
        <v>794</v>
      </c>
      <c r="I1184" s="156">
        <v>0.0</v>
      </c>
      <c r="J1184" s="156">
        <v>0.0</v>
      </c>
      <c r="K1184" s="156">
        <v>0.0</v>
      </c>
    </row>
    <row r="1185">
      <c r="A1185" s="154" t="s">
        <v>3270</v>
      </c>
      <c r="B1185" s="155"/>
      <c r="C1185" s="154" t="s">
        <v>3271</v>
      </c>
      <c r="D1185" s="155"/>
      <c r="E1185" s="155"/>
      <c r="F1185" s="154" t="s">
        <v>792</v>
      </c>
      <c r="G1185" s="154" t="s">
        <v>793</v>
      </c>
      <c r="H1185" s="154" t="s">
        <v>794</v>
      </c>
      <c r="I1185" s="156">
        <v>0.0</v>
      </c>
      <c r="J1185" s="156">
        <v>0.0</v>
      </c>
      <c r="K1185" s="156">
        <v>0.0</v>
      </c>
    </row>
    <row r="1186">
      <c r="A1186" s="154" t="s">
        <v>3272</v>
      </c>
      <c r="B1186" s="155"/>
      <c r="C1186" s="154" t="s">
        <v>3273</v>
      </c>
      <c r="D1186" s="155"/>
      <c r="E1186" s="155"/>
      <c r="F1186" s="154" t="s">
        <v>3274</v>
      </c>
      <c r="G1186" s="156">
        <v>0.0</v>
      </c>
      <c r="H1186" s="156">
        <v>0.0</v>
      </c>
      <c r="I1186" s="154">
        <v>9.71508222E11</v>
      </c>
      <c r="J1186" s="156">
        <v>0.0</v>
      </c>
      <c r="K1186" s="154" t="s">
        <v>206</v>
      </c>
    </row>
    <row r="1187">
      <c r="A1187" s="154" t="s">
        <v>3272</v>
      </c>
      <c r="B1187" s="154" t="s">
        <v>3273</v>
      </c>
      <c r="C1187" s="155"/>
      <c r="D1187" s="154">
        <v>2.0</v>
      </c>
      <c r="E1187" s="154" t="s">
        <v>897</v>
      </c>
      <c r="F1187" s="154" t="s">
        <v>3274</v>
      </c>
      <c r="G1187" s="156">
        <v>0.0</v>
      </c>
      <c r="H1187" s="156">
        <v>0.0</v>
      </c>
      <c r="I1187" s="154">
        <v>9.71508222E11</v>
      </c>
      <c r="J1187" s="156">
        <v>0.0</v>
      </c>
      <c r="K1187" s="154" t="s">
        <v>206</v>
      </c>
    </row>
    <row r="1188">
      <c r="A1188" s="154" t="s">
        <v>3275</v>
      </c>
      <c r="B1188" s="154" t="s">
        <v>3276</v>
      </c>
      <c r="C1188" s="155"/>
      <c r="D1188" s="154">
        <v>2.0</v>
      </c>
      <c r="E1188" s="154" t="s">
        <v>897</v>
      </c>
      <c r="F1188" s="154" t="s">
        <v>3277</v>
      </c>
      <c r="G1188" s="156">
        <v>0.0</v>
      </c>
      <c r="H1188" s="156">
        <v>0.0</v>
      </c>
      <c r="I1188" s="154" t="s">
        <v>3278</v>
      </c>
      <c r="J1188" s="154" t="s">
        <v>3279</v>
      </c>
      <c r="K1188" s="154" t="s">
        <v>361</v>
      </c>
    </row>
    <row r="1189">
      <c r="A1189" s="154" t="s">
        <v>3275</v>
      </c>
      <c r="B1189" s="155"/>
      <c r="C1189" s="154" t="s">
        <v>3276</v>
      </c>
      <c r="D1189" s="155"/>
      <c r="E1189" s="155"/>
      <c r="F1189" s="154" t="s">
        <v>3277</v>
      </c>
      <c r="G1189" s="156">
        <v>0.0</v>
      </c>
      <c r="H1189" s="156">
        <v>0.0</v>
      </c>
      <c r="I1189" s="154" t="s">
        <v>3278</v>
      </c>
      <c r="J1189" s="154" t="s">
        <v>3279</v>
      </c>
      <c r="K1189" s="154" t="s">
        <v>361</v>
      </c>
    </row>
    <row r="1190">
      <c r="A1190" s="154" t="s">
        <v>3280</v>
      </c>
      <c r="B1190" s="155"/>
      <c r="C1190" s="154" t="s">
        <v>3281</v>
      </c>
      <c r="D1190" s="155"/>
      <c r="E1190" s="155"/>
      <c r="F1190" s="154" t="s">
        <v>3282</v>
      </c>
      <c r="G1190" s="154">
        <v>5.07293792E8</v>
      </c>
      <c r="H1190" s="156">
        <v>0.0</v>
      </c>
      <c r="I1190" s="154" t="s">
        <v>3283</v>
      </c>
      <c r="J1190" s="156">
        <v>0.0</v>
      </c>
      <c r="K1190" s="154" t="s">
        <v>197</v>
      </c>
    </row>
    <row r="1191">
      <c r="A1191" s="154" t="s">
        <v>3280</v>
      </c>
      <c r="B1191" s="154" t="s">
        <v>3281</v>
      </c>
      <c r="C1191" s="155"/>
      <c r="D1191" s="154">
        <v>2.0</v>
      </c>
      <c r="E1191" s="154" t="s">
        <v>897</v>
      </c>
      <c r="F1191" s="154" t="s">
        <v>3282</v>
      </c>
      <c r="G1191" s="154">
        <v>5.07293792E8</v>
      </c>
      <c r="H1191" s="156">
        <v>0.0</v>
      </c>
      <c r="I1191" s="154" t="s">
        <v>3283</v>
      </c>
      <c r="J1191" s="156">
        <v>0.0</v>
      </c>
      <c r="K1191" s="154" t="s">
        <v>197</v>
      </c>
    </row>
    <row r="1192">
      <c r="A1192" s="154" t="s">
        <v>3284</v>
      </c>
      <c r="B1192" s="155"/>
      <c r="C1192" s="154" t="s">
        <v>3285</v>
      </c>
      <c r="D1192" s="155"/>
      <c r="E1192" s="155"/>
      <c r="F1192" s="154" t="s">
        <v>3286</v>
      </c>
      <c r="G1192" s="154">
        <v>5.03529369E8</v>
      </c>
      <c r="H1192" s="156">
        <v>0.0</v>
      </c>
      <c r="I1192" s="156">
        <v>0.0</v>
      </c>
      <c r="J1192" s="156">
        <v>0.0</v>
      </c>
      <c r="K1192" s="154" t="s">
        <v>361</v>
      </c>
    </row>
    <row r="1193">
      <c r="A1193" s="154" t="s">
        <v>3284</v>
      </c>
      <c r="B1193" s="154" t="s">
        <v>3285</v>
      </c>
      <c r="C1193" s="155"/>
      <c r="D1193" s="154">
        <v>2.0</v>
      </c>
      <c r="E1193" s="154" t="s">
        <v>897</v>
      </c>
      <c r="F1193" s="154" t="s">
        <v>3287</v>
      </c>
      <c r="G1193" s="156">
        <v>0.0</v>
      </c>
      <c r="H1193" s="156">
        <v>0.0</v>
      </c>
      <c r="I1193" s="154">
        <v>9.71506665585E11</v>
      </c>
      <c r="J1193" s="156">
        <v>0.0</v>
      </c>
      <c r="K1193" s="154" t="s">
        <v>361</v>
      </c>
    </row>
    <row r="1194">
      <c r="A1194" s="154" t="s">
        <v>3288</v>
      </c>
      <c r="B1194" s="154" t="s">
        <v>3289</v>
      </c>
      <c r="C1194" s="155"/>
      <c r="D1194" s="154">
        <v>2.0</v>
      </c>
      <c r="E1194" s="154" t="s">
        <v>897</v>
      </c>
      <c r="F1194" s="154" t="s">
        <v>3290</v>
      </c>
      <c r="G1194" s="154">
        <v>5.05587521E8</v>
      </c>
      <c r="H1194" s="156">
        <v>0.0</v>
      </c>
      <c r="I1194" s="156">
        <v>0.0</v>
      </c>
      <c r="J1194" s="156">
        <v>0.0</v>
      </c>
      <c r="K1194" s="154" t="s">
        <v>1059</v>
      </c>
    </row>
    <row r="1195">
      <c r="A1195" s="154" t="s">
        <v>3288</v>
      </c>
      <c r="B1195" s="155"/>
      <c r="C1195" s="154" t="s">
        <v>3289</v>
      </c>
      <c r="D1195" s="155"/>
      <c r="E1195" s="155"/>
      <c r="F1195" s="154" t="s">
        <v>3290</v>
      </c>
      <c r="G1195" s="154">
        <v>5.05587521E8</v>
      </c>
      <c r="H1195" s="156">
        <v>0.0</v>
      </c>
      <c r="I1195" s="156">
        <v>0.0</v>
      </c>
      <c r="J1195" s="156">
        <v>0.0</v>
      </c>
      <c r="K1195" s="154" t="s">
        <v>1059</v>
      </c>
    </row>
    <row r="1196">
      <c r="A1196" s="154" t="s">
        <v>3291</v>
      </c>
      <c r="B1196" s="155"/>
      <c r="C1196" s="154" t="s">
        <v>3292</v>
      </c>
      <c r="D1196" s="155"/>
      <c r="E1196" s="155"/>
      <c r="F1196" s="154" t="s">
        <v>3293</v>
      </c>
      <c r="G1196" s="156">
        <v>0.0</v>
      </c>
      <c r="H1196" s="156">
        <v>0.0</v>
      </c>
      <c r="I1196" s="154" t="s">
        <v>3294</v>
      </c>
      <c r="J1196" s="154" t="s">
        <v>3295</v>
      </c>
      <c r="K1196" s="154" t="s">
        <v>207</v>
      </c>
    </row>
    <row r="1197">
      <c r="A1197" s="154" t="s">
        <v>3291</v>
      </c>
      <c r="B1197" s="154" t="s">
        <v>3292</v>
      </c>
      <c r="C1197" s="155"/>
      <c r="D1197" s="154">
        <v>2.0</v>
      </c>
      <c r="E1197" s="154" t="s">
        <v>897</v>
      </c>
      <c r="F1197" s="154" t="s">
        <v>3293</v>
      </c>
      <c r="G1197" s="156">
        <v>0.0</v>
      </c>
      <c r="H1197" s="156">
        <v>0.0</v>
      </c>
      <c r="I1197" s="154" t="s">
        <v>3294</v>
      </c>
      <c r="J1197" s="154" t="s">
        <v>3295</v>
      </c>
      <c r="K1197" s="154" t="s">
        <v>207</v>
      </c>
    </row>
    <row r="1198">
      <c r="A1198" s="154" t="s">
        <v>3296</v>
      </c>
      <c r="B1198" s="154" t="s">
        <v>3297</v>
      </c>
      <c r="C1198" s="155"/>
      <c r="D1198" s="154">
        <v>2.0</v>
      </c>
      <c r="E1198" s="154" t="s">
        <v>897</v>
      </c>
      <c r="F1198" s="154" t="s">
        <v>3298</v>
      </c>
      <c r="G1198" s="156">
        <v>0.0</v>
      </c>
      <c r="H1198" s="154" t="s">
        <v>3299</v>
      </c>
      <c r="I1198" s="154" t="s">
        <v>3300</v>
      </c>
      <c r="J1198" s="154" t="s">
        <v>3301</v>
      </c>
      <c r="K1198" s="154" t="s">
        <v>301</v>
      </c>
    </row>
    <row r="1199">
      <c r="A1199" s="154" t="s">
        <v>3296</v>
      </c>
      <c r="B1199" s="155"/>
      <c r="C1199" s="154" t="s">
        <v>3297</v>
      </c>
      <c r="D1199" s="155"/>
      <c r="E1199" s="155"/>
      <c r="F1199" s="154" t="s">
        <v>3298</v>
      </c>
      <c r="G1199" s="156">
        <v>0.0</v>
      </c>
      <c r="H1199" s="154" t="s">
        <v>3299</v>
      </c>
      <c r="I1199" s="154" t="s">
        <v>3300</v>
      </c>
      <c r="J1199" s="154" t="s">
        <v>3301</v>
      </c>
      <c r="K1199" s="154" t="s">
        <v>301</v>
      </c>
    </row>
    <row r="1200">
      <c r="A1200" s="154" t="s">
        <v>3302</v>
      </c>
      <c r="B1200" s="154" t="s">
        <v>3303</v>
      </c>
      <c r="C1200" s="155"/>
      <c r="D1200" s="154">
        <v>2.0</v>
      </c>
      <c r="E1200" s="154" t="s">
        <v>897</v>
      </c>
      <c r="F1200" s="154" t="s">
        <v>3304</v>
      </c>
      <c r="G1200" s="154" t="s">
        <v>3305</v>
      </c>
      <c r="H1200" s="154" t="s">
        <v>3306</v>
      </c>
      <c r="I1200" s="154" t="s">
        <v>3307</v>
      </c>
      <c r="J1200" s="154" t="s">
        <v>3308</v>
      </c>
      <c r="K1200" s="154" t="s">
        <v>361</v>
      </c>
    </row>
    <row r="1201">
      <c r="A1201" s="154" t="s">
        <v>3302</v>
      </c>
      <c r="B1201" s="155"/>
      <c r="C1201" s="154" t="s">
        <v>3303</v>
      </c>
      <c r="D1201" s="155"/>
      <c r="E1201" s="155"/>
      <c r="F1201" s="154" t="s">
        <v>3304</v>
      </c>
      <c r="G1201" s="154" t="s">
        <v>3305</v>
      </c>
      <c r="H1201" s="154" t="s">
        <v>3306</v>
      </c>
      <c r="I1201" s="154" t="s">
        <v>3307</v>
      </c>
      <c r="J1201" s="154" t="s">
        <v>3308</v>
      </c>
      <c r="K1201" s="154" t="s">
        <v>361</v>
      </c>
    </row>
    <row r="1202">
      <c r="A1202" s="154" t="s">
        <v>3309</v>
      </c>
      <c r="B1202" s="154" t="s">
        <v>3310</v>
      </c>
      <c r="C1202" s="155"/>
      <c r="D1202" s="154">
        <v>2.0</v>
      </c>
      <c r="E1202" s="154" t="s">
        <v>897</v>
      </c>
      <c r="F1202" s="154" t="s">
        <v>1097</v>
      </c>
      <c r="G1202" s="154" t="s">
        <v>1098</v>
      </c>
      <c r="H1202" s="156">
        <v>0.0</v>
      </c>
      <c r="I1202" s="154">
        <v>9.71506514259E11</v>
      </c>
      <c r="J1202" s="156">
        <v>0.0</v>
      </c>
      <c r="K1202" s="154" t="s">
        <v>361</v>
      </c>
    </row>
    <row r="1203">
      <c r="A1203" s="154" t="s">
        <v>3309</v>
      </c>
      <c r="B1203" s="155"/>
      <c r="C1203" s="154" t="s">
        <v>3310</v>
      </c>
      <c r="D1203" s="155"/>
      <c r="E1203" s="155"/>
      <c r="F1203" s="154" t="s">
        <v>1097</v>
      </c>
      <c r="G1203" s="154" t="s">
        <v>1098</v>
      </c>
      <c r="H1203" s="156">
        <v>0.0</v>
      </c>
      <c r="I1203" s="154">
        <v>9.71506514259E11</v>
      </c>
      <c r="J1203" s="156">
        <v>0.0</v>
      </c>
      <c r="K1203" s="154" t="s">
        <v>361</v>
      </c>
    </row>
    <row r="1204">
      <c r="A1204" s="154" t="s">
        <v>3311</v>
      </c>
      <c r="B1204" s="154" t="s">
        <v>3312</v>
      </c>
      <c r="C1204" s="155"/>
      <c r="D1204" s="154">
        <v>2.0</v>
      </c>
      <c r="E1204" s="154" t="s">
        <v>897</v>
      </c>
      <c r="F1204" s="154" t="s">
        <v>3313</v>
      </c>
      <c r="G1204" s="154">
        <v>5.06509761E8</v>
      </c>
      <c r="H1204" s="156">
        <v>0.0</v>
      </c>
      <c r="I1204" s="156">
        <v>0.0</v>
      </c>
      <c r="J1204" s="156">
        <v>0.0</v>
      </c>
      <c r="K1204" s="154" t="s">
        <v>776</v>
      </c>
    </row>
    <row r="1205">
      <c r="A1205" s="154" t="s">
        <v>3311</v>
      </c>
      <c r="B1205" s="155"/>
      <c r="C1205" s="154" t="s">
        <v>3312</v>
      </c>
      <c r="D1205" s="155"/>
      <c r="E1205" s="155"/>
      <c r="F1205" s="154" t="s">
        <v>3313</v>
      </c>
      <c r="G1205" s="154">
        <v>5.06509761E8</v>
      </c>
      <c r="H1205" s="156">
        <v>0.0</v>
      </c>
      <c r="I1205" s="156">
        <v>0.0</v>
      </c>
      <c r="J1205" s="156">
        <v>0.0</v>
      </c>
      <c r="K1205" s="154" t="s">
        <v>776</v>
      </c>
    </row>
    <row r="1206">
      <c r="A1206" s="154" t="s">
        <v>3314</v>
      </c>
      <c r="B1206" s="155"/>
      <c r="C1206" s="154" t="s">
        <v>3315</v>
      </c>
      <c r="D1206" s="155"/>
      <c r="E1206" s="155"/>
      <c r="F1206" s="154" t="s">
        <v>3316</v>
      </c>
      <c r="G1206" s="156">
        <v>0.0</v>
      </c>
      <c r="H1206" s="154" t="s">
        <v>3317</v>
      </c>
      <c r="I1206" s="154" t="s">
        <v>3318</v>
      </c>
      <c r="J1206" s="156">
        <v>0.0</v>
      </c>
      <c r="K1206" s="154" t="s">
        <v>1891</v>
      </c>
    </row>
    <row r="1207">
      <c r="A1207" s="154" t="s">
        <v>3314</v>
      </c>
      <c r="B1207" s="154" t="s">
        <v>3315</v>
      </c>
      <c r="C1207" s="155"/>
      <c r="D1207" s="154">
        <v>2.0</v>
      </c>
      <c r="E1207" s="154" t="s">
        <v>897</v>
      </c>
      <c r="F1207" s="154" t="s">
        <v>3316</v>
      </c>
      <c r="G1207" s="156">
        <v>0.0</v>
      </c>
      <c r="H1207" s="154" t="s">
        <v>3317</v>
      </c>
      <c r="I1207" s="154" t="s">
        <v>3318</v>
      </c>
      <c r="J1207" s="156">
        <v>0.0</v>
      </c>
      <c r="K1207" s="154" t="s">
        <v>1891</v>
      </c>
    </row>
    <row r="1208">
      <c r="A1208" s="154" t="s">
        <v>3319</v>
      </c>
      <c r="B1208" s="154" t="s">
        <v>3320</v>
      </c>
      <c r="C1208" s="155"/>
      <c r="D1208" s="154">
        <v>2.0</v>
      </c>
      <c r="E1208" s="154" t="s">
        <v>897</v>
      </c>
      <c r="F1208" s="154" t="s">
        <v>3321</v>
      </c>
      <c r="G1208" s="154">
        <v>4.4544556E7</v>
      </c>
      <c r="H1208" s="156">
        <v>0.0</v>
      </c>
      <c r="I1208" s="154">
        <v>9.71504541451E11</v>
      </c>
      <c r="J1208" s="156">
        <v>0.0</v>
      </c>
      <c r="K1208" s="154" t="s">
        <v>3322</v>
      </c>
    </row>
    <row r="1209">
      <c r="A1209" s="154" t="s">
        <v>3319</v>
      </c>
      <c r="B1209" s="155"/>
      <c r="C1209" s="154" t="s">
        <v>3320</v>
      </c>
      <c r="D1209" s="155"/>
      <c r="E1209" s="155"/>
      <c r="F1209" s="154" t="s">
        <v>3321</v>
      </c>
      <c r="G1209" s="154">
        <v>4.4544556E7</v>
      </c>
      <c r="H1209" s="156">
        <v>0.0</v>
      </c>
      <c r="I1209" s="154">
        <v>9.71504541451E11</v>
      </c>
      <c r="J1209" s="156">
        <v>0.0</v>
      </c>
      <c r="K1209" s="154" t="s">
        <v>3322</v>
      </c>
    </row>
    <row r="1210">
      <c r="A1210" s="154" t="s">
        <v>3323</v>
      </c>
      <c r="B1210" s="154" t="s">
        <v>3324</v>
      </c>
      <c r="C1210" s="155"/>
      <c r="D1210" s="154">
        <v>2.0</v>
      </c>
      <c r="E1210" s="154" t="s">
        <v>897</v>
      </c>
      <c r="F1210" s="154" t="s">
        <v>3325</v>
      </c>
      <c r="G1210" s="156">
        <v>0.0</v>
      </c>
      <c r="H1210" s="156">
        <v>0.0</v>
      </c>
      <c r="I1210" s="154">
        <v>9.71505022484E11</v>
      </c>
      <c r="J1210" s="156">
        <v>0.0</v>
      </c>
      <c r="K1210" s="154" t="s">
        <v>3326</v>
      </c>
    </row>
    <row r="1211">
      <c r="A1211" s="154" t="s">
        <v>3323</v>
      </c>
      <c r="B1211" s="155"/>
      <c r="C1211" s="154" t="s">
        <v>3324</v>
      </c>
      <c r="D1211" s="155"/>
      <c r="E1211" s="155"/>
      <c r="F1211" s="154" t="s">
        <v>3327</v>
      </c>
      <c r="G1211" s="156">
        <v>0.0</v>
      </c>
      <c r="H1211" s="156">
        <v>0.0</v>
      </c>
      <c r="I1211" s="154">
        <v>5.0502248E7</v>
      </c>
      <c r="J1211" s="156">
        <v>0.0</v>
      </c>
      <c r="K1211" s="154" t="s">
        <v>361</v>
      </c>
    </row>
    <row r="1212">
      <c r="A1212" s="154" t="s">
        <v>3328</v>
      </c>
      <c r="B1212" s="155"/>
      <c r="C1212" s="154" t="s">
        <v>3329</v>
      </c>
      <c r="D1212" s="155"/>
      <c r="E1212" s="155"/>
      <c r="F1212" s="154" t="s">
        <v>3330</v>
      </c>
      <c r="G1212" s="154">
        <v>4.8812222E7</v>
      </c>
      <c r="H1212" s="156">
        <v>0.0</v>
      </c>
      <c r="I1212" s="154">
        <v>9.71556088772E11</v>
      </c>
      <c r="J1212" s="156">
        <v>0.0</v>
      </c>
      <c r="K1212" s="154" t="s">
        <v>197</v>
      </c>
    </row>
    <row r="1213">
      <c r="A1213" s="154" t="s">
        <v>3328</v>
      </c>
      <c r="B1213" s="154" t="s">
        <v>3329</v>
      </c>
      <c r="C1213" s="155"/>
      <c r="D1213" s="154">
        <v>2.0</v>
      </c>
      <c r="E1213" s="154" t="s">
        <v>897</v>
      </c>
      <c r="F1213" s="154" t="s">
        <v>3331</v>
      </c>
      <c r="G1213" s="154">
        <v>4.8812222E7</v>
      </c>
      <c r="H1213" s="156">
        <v>0.0</v>
      </c>
      <c r="I1213" s="154">
        <v>5.5956997E7</v>
      </c>
      <c r="J1213" s="156">
        <v>0.0</v>
      </c>
      <c r="K1213" s="154" t="s">
        <v>197</v>
      </c>
    </row>
    <row r="1214">
      <c r="A1214" s="154" t="s">
        <v>3332</v>
      </c>
      <c r="B1214" s="155"/>
      <c r="C1214" s="154" t="s">
        <v>3333</v>
      </c>
      <c r="D1214" s="155"/>
      <c r="E1214" s="155"/>
      <c r="F1214" s="154" t="s">
        <v>3334</v>
      </c>
      <c r="G1214" s="156">
        <v>0.0</v>
      </c>
      <c r="H1214" s="156">
        <v>0.0</v>
      </c>
      <c r="I1214" s="154" t="s">
        <v>3335</v>
      </c>
      <c r="J1214" s="156">
        <v>0.0</v>
      </c>
      <c r="K1214" s="154" t="s">
        <v>361</v>
      </c>
    </row>
    <row r="1215">
      <c r="A1215" s="154" t="s">
        <v>3332</v>
      </c>
      <c r="B1215" s="154" t="s">
        <v>3333</v>
      </c>
      <c r="C1215" s="155"/>
      <c r="D1215" s="154">
        <v>2.0</v>
      </c>
      <c r="E1215" s="154" t="s">
        <v>897</v>
      </c>
      <c r="F1215" s="154" t="s">
        <v>3334</v>
      </c>
      <c r="G1215" s="156">
        <v>0.0</v>
      </c>
      <c r="H1215" s="156">
        <v>0.0</v>
      </c>
      <c r="I1215" s="154" t="s">
        <v>3335</v>
      </c>
      <c r="J1215" s="156">
        <v>0.0</v>
      </c>
      <c r="K1215" s="154" t="s">
        <v>361</v>
      </c>
    </row>
    <row r="1216">
      <c r="A1216" s="154" t="s">
        <v>3336</v>
      </c>
      <c r="B1216" s="154" t="s">
        <v>3337</v>
      </c>
      <c r="C1216" s="155"/>
      <c r="D1216" s="154">
        <v>2.0</v>
      </c>
      <c r="E1216" s="154" t="s">
        <v>897</v>
      </c>
      <c r="F1216" s="154" t="s">
        <v>3338</v>
      </c>
      <c r="G1216" s="156">
        <v>0.0</v>
      </c>
      <c r="H1216" s="154" t="s">
        <v>3339</v>
      </c>
      <c r="I1216" s="154" t="s">
        <v>3340</v>
      </c>
      <c r="J1216" s="154" t="s">
        <v>3341</v>
      </c>
      <c r="K1216" s="154" t="s">
        <v>240</v>
      </c>
    </row>
    <row r="1217">
      <c r="A1217" s="154" t="s">
        <v>3336</v>
      </c>
      <c r="B1217" s="155"/>
      <c r="C1217" s="154" t="s">
        <v>3337</v>
      </c>
      <c r="D1217" s="155"/>
      <c r="E1217" s="155"/>
      <c r="F1217" s="154" t="s">
        <v>3338</v>
      </c>
      <c r="G1217" s="156">
        <v>0.0</v>
      </c>
      <c r="H1217" s="154" t="s">
        <v>3339</v>
      </c>
      <c r="I1217" s="154" t="s">
        <v>3340</v>
      </c>
      <c r="J1217" s="154" t="s">
        <v>3341</v>
      </c>
      <c r="K1217" s="154" t="s">
        <v>240</v>
      </c>
    </row>
    <row r="1218">
      <c r="A1218" s="154" t="s">
        <v>3342</v>
      </c>
      <c r="B1218" s="154" t="s">
        <v>3343</v>
      </c>
      <c r="C1218" s="155"/>
      <c r="D1218" s="154">
        <v>2.0</v>
      </c>
      <c r="E1218" s="154" t="s">
        <v>897</v>
      </c>
      <c r="F1218" s="154" t="s">
        <v>3344</v>
      </c>
      <c r="G1218" s="154">
        <v>2.6273666E7</v>
      </c>
      <c r="H1218" s="156">
        <v>0.0</v>
      </c>
      <c r="I1218" s="154">
        <v>9.71508188136E11</v>
      </c>
      <c r="J1218" s="156">
        <v>0.0</v>
      </c>
      <c r="K1218" s="154" t="s">
        <v>206</v>
      </c>
    </row>
    <row r="1219">
      <c r="A1219" s="154" t="s">
        <v>3342</v>
      </c>
      <c r="B1219" s="155"/>
      <c r="C1219" s="154" t="s">
        <v>3343</v>
      </c>
      <c r="D1219" s="155"/>
      <c r="E1219" s="155"/>
      <c r="F1219" s="154" t="s">
        <v>3344</v>
      </c>
      <c r="G1219" s="154">
        <v>2.6273666E7</v>
      </c>
      <c r="H1219" s="156">
        <v>0.0</v>
      </c>
      <c r="I1219" s="154">
        <v>9.71508188136E11</v>
      </c>
      <c r="J1219" s="156">
        <v>0.0</v>
      </c>
      <c r="K1219" s="154" t="s">
        <v>206</v>
      </c>
    </row>
    <row r="1220">
      <c r="A1220" s="154" t="s">
        <v>3345</v>
      </c>
      <c r="B1220" s="154" t="s">
        <v>3346</v>
      </c>
      <c r="C1220" s="155"/>
      <c r="D1220" s="154">
        <v>2.0</v>
      </c>
      <c r="E1220" s="154" t="s">
        <v>1237</v>
      </c>
      <c r="F1220" s="154" t="s">
        <v>3347</v>
      </c>
      <c r="G1220" s="156">
        <v>0.0</v>
      </c>
      <c r="H1220" s="154" t="s">
        <v>3348</v>
      </c>
      <c r="I1220" s="154" t="s">
        <v>3349</v>
      </c>
      <c r="J1220" s="154" t="s">
        <v>3350</v>
      </c>
      <c r="K1220" s="154" t="s">
        <v>760</v>
      </c>
    </row>
    <row r="1221">
      <c r="A1221" s="154" t="s">
        <v>3345</v>
      </c>
      <c r="B1221" s="155"/>
      <c r="C1221" s="154" t="s">
        <v>3346</v>
      </c>
      <c r="D1221" s="155"/>
      <c r="E1221" s="155"/>
      <c r="F1221" s="154" t="s">
        <v>3351</v>
      </c>
      <c r="G1221" s="154">
        <v>4.3577087E7</v>
      </c>
      <c r="H1221" s="156">
        <v>0.0</v>
      </c>
      <c r="I1221" s="156">
        <v>0.0</v>
      </c>
      <c r="J1221" s="156">
        <v>0.0</v>
      </c>
      <c r="K1221" s="156">
        <v>0.0</v>
      </c>
    </row>
    <row r="1222">
      <c r="A1222" s="154" t="s">
        <v>3352</v>
      </c>
      <c r="B1222" s="155"/>
      <c r="C1222" s="154" t="s">
        <v>3353</v>
      </c>
      <c r="D1222" s="155"/>
      <c r="E1222" s="155"/>
      <c r="F1222" s="154" t="s">
        <v>3354</v>
      </c>
      <c r="G1222" s="154" t="s">
        <v>3355</v>
      </c>
      <c r="H1222" s="154" t="s">
        <v>1354</v>
      </c>
      <c r="I1222" s="154" t="s">
        <v>3356</v>
      </c>
      <c r="J1222" s="154" t="s">
        <v>3357</v>
      </c>
      <c r="K1222" s="154" t="s">
        <v>361</v>
      </c>
    </row>
    <row r="1223">
      <c r="A1223" s="154" t="s">
        <v>3352</v>
      </c>
      <c r="B1223" s="154" t="s">
        <v>3353</v>
      </c>
      <c r="C1223" s="155"/>
      <c r="D1223" s="154">
        <v>2.0</v>
      </c>
      <c r="E1223" s="154" t="s">
        <v>1237</v>
      </c>
      <c r="F1223" s="154" t="s">
        <v>3354</v>
      </c>
      <c r="G1223" s="154" t="s">
        <v>3355</v>
      </c>
      <c r="H1223" s="154" t="s">
        <v>1354</v>
      </c>
      <c r="I1223" s="154" t="s">
        <v>3356</v>
      </c>
      <c r="J1223" s="154" t="s">
        <v>3357</v>
      </c>
      <c r="K1223" s="154" t="s">
        <v>361</v>
      </c>
    </row>
    <row r="1224">
      <c r="A1224" s="154" t="s">
        <v>3358</v>
      </c>
      <c r="B1224" s="154" t="s">
        <v>3359</v>
      </c>
      <c r="C1224" s="155"/>
      <c r="D1224" s="154">
        <v>2.0</v>
      </c>
      <c r="E1224" s="154" t="s">
        <v>1237</v>
      </c>
      <c r="F1224" s="154" t="s">
        <v>3360</v>
      </c>
      <c r="G1224" s="156">
        <v>0.0</v>
      </c>
      <c r="H1224" s="154" t="s">
        <v>3361</v>
      </c>
      <c r="I1224" s="154" t="s">
        <v>3362</v>
      </c>
      <c r="J1224" s="156">
        <v>0.0</v>
      </c>
      <c r="K1224" s="154" t="s">
        <v>776</v>
      </c>
    </row>
    <row r="1225">
      <c r="A1225" s="154" t="s">
        <v>3358</v>
      </c>
      <c r="B1225" s="155"/>
      <c r="C1225" s="154" t="s">
        <v>3359</v>
      </c>
      <c r="D1225" s="155"/>
      <c r="E1225" s="155"/>
      <c r="F1225" s="154" t="s">
        <v>3360</v>
      </c>
      <c r="G1225" s="156">
        <v>0.0</v>
      </c>
      <c r="H1225" s="154" t="s">
        <v>3361</v>
      </c>
      <c r="I1225" s="154" t="s">
        <v>3362</v>
      </c>
      <c r="J1225" s="156">
        <v>0.0</v>
      </c>
      <c r="K1225" s="154" t="s">
        <v>776</v>
      </c>
    </row>
    <row r="1226">
      <c r="A1226" s="154" t="s">
        <v>3363</v>
      </c>
      <c r="B1226" s="155"/>
      <c r="C1226" s="154" t="s">
        <v>3364</v>
      </c>
      <c r="D1226" s="155"/>
      <c r="E1226" s="155"/>
      <c r="F1226" s="154" t="s">
        <v>3365</v>
      </c>
      <c r="G1226" s="154" t="s">
        <v>3366</v>
      </c>
      <c r="H1226" s="154" t="s">
        <v>3367</v>
      </c>
      <c r="I1226" s="154" t="s">
        <v>3368</v>
      </c>
      <c r="J1226" s="156">
        <v>0.0</v>
      </c>
      <c r="K1226" s="154" t="s">
        <v>846</v>
      </c>
    </row>
    <row r="1227">
      <c r="A1227" s="154" t="s">
        <v>3363</v>
      </c>
      <c r="B1227" s="154" t="s">
        <v>3364</v>
      </c>
      <c r="C1227" s="155"/>
      <c r="D1227" s="154">
        <v>2.0</v>
      </c>
      <c r="E1227" s="154" t="s">
        <v>1237</v>
      </c>
      <c r="F1227" s="154" t="s">
        <v>3365</v>
      </c>
      <c r="G1227" s="154" t="s">
        <v>3366</v>
      </c>
      <c r="H1227" s="154" t="s">
        <v>3367</v>
      </c>
      <c r="I1227" s="154" t="s">
        <v>3368</v>
      </c>
      <c r="J1227" s="156">
        <v>0.0</v>
      </c>
      <c r="K1227" s="154" t="s">
        <v>846</v>
      </c>
    </row>
    <row r="1228">
      <c r="A1228" s="154" t="s">
        <v>3369</v>
      </c>
      <c r="B1228" s="154" t="s">
        <v>3370</v>
      </c>
      <c r="C1228" s="155"/>
      <c r="D1228" s="154">
        <v>2.0</v>
      </c>
      <c r="E1228" s="154" t="s">
        <v>1237</v>
      </c>
      <c r="F1228" s="154" t="s">
        <v>3371</v>
      </c>
      <c r="G1228" s="154" t="s">
        <v>3372</v>
      </c>
      <c r="H1228" s="156">
        <v>0.0</v>
      </c>
      <c r="I1228" s="154" t="s">
        <v>3373</v>
      </c>
      <c r="J1228" s="156">
        <v>0.0</v>
      </c>
      <c r="K1228" s="154" t="s">
        <v>361</v>
      </c>
    </row>
    <row r="1229">
      <c r="A1229" s="154" t="s">
        <v>3369</v>
      </c>
      <c r="B1229" s="155"/>
      <c r="C1229" s="154" t="s">
        <v>3370</v>
      </c>
      <c r="D1229" s="155"/>
      <c r="E1229" s="155"/>
      <c r="F1229" s="154" t="s">
        <v>3371</v>
      </c>
      <c r="G1229" s="154" t="s">
        <v>3372</v>
      </c>
      <c r="H1229" s="156">
        <v>0.0</v>
      </c>
      <c r="I1229" s="154" t="s">
        <v>3373</v>
      </c>
      <c r="J1229" s="156">
        <v>0.0</v>
      </c>
      <c r="K1229" s="154" t="s">
        <v>361</v>
      </c>
    </row>
    <row r="1230">
      <c r="A1230" s="154" t="s">
        <v>3374</v>
      </c>
      <c r="B1230" s="154" t="s">
        <v>3375</v>
      </c>
      <c r="C1230" s="155"/>
      <c r="D1230" s="154">
        <v>2.0</v>
      </c>
      <c r="E1230" s="154" t="s">
        <v>1237</v>
      </c>
      <c r="F1230" s="154" t="s">
        <v>3376</v>
      </c>
      <c r="G1230" s="154">
        <v>5.07845518E8</v>
      </c>
      <c r="H1230" s="156">
        <v>0.0</v>
      </c>
      <c r="I1230" s="156">
        <v>0.0</v>
      </c>
      <c r="J1230" s="156">
        <v>0.0</v>
      </c>
      <c r="K1230" s="154" t="s">
        <v>939</v>
      </c>
    </row>
    <row r="1231">
      <c r="A1231" s="154" t="s">
        <v>3374</v>
      </c>
      <c r="B1231" s="155"/>
      <c r="C1231" s="154" t="s">
        <v>3375</v>
      </c>
      <c r="D1231" s="155"/>
      <c r="E1231" s="155"/>
      <c r="F1231" s="154" t="s">
        <v>3376</v>
      </c>
      <c r="G1231" s="154">
        <v>5.07845518E8</v>
      </c>
      <c r="H1231" s="156">
        <v>0.0</v>
      </c>
      <c r="I1231" s="156">
        <v>0.0</v>
      </c>
      <c r="J1231" s="156">
        <v>0.0</v>
      </c>
      <c r="K1231" s="154" t="s">
        <v>939</v>
      </c>
    </row>
    <row r="1232">
      <c r="A1232" s="154" t="s">
        <v>3377</v>
      </c>
      <c r="B1232" s="154" t="s">
        <v>3378</v>
      </c>
      <c r="C1232" s="155"/>
      <c r="D1232" s="154">
        <v>2.0</v>
      </c>
      <c r="E1232" s="154" t="s">
        <v>1237</v>
      </c>
      <c r="F1232" s="154" t="s">
        <v>3379</v>
      </c>
      <c r="G1232" s="154">
        <v>4.4471448E7</v>
      </c>
      <c r="H1232" s="156">
        <v>0.0</v>
      </c>
      <c r="I1232" s="156">
        <v>0.0</v>
      </c>
      <c r="J1232" s="156">
        <v>0.0</v>
      </c>
      <c r="K1232" s="156">
        <v>0.0</v>
      </c>
    </row>
    <row r="1233">
      <c r="A1233" s="154" t="s">
        <v>3377</v>
      </c>
      <c r="B1233" s="155"/>
      <c r="C1233" s="154" t="s">
        <v>3378</v>
      </c>
      <c r="D1233" s="155"/>
      <c r="E1233" s="155"/>
      <c r="F1233" s="154" t="s">
        <v>3379</v>
      </c>
      <c r="G1233" s="154">
        <v>4.4471448E7</v>
      </c>
      <c r="H1233" s="156">
        <v>0.0</v>
      </c>
      <c r="I1233" s="156">
        <v>0.0</v>
      </c>
      <c r="J1233" s="156">
        <v>0.0</v>
      </c>
      <c r="K1233" s="156">
        <v>0.0</v>
      </c>
    </row>
    <row r="1234">
      <c r="A1234" s="154" t="s">
        <v>3380</v>
      </c>
      <c r="B1234" s="154" t="s">
        <v>3381</v>
      </c>
      <c r="C1234" s="155"/>
      <c r="D1234" s="154">
        <v>2.0</v>
      </c>
      <c r="E1234" s="154" t="s">
        <v>1237</v>
      </c>
      <c r="F1234" s="154" t="s">
        <v>3382</v>
      </c>
      <c r="G1234" s="154" t="s">
        <v>3383</v>
      </c>
      <c r="H1234" s="156">
        <v>0.0</v>
      </c>
      <c r="I1234" s="154" t="s">
        <v>3384</v>
      </c>
      <c r="J1234" s="154" t="s">
        <v>3383</v>
      </c>
      <c r="K1234" s="154" t="s">
        <v>361</v>
      </c>
    </row>
    <row r="1235">
      <c r="A1235" s="154" t="s">
        <v>3380</v>
      </c>
      <c r="B1235" s="155"/>
      <c r="C1235" s="154" t="s">
        <v>3381</v>
      </c>
      <c r="D1235" s="155"/>
      <c r="E1235" s="155"/>
      <c r="F1235" s="154" t="s">
        <v>3382</v>
      </c>
      <c r="G1235" s="156">
        <v>0.0</v>
      </c>
      <c r="H1235" s="156">
        <v>0.0</v>
      </c>
      <c r="I1235" s="154" t="s">
        <v>3384</v>
      </c>
      <c r="J1235" s="154" t="s">
        <v>3385</v>
      </c>
      <c r="K1235" s="154" t="s">
        <v>361</v>
      </c>
    </row>
    <row r="1236">
      <c r="A1236" s="154" t="s">
        <v>3386</v>
      </c>
      <c r="B1236" s="154" t="s">
        <v>3387</v>
      </c>
      <c r="C1236" s="155"/>
      <c r="D1236" s="154">
        <v>2.0</v>
      </c>
      <c r="E1236" s="154" t="s">
        <v>1237</v>
      </c>
      <c r="F1236" s="154" t="s">
        <v>3388</v>
      </c>
      <c r="G1236" s="156">
        <v>0.0</v>
      </c>
      <c r="H1236" s="156">
        <v>0.0</v>
      </c>
      <c r="I1236" s="154" t="s">
        <v>3389</v>
      </c>
      <c r="J1236" s="154" t="s">
        <v>3390</v>
      </c>
      <c r="K1236" s="154" t="s">
        <v>207</v>
      </c>
    </row>
    <row r="1237">
      <c r="A1237" s="154" t="s">
        <v>3386</v>
      </c>
      <c r="B1237" s="155"/>
      <c r="C1237" s="154" t="s">
        <v>3387</v>
      </c>
      <c r="D1237" s="155"/>
      <c r="E1237" s="155"/>
      <c r="F1237" s="154" t="s">
        <v>3388</v>
      </c>
      <c r="G1237" s="156">
        <v>0.0</v>
      </c>
      <c r="H1237" s="156">
        <v>0.0</v>
      </c>
      <c r="I1237" s="154" t="s">
        <v>3389</v>
      </c>
      <c r="J1237" s="154" t="s">
        <v>3390</v>
      </c>
      <c r="K1237" s="154" t="s">
        <v>207</v>
      </c>
    </row>
    <row r="1238">
      <c r="A1238" s="154" t="s">
        <v>3391</v>
      </c>
      <c r="B1238" s="154" t="s">
        <v>3392</v>
      </c>
      <c r="C1238" s="155"/>
      <c r="D1238" s="154">
        <v>2.0</v>
      </c>
      <c r="E1238" s="154" t="s">
        <v>1237</v>
      </c>
      <c r="F1238" s="154" t="s">
        <v>3393</v>
      </c>
      <c r="G1238" s="154">
        <v>4.0</v>
      </c>
      <c r="H1238" s="156">
        <v>0.0</v>
      </c>
      <c r="I1238" s="154">
        <v>5.0458956E8</v>
      </c>
      <c r="J1238" s="156">
        <v>0.0</v>
      </c>
      <c r="K1238" s="154" t="s">
        <v>776</v>
      </c>
    </row>
    <row r="1239">
      <c r="A1239" s="154" t="s">
        <v>3391</v>
      </c>
      <c r="B1239" s="155"/>
      <c r="C1239" s="154" t="s">
        <v>3392</v>
      </c>
      <c r="D1239" s="155"/>
      <c r="E1239" s="155"/>
      <c r="F1239" s="154" t="s">
        <v>3393</v>
      </c>
      <c r="G1239" s="154">
        <v>4.0</v>
      </c>
      <c r="H1239" s="156">
        <v>0.0</v>
      </c>
      <c r="I1239" s="154">
        <v>5.0458956E8</v>
      </c>
      <c r="J1239" s="156">
        <v>0.0</v>
      </c>
      <c r="K1239" s="154" t="s">
        <v>776</v>
      </c>
    </row>
    <row r="1240">
      <c r="A1240" s="154" t="s">
        <v>3394</v>
      </c>
      <c r="B1240" s="154" t="s">
        <v>3395</v>
      </c>
      <c r="C1240" s="155"/>
      <c r="D1240" s="154">
        <v>2.0</v>
      </c>
      <c r="E1240" s="154" t="s">
        <v>1237</v>
      </c>
      <c r="F1240" s="154" t="s">
        <v>3396</v>
      </c>
      <c r="G1240" s="156">
        <v>0.0</v>
      </c>
      <c r="H1240" s="156">
        <v>0.0</v>
      </c>
      <c r="I1240" s="156">
        <v>0.0</v>
      </c>
      <c r="J1240" s="156">
        <v>0.0</v>
      </c>
      <c r="K1240" s="154" t="s">
        <v>207</v>
      </c>
    </row>
    <row r="1241">
      <c r="A1241" s="154" t="s">
        <v>3394</v>
      </c>
      <c r="B1241" s="155"/>
      <c r="C1241" s="154" t="s">
        <v>3395</v>
      </c>
      <c r="D1241" s="155"/>
      <c r="E1241" s="155"/>
      <c r="F1241" s="154" t="s">
        <v>3396</v>
      </c>
      <c r="G1241" s="156">
        <v>0.0</v>
      </c>
      <c r="H1241" s="156">
        <v>0.0</v>
      </c>
      <c r="I1241" s="156">
        <v>0.0</v>
      </c>
      <c r="J1241" s="156">
        <v>0.0</v>
      </c>
      <c r="K1241" s="154" t="s">
        <v>207</v>
      </c>
    </row>
    <row r="1242">
      <c r="A1242" s="154" t="s">
        <v>3397</v>
      </c>
      <c r="B1242" s="154" t="s">
        <v>3398</v>
      </c>
      <c r="C1242" s="155"/>
      <c r="D1242" s="154">
        <v>2.0</v>
      </c>
      <c r="E1242" s="154" t="s">
        <v>1237</v>
      </c>
      <c r="F1242" s="154" t="s">
        <v>3399</v>
      </c>
      <c r="G1242" s="154" t="s">
        <v>809</v>
      </c>
      <c r="H1242" s="156">
        <v>0.0</v>
      </c>
      <c r="I1242" s="154" t="s">
        <v>853</v>
      </c>
      <c r="J1242" s="154" t="s">
        <v>809</v>
      </c>
      <c r="K1242" s="154" t="s">
        <v>3400</v>
      </c>
    </row>
    <row r="1243">
      <c r="A1243" s="154" t="s">
        <v>3397</v>
      </c>
      <c r="B1243" s="155"/>
      <c r="C1243" s="154" t="s">
        <v>3398</v>
      </c>
      <c r="D1243" s="155"/>
      <c r="E1243" s="155"/>
      <c r="F1243" s="154" t="s">
        <v>3399</v>
      </c>
      <c r="G1243" s="154" t="s">
        <v>809</v>
      </c>
      <c r="H1243" s="156">
        <v>0.0</v>
      </c>
      <c r="I1243" s="154" t="s">
        <v>853</v>
      </c>
      <c r="J1243" s="154" t="s">
        <v>809</v>
      </c>
      <c r="K1243" s="154" t="s">
        <v>3400</v>
      </c>
    </row>
    <row r="1244">
      <c r="A1244" s="154" t="s">
        <v>3401</v>
      </c>
      <c r="B1244" s="154" t="s">
        <v>3402</v>
      </c>
      <c r="C1244" s="155"/>
      <c r="D1244" s="154">
        <v>2.0</v>
      </c>
      <c r="E1244" s="154" t="s">
        <v>1237</v>
      </c>
      <c r="F1244" s="154" t="s">
        <v>3403</v>
      </c>
      <c r="G1244" s="156">
        <v>0.0</v>
      </c>
      <c r="H1244" s="156">
        <v>0.0</v>
      </c>
      <c r="I1244" s="154" t="s">
        <v>3404</v>
      </c>
      <c r="J1244" s="156">
        <v>0.0</v>
      </c>
      <c r="K1244" s="154" t="s">
        <v>301</v>
      </c>
    </row>
    <row r="1245">
      <c r="A1245" s="154" t="s">
        <v>3401</v>
      </c>
      <c r="B1245" s="155"/>
      <c r="C1245" s="154" t="s">
        <v>3402</v>
      </c>
      <c r="D1245" s="155"/>
      <c r="E1245" s="155"/>
      <c r="F1245" s="154" t="s">
        <v>3403</v>
      </c>
      <c r="G1245" s="156">
        <v>0.0</v>
      </c>
      <c r="H1245" s="156">
        <v>0.0</v>
      </c>
      <c r="I1245" s="154" t="s">
        <v>918</v>
      </c>
      <c r="J1245" s="156">
        <v>0.0</v>
      </c>
      <c r="K1245" s="154" t="s">
        <v>301</v>
      </c>
    </row>
    <row r="1246">
      <c r="A1246" s="154" t="s">
        <v>3405</v>
      </c>
      <c r="B1246" s="155"/>
      <c r="C1246" s="154" t="s">
        <v>3406</v>
      </c>
      <c r="D1246" s="155"/>
      <c r="E1246" s="155"/>
      <c r="F1246" s="154" t="s">
        <v>3407</v>
      </c>
      <c r="G1246" s="154">
        <v>971.0</v>
      </c>
      <c r="H1246" s="156">
        <v>0.0</v>
      </c>
      <c r="I1246" s="154" t="s">
        <v>3408</v>
      </c>
      <c r="J1246" s="154" t="s">
        <v>3409</v>
      </c>
      <c r="K1246" s="154" t="s">
        <v>361</v>
      </c>
    </row>
    <row r="1247">
      <c r="A1247" s="154" t="s">
        <v>3405</v>
      </c>
      <c r="B1247" s="154" t="s">
        <v>3406</v>
      </c>
      <c r="C1247" s="155"/>
      <c r="D1247" s="154">
        <v>2.0</v>
      </c>
      <c r="E1247" s="154" t="s">
        <v>1237</v>
      </c>
      <c r="F1247" s="154" t="s">
        <v>3407</v>
      </c>
      <c r="G1247" s="154">
        <v>971.0</v>
      </c>
      <c r="H1247" s="156">
        <v>0.0</v>
      </c>
      <c r="I1247" s="154" t="s">
        <v>3408</v>
      </c>
      <c r="J1247" s="154" t="s">
        <v>3409</v>
      </c>
      <c r="K1247" s="154" t="s">
        <v>361</v>
      </c>
    </row>
    <row r="1248">
      <c r="A1248" s="154" t="s">
        <v>3410</v>
      </c>
      <c r="B1248" s="155"/>
      <c r="C1248" s="154" t="s">
        <v>3411</v>
      </c>
      <c r="D1248" s="155"/>
      <c r="E1248" s="155"/>
      <c r="F1248" s="154" t="s">
        <v>3412</v>
      </c>
      <c r="G1248" s="154">
        <v>0.0</v>
      </c>
      <c r="H1248" s="156">
        <v>0.0</v>
      </c>
      <c r="I1248" s="154">
        <v>9.71504543142E11</v>
      </c>
      <c r="J1248" s="156">
        <v>0.0</v>
      </c>
      <c r="K1248" s="154" t="s">
        <v>361</v>
      </c>
    </row>
    <row r="1249">
      <c r="A1249" s="154" t="s">
        <v>3410</v>
      </c>
      <c r="B1249" s="154" t="s">
        <v>3411</v>
      </c>
      <c r="C1249" s="155"/>
      <c r="D1249" s="154">
        <v>2.0</v>
      </c>
      <c r="E1249" s="154" t="s">
        <v>1237</v>
      </c>
      <c r="F1249" s="154" t="s">
        <v>3412</v>
      </c>
      <c r="G1249" s="154">
        <v>0.0</v>
      </c>
      <c r="H1249" s="156">
        <v>0.0</v>
      </c>
      <c r="I1249" s="154">
        <v>9.71504543142E11</v>
      </c>
      <c r="J1249" s="156">
        <v>0.0</v>
      </c>
      <c r="K1249" s="154" t="s">
        <v>361</v>
      </c>
    </row>
    <row r="1250">
      <c r="A1250" s="154" t="s">
        <v>3413</v>
      </c>
      <c r="B1250" s="154" t="s">
        <v>3414</v>
      </c>
      <c r="C1250" s="155"/>
      <c r="D1250" s="154">
        <v>2.0</v>
      </c>
      <c r="E1250" s="154" t="s">
        <v>1237</v>
      </c>
      <c r="F1250" s="154" t="s">
        <v>3415</v>
      </c>
      <c r="G1250" s="156">
        <v>0.0</v>
      </c>
      <c r="H1250" s="156">
        <v>0.0</v>
      </c>
      <c r="I1250" s="154">
        <v>5.26856222E8</v>
      </c>
      <c r="J1250" s="156">
        <v>0.0</v>
      </c>
      <c r="K1250" s="154" t="s">
        <v>760</v>
      </c>
    </row>
    <row r="1251">
      <c r="A1251" s="154" t="s">
        <v>3413</v>
      </c>
      <c r="B1251" s="155"/>
      <c r="C1251" s="154" t="s">
        <v>3414</v>
      </c>
      <c r="D1251" s="155"/>
      <c r="E1251" s="155"/>
      <c r="F1251" s="154" t="s">
        <v>3415</v>
      </c>
      <c r="G1251" s="156">
        <v>0.0</v>
      </c>
      <c r="H1251" s="156">
        <v>0.0</v>
      </c>
      <c r="I1251" s="154">
        <v>5.26856222E8</v>
      </c>
      <c r="J1251" s="156">
        <v>0.0</v>
      </c>
      <c r="K1251" s="154" t="s">
        <v>760</v>
      </c>
    </row>
    <row r="1252">
      <c r="A1252" s="154" t="s">
        <v>3416</v>
      </c>
      <c r="B1252" s="155"/>
      <c r="C1252" s="154" t="s">
        <v>3417</v>
      </c>
      <c r="D1252" s="155"/>
      <c r="E1252" s="155"/>
      <c r="F1252" s="154" t="s">
        <v>3418</v>
      </c>
      <c r="G1252" s="154">
        <v>4.3313211E7</v>
      </c>
      <c r="H1252" s="156">
        <v>0.0</v>
      </c>
      <c r="I1252" s="154">
        <v>9.71505520437E11</v>
      </c>
      <c r="J1252" s="156">
        <v>0.0</v>
      </c>
      <c r="K1252" s="154" t="s">
        <v>197</v>
      </c>
    </row>
    <row r="1253">
      <c r="A1253" s="154" t="s">
        <v>3416</v>
      </c>
      <c r="B1253" s="154" t="s">
        <v>3417</v>
      </c>
      <c r="C1253" s="155"/>
      <c r="D1253" s="154">
        <v>2.0</v>
      </c>
      <c r="E1253" s="154" t="s">
        <v>1237</v>
      </c>
      <c r="F1253" s="154" t="s">
        <v>3418</v>
      </c>
      <c r="G1253" s="154">
        <v>4.3313211E7</v>
      </c>
      <c r="H1253" s="156">
        <v>0.0</v>
      </c>
      <c r="I1253" s="154">
        <v>9.71505520437E11</v>
      </c>
      <c r="J1253" s="156">
        <v>0.0</v>
      </c>
      <c r="K1253" s="154" t="s">
        <v>197</v>
      </c>
    </row>
    <row r="1254">
      <c r="A1254" s="154" t="s">
        <v>3419</v>
      </c>
      <c r="B1254" s="155"/>
      <c r="C1254" s="154" t="s">
        <v>3420</v>
      </c>
      <c r="D1254" s="155"/>
      <c r="E1254" s="155"/>
      <c r="F1254" s="154" t="s">
        <v>3421</v>
      </c>
      <c r="G1254" s="156">
        <v>0.0</v>
      </c>
      <c r="H1254" s="154" t="s">
        <v>3422</v>
      </c>
      <c r="I1254" s="154" t="s">
        <v>3423</v>
      </c>
      <c r="J1254" s="154" t="s">
        <v>809</v>
      </c>
      <c r="K1254" s="154" t="s">
        <v>361</v>
      </c>
    </row>
    <row r="1255">
      <c r="A1255" s="154" t="s">
        <v>3419</v>
      </c>
      <c r="B1255" s="154" t="s">
        <v>3420</v>
      </c>
      <c r="C1255" s="155"/>
      <c r="D1255" s="154">
        <v>2.0</v>
      </c>
      <c r="E1255" s="154" t="s">
        <v>1237</v>
      </c>
      <c r="F1255" s="154" t="s">
        <v>2790</v>
      </c>
      <c r="G1255" s="156">
        <v>0.0</v>
      </c>
      <c r="H1255" s="154" t="s">
        <v>2791</v>
      </c>
      <c r="I1255" s="154" t="s">
        <v>2792</v>
      </c>
      <c r="J1255" s="154" t="s">
        <v>2793</v>
      </c>
      <c r="K1255" s="154" t="s">
        <v>361</v>
      </c>
    </row>
    <row r="1256">
      <c r="A1256" s="154" t="s">
        <v>3424</v>
      </c>
      <c r="B1256" s="155"/>
      <c r="C1256" s="154" t="s">
        <v>3425</v>
      </c>
      <c r="D1256" s="155"/>
      <c r="E1256" s="155"/>
      <c r="F1256" s="154" t="s">
        <v>3426</v>
      </c>
      <c r="G1256" s="154">
        <v>5.05587411E8</v>
      </c>
      <c r="H1256" s="156">
        <v>0.0</v>
      </c>
      <c r="I1256" s="154">
        <v>5.05587411E8</v>
      </c>
      <c r="J1256" s="156">
        <v>0.0</v>
      </c>
      <c r="K1256" s="154" t="s">
        <v>361</v>
      </c>
    </row>
    <row r="1257">
      <c r="A1257" s="154" t="s">
        <v>3424</v>
      </c>
      <c r="B1257" s="154" t="s">
        <v>3425</v>
      </c>
      <c r="C1257" s="155"/>
      <c r="D1257" s="154">
        <v>2.0</v>
      </c>
      <c r="E1257" s="154" t="s">
        <v>1237</v>
      </c>
      <c r="F1257" s="154" t="s">
        <v>3426</v>
      </c>
      <c r="G1257" s="154">
        <v>5.05587411E8</v>
      </c>
      <c r="H1257" s="156">
        <v>0.0</v>
      </c>
      <c r="I1257" s="154">
        <v>5.05587411E8</v>
      </c>
      <c r="J1257" s="156">
        <v>0.0</v>
      </c>
      <c r="K1257" s="154" t="s">
        <v>361</v>
      </c>
    </row>
    <row r="1258">
      <c r="A1258" s="154" t="s">
        <v>3427</v>
      </c>
      <c r="B1258" s="154" t="s">
        <v>3428</v>
      </c>
      <c r="C1258" s="155"/>
      <c r="D1258" s="154">
        <v>2.0</v>
      </c>
      <c r="E1258" s="154" t="s">
        <v>1237</v>
      </c>
      <c r="F1258" s="154" t="s">
        <v>3429</v>
      </c>
      <c r="G1258" s="154">
        <v>9.71042821E11</v>
      </c>
      <c r="H1258" s="154" t="s">
        <v>2022</v>
      </c>
      <c r="I1258" s="156">
        <v>0.0</v>
      </c>
      <c r="J1258" s="156">
        <v>0.0</v>
      </c>
      <c r="K1258" s="156">
        <v>0.0</v>
      </c>
    </row>
    <row r="1259">
      <c r="A1259" s="154" t="s">
        <v>3427</v>
      </c>
      <c r="B1259" s="155"/>
      <c r="C1259" s="154" t="s">
        <v>3428</v>
      </c>
      <c r="D1259" s="155"/>
      <c r="E1259" s="155"/>
      <c r="F1259" s="154" t="s">
        <v>3430</v>
      </c>
      <c r="G1259" s="154" t="s">
        <v>3431</v>
      </c>
      <c r="H1259" s="154" t="s">
        <v>3432</v>
      </c>
      <c r="I1259" s="154" t="s">
        <v>3433</v>
      </c>
      <c r="J1259" s="154" t="s">
        <v>3431</v>
      </c>
      <c r="K1259" s="154" t="s">
        <v>361</v>
      </c>
    </row>
    <row r="1260">
      <c r="A1260" s="154" t="s">
        <v>3434</v>
      </c>
      <c r="B1260" s="154" t="s">
        <v>3435</v>
      </c>
      <c r="C1260" s="155"/>
      <c r="D1260" s="154">
        <v>2.0</v>
      </c>
      <c r="E1260" s="154" t="s">
        <v>1237</v>
      </c>
      <c r="F1260" s="154" t="s">
        <v>3436</v>
      </c>
      <c r="G1260" s="154" t="s">
        <v>3437</v>
      </c>
      <c r="H1260" s="154" t="s">
        <v>3438</v>
      </c>
      <c r="I1260" s="156">
        <v>0.0</v>
      </c>
      <c r="J1260" s="156">
        <v>0.0</v>
      </c>
      <c r="K1260" s="156">
        <v>0.0</v>
      </c>
    </row>
    <row r="1261">
      <c r="A1261" s="154" t="s">
        <v>3434</v>
      </c>
      <c r="B1261" s="155"/>
      <c r="C1261" s="154" t="s">
        <v>3435</v>
      </c>
      <c r="D1261" s="155"/>
      <c r="E1261" s="155"/>
      <c r="F1261" s="154" t="s">
        <v>3439</v>
      </c>
      <c r="G1261" s="154" t="s">
        <v>335</v>
      </c>
      <c r="H1261" s="156">
        <v>0.0</v>
      </c>
      <c r="I1261" s="154" t="s">
        <v>335</v>
      </c>
      <c r="J1261" s="156">
        <v>0.0</v>
      </c>
      <c r="K1261" s="154" t="s">
        <v>776</v>
      </c>
    </row>
    <row r="1262">
      <c r="A1262" s="154" t="s">
        <v>3440</v>
      </c>
      <c r="B1262" s="155"/>
      <c r="C1262" s="154" t="s">
        <v>3441</v>
      </c>
      <c r="D1262" s="155"/>
      <c r="E1262" s="155"/>
      <c r="F1262" s="154" t="s">
        <v>3442</v>
      </c>
      <c r="G1262" s="154">
        <v>2.55012E7</v>
      </c>
      <c r="H1262" s="156">
        <v>0.0</v>
      </c>
      <c r="I1262" s="154">
        <v>9.71506725633E11</v>
      </c>
      <c r="J1262" s="156">
        <v>0.0</v>
      </c>
      <c r="K1262" s="154" t="s">
        <v>361</v>
      </c>
    </row>
    <row r="1263">
      <c r="A1263" s="154" t="s">
        <v>3440</v>
      </c>
      <c r="B1263" s="154" t="s">
        <v>3441</v>
      </c>
      <c r="C1263" s="155"/>
      <c r="D1263" s="154">
        <v>2.0</v>
      </c>
      <c r="E1263" s="154" t="s">
        <v>1237</v>
      </c>
      <c r="F1263" s="154" t="s">
        <v>3442</v>
      </c>
      <c r="G1263" s="154">
        <v>2.55012E7</v>
      </c>
      <c r="H1263" s="156">
        <v>0.0</v>
      </c>
      <c r="I1263" s="154">
        <v>9.71506725633E11</v>
      </c>
      <c r="J1263" s="156">
        <v>0.0</v>
      </c>
      <c r="K1263" s="154" t="s">
        <v>361</v>
      </c>
    </row>
    <row r="1264">
      <c r="A1264" s="154" t="s">
        <v>3443</v>
      </c>
      <c r="B1264" s="154" t="s">
        <v>3444</v>
      </c>
      <c r="D1264" s="154">
        <v>2.0</v>
      </c>
      <c r="E1264" s="154" t="s">
        <v>761</v>
      </c>
      <c r="F1264" s="154" t="s">
        <v>3445</v>
      </c>
      <c r="G1264" s="156">
        <v>0.0</v>
      </c>
      <c r="H1264" s="156">
        <v>0.0</v>
      </c>
      <c r="I1264" s="154" t="s">
        <v>3446</v>
      </c>
      <c r="J1264" s="154" t="s">
        <v>3447</v>
      </c>
      <c r="K1264" s="154" t="s">
        <v>760</v>
      </c>
    </row>
    <row r="1265">
      <c r="A1265" s="154" t="s">
        <v>3443</v>
      </c>
      <c r="B1265" s="155"/>
      <c r="C1265" s="154" t="s">
        <v>3444</v>
      </c>
      <c r="D1265" s="155"/>
      <c r="E1265" s="155"/>
      <c r="F1265" s="154" t="s">
        <v>3445</v>
      </c>
      <c r="G1265" s="156">
        <v>0.0</v>
      </c>
      <c r="H1265" s="156">
        <v>0.0</v>
      </c>
      <c r="I1265" s="154" t="s">
        <v>3446</v>
      </c>
      <c r="J1265" s="154" t="s">
        <v>3447</v>
      </c>
      <c r="K1265" s="154" t="s">
        <v>760</v>
      </c>
    </row>
    <row r="1266">
      <c r="A1266" s="154" t="s">
        <v>3448</v>
      </c>
      <c r="B1266" s="155"/>
      <c r="C1266" s="154" t="s">
        <v>3449</v>
      </c>
      <c r="D1266" s="155"/>
      <c r="E1266" s="155"/>
      <c r="F1266" s="154" t="s">
        <v>3450</v>
      </c>
      <c r="G1266" s="156">
        <v>0.0</v>
      </c>
      <c r="H1266" s="156">
        <v>0.0</v>
      </c>
      <c r="I1266" s="154">
        <v>5.56004006E8</v>
      </c>
      <c r="J1266" s="156">
        <v>0.0</v>
      </c>
      <c r="K1266" s="154" t="s">
        <v>361</v>
      </c>
    </row>
    <row r="1267">
      <c r="A1267" s="154" t="s">
        <v>3448</v>
      </c>
      <c r="B1267" s="154" t="s">
        <v>3449</v>
      </c>
      <c r="D1267" s="154">
        <v>2.0</v>
      </c>
      <c r="E1267" s="154" t="s">
        <v>761</v>
      </c>
      <c r="F1267" s="154" t="s">
        <v>3450</v>
      </c>
      <c r="G1267" s="156">
        <v>0.0</v>
      </c>
      <c r="H1267" s="156">
        <v>0.0</v>
      </c>
      <c r="I1267" s="154">
        <v>5.56004006E8</v>
      </c>
      <c r="J1267" s="156">
        <v>0.0</v>
      </c>
      <c r="K1267" s="154" t="s">
        <v>361</v>
      </c>
    </row>
    <row r="1268">
      <c r="A1268" s="154" t="s">
        <v>3451</v>
      </c>
      <c r="B1268" s="154" t="s">
        <v>3452</v>
      </c>
      <c r="D1268" s="154">
        <v>2.0</v>
      </c>
      <c r="E1268" s="154" t="s">
        <v>761</v>
      </c>
      <c r="F1268" s="154" t="s">
        <v>3453</v>
      </c>
      <c r="G1268" s="156">
        <v>0.0</v>
      </c>
      <c r="H1268" s="156">
        <v>0.0</v>
      </c>
      <c r="I1268" s="156">
        <v>0.0</v>
      </c>
      <c r="J1268" s="154" t="s">
        <v>3454</v>
      </c>
      <c r="K1268" s="154" t="s">
        <v>939</v>
      </c>
    </row>
    <row r="1269">
      <c r="A1269" s="154" t="s">
        <v>3451</v>
      </c>
      <c r="B1269" s="155"/>
      <c r="C1269" s="154" t="s">
        <v>3452</v>
      </c>
      <c r="D1269" s="155"/>
      <c r="E1269" s="155"/>
      <c r="F1269" s="154" t="s">
        <v>3453</v>
      </c>
      <c r="G1269" s="156">
        <v>0.0</v>
      </c>
      <c r="H1269" s="156">
        <v>0.0</v>
      </c>
      <c r="I1269" s="156">
        <v>0.0</v>
      </c>
      <c r="J1269" s="154" t="s">
        <v>3454</v>
      </c>
      <c r="K1269" s="154" t="s">
        <v>939</v>
      </c>
    </row>
    <row r="1270">
      <c r="A1270" s="154" t="s">
        <v>3455</v>
      </c>
      <c r="B1270" s="155"/>
      <c r="C1270" s="154" t="s">
        <v>3456</v>
      </c>
      <c r="D1270" s="155"/>
      <c r="E1270" s="155"/>
      <c r="F1270" s="154" t="s">
        <v>3457</v>
      </c>
      <c r="G1270" s="156">
        <v>0.0</v>
      </c>
      <c r="H1270" s="156">
        <v>0.0</v>
      </c>
      <c r="I1270" s="154" t="s">
        <v>3458</v>
      </c>
      <c r="J1270" s="154" t="s">
        <v>3459</v>
      </c>
      <c r="K1270" s="154" t="s">
        <v>818</v>
      </c>
    </row>
    <row r="1271">
      <c r="A1271" s="154" t="s">
        <v>3455</v>
      </c>
      <c r="B1271" s="154" t="s">
        <v>3456</v>
      </c>
      <c r="D1271" s="154">
        <v>2.0</v>
      </c>
      <c r="E1271" s="154" t="s">
        <v>761</v>
      </c>
      <c r="F1271" s="154" t="s">
        <v>3457</v>
      </c>
      <c r="G1271" s="154">
        <v>4.3416343E7</v>
      </c>
      <c r="H1271" s="154" t="s">
        <v>3460</v>
      </c>
      <c r="I1271" s="154">
        <v>9.71504356527E11</v>
      </c>
      <c r="J1271" s="156">
        <v>0.0</v>
      </c>
      <c r="K1271" s="154" t="s">
        <v>818</v>
      </c>
    </row>
    <row r="1272">
      <c r="A1272" s="154" t="s">
        <v>3461</v>
      </c>
      <c r="B1272" s="154" t="s">
        <v>3462</v>
      </c>
      <c r="D1272" s="154">
        <v>2.0</v>
      </c>
      <c r="E1272" s="154" t="s">
        <v>761</v>
      </c>
      <c r="F1272" s="154" t="s">
        <v>3463</v>
      </c>
      <c r="G1272" s="154">
        <v>4.0</v>
      </c>
      <c r="H1272" s="156">
        <v>0.0</v>
      </c>
      <c r="I1272" s="154">
        <v>5.04572891E8</v>
      </c>
      <c r="J1272" s="156">
        <v>0.0</v>
      </c>
      <c r="K1272" s="154" t="s">
        <v>361</v>
      </c>
    </row>
    <row r="1273">
      <c r="A1273" s="154" t="s">
        <v>3461</v>
      </c>
      <c r="B1273" s="155"/>
      <c r="C1273" s="154" t="s">
        <v>3462</v>
      </c>
      <c r="D1273" s="155"/>
      <c r="E1273" s="155"/>
      <c r="F1273" s="154" t="s">
        <v>3464</v>
      </c>
      <c r="G1273" s="154">
        <v>4.36529E7</v>
      </c>
      <c r="H1273" s="156">
        <v>0.0</v>
      </c>
      <c r="I1273" s="154">
        <v>5.02783166E8</v>
      </c>
      <c r="J1273" s="156">
        <v>0.0</v>
      </c>
      <c r="K1273" s="154" t="s">
        <v>361</v>
      </c>
    </row>
    <row r="1274">
      <c r="A1274" s="154" t="s">
        <v>3465</v>
      </c>
      <c r="B1274" s="155"/>
      <c r="C1274" s="154" t="s">
        <v>3466</v>
      </c>
      <c r="D1274" s="155"/>
      <c r="E1274" s="155"/>
      <c r="F1274" s="154" t="s">
        <v>3467</v>
      </c>
      <c r="G1274" s="154">
        <v>4.2252909E7</v>
      </c>
      <c r="H1274" s="156">
        <v>0.0</v>
      </c>
      <c r="I1274" s="154">
        <v>9.71506251498E11</v>
      </c>
      <c r="J1274" s="156">
        <v>0.0</v>
      </c>
      <c r="K1274" s="154" t="s">
        <v>361</v>
      </c>
    </row>
    <row r="1275">
      <c r="A1275" s="154" t="s">
        <v>3465</v>
      </c>
      <c r="B1275" s="154" t="s">
        <v>3466</v>
      </c>
      <c r="D1275" s="154">
        <v>2.0</v>
      </c>
      <c r="E1275" s="154" t="s">
        <v>761</v>
      </c>
      <c r="F1275" s="154" t="s">
        <v>3467</v>
      </c>
      <c r="G1275" s="154">
        <v>4.2252909E7</v>
      </c>
      <c r="H1275" s="156">
        <v>0.0</v>
      </c>
      <c r="I1275" s="154">
        <v>9.71506251498E11</v>
      </c>
      <c r="J1275" s="156">
        <v>0.0</v>
      </c>
      <c r="K1275" s="154" t="s">
        <v>361</v>
      </c>
    </row>
    <row r="1276">
      <c r="A1276" s="154" t="s">
        <v>3468</v>
      </c>
      <c r="B1276" s="154" t="s">
        <v>3469</v>
      </c>
      <c r="D1276" s="154">
        <v>2.0</v>
      </c>
      <c r="E1276" s="154" t="s">
        <v>897</v>
      </c>
      <c r="F1276" s="154" t="s">
        <v>1619</v>
      </c>
      <c r="G1276" s="154">
        <v>4.3903333E7</v>
      </c>
      <c r="H1276" s="154" t="s">
        <v>1620</v>
      </c>
      <c r="I1276" s="156">
        <v>0.0</v>
      </c>
      <c r="J1276" s="156">
        <v>0.0</v>
      </c>
      <c r="K1276" s="156">
        <v>0.0</v>
      </c>
    </row>
    <row r="1277">
      <c r="A1277" s="154" t="s">
        <v>3468</v>
      </c>
      <c r="B1277" s="155"/>
      <c r="C1277" s="154" t="s">
        <v>3470</v>
      </c>
      <c r="D1277" s="155"/>
      <c r="E1277" s="155"/>
      <c r="F1277" s="154" t="s">
        <v>2798</v>
      </c>
      <c r="G1277" s="154">
        <v>5.09101155E8</v>
      </c>
      <c r="H1277" s="156">
        <v>0.0</v>
      </c>
      <c r="I1277" s="154">
        <v>0.0</v>
      </c>
      <c r="J1277" s="156">
        <v>0.0</v>
      </c>
      <c r="K1277" s="154" t="s">
        <v>776</v>
      </c>
    </row>
    <row r="1278">
      <c r="A1278" s="154" t="s">
        <v>3471</v>
      </c>
      <c r="B1278" s="154" t="s">
        <v>3472</v>
      </c>
      <c r="D1278" s="154">
        <v>2.0</v>
      </c>
      <c r="E1278" s="154" t="s">
        <v>897</v>
      </c>
      <c r="F1278" s="154" t="s">
        <v>3473</v>
      </c>
      <c r="G1278" s="156">
        <v>0.0</v>
      </c>
      <c r="H1278" s="156">
        <v>0.0</v>
      </c>
      <c r="I1278" s="154" t="s">
        <v>3474</v>
      </c>
      <c r="J1278" s="156">
        <v>0.0</v>
      </c>
      <c r="K1278" s="154" t="s">
        <v>846</v>
      </c>
    </row>
    <row r="1279">
      <c r="A1279" s="154" t="s">
        <v>3471</v>
      </c>
      <c r="B1279" s="155"/>
      <c r="C1279" s="154" t="s">
        <v>3475</v>
      </c>
      <c r="D1279" s="155"/>
      <c r="E1279" s="155"/>
      <c r="F1279" s="154" t="s">
        <v>1619</v>
      </c>
      <c r="G1279" s="154">
        <v>4.3903333E7</v>
      </c>
      <c r="H1279" s="154" t="s">
        <v>1620</v>
      </c>
      <c r="I1279" s="156">
        <v>0.0</v>
      </c>
      <c r="J1279" s="156">
        <v>0.0</v>
      </c>
      <c r="K1279" s="156">
        <v>0.0</v>
      </c>
    </row>
    <row r="1280">
      <c r="A1280" s="154" t="s">
        <v>3476</v>
      </c>
      <c r="B1280" s="154" t="s">
        <v>3477</v>
      </c>
      <c r="D1280" s="154">
        <v>2.0</v>
      </c>
      <c r="E1280" s="154" t="s">
        <v>897</v>
      </c>
      <c r="F1280" s="154" t="s">
        <v>3478</v>
      </c>
      <c r="G1280" s="156">
        <v>0.0</v>
      </c>
      <c r="H1280" s="156">
        <v>0.0</v>
      </c>
      <c r="I1280" s="154" t="s">
        <v>3479</v>
      </c>
      <c r="J1280" s="154" t="s">
        <v>1651</v>
      </c>
      <c r="K1280" s="154" t="s">
        <v>1059</v>
      </c>
    </row>
    <row r="1281">
      <c r="A1281" s="154" t="s">
        <v>3476</v>
      </c>
      <c r="B1281" s="155"/>
      <c r="C1281" s="154" t="s">
        <v>3480</v>
      </c>
      <c r="D1281" s="155"/>
      <c r="E1281" s="155"/>
      <c r="F1281" s="154" t="s">
        <v>3478</v>
      </c>
      <c r="G1281" s="156">
        <v>0.0</v>
      </c>
      <c r="H1281" s="156">
        <v>0.0</v>
      </c>
      <c r="I1281" s="154" t="s">
        <v>3479</v>
      </c>
      <c r="J1281" s="154" t="s">
        <v>1651</v>
      </c>
      <c r="K1281" s="154" t="s">
        <v>1059</v>
      </c>
    </row>
    <row r="1282">
      <c r="A1282" s="154" t="s">
        <v>3481</v>
      </c>
      <c r="B1282" s="154" t="s">
        <v>3482</v>
      </c>
      <c r="D1282" s="154">
        <v>2.0</v>
      </c>
      <c r="E1282" s="154" t="s">
        <v>897</v>
      </c>
      <c r="F1282" s="154" t="s">
        <v>3483</v>
      </c>
      <c r="G1282" s="156">
        <v>0.0</v>
      </c>
      <c r="H1282" s="154" t="s">
        <v>3484</v>
      </c>
      <c r="I1282" s="154" t="s">
        <v>3356</v>
      </c>
      <c r="J1282" s="156">
        <v>0.0</v>
      </c>
      <c r="K1282" s="154" t="s">
        <v>361</v>
      </c>
    </row>
    <row r="1283">
      <c r="A1283" s="154" t="s">
        <v>3481</v>
      </c>
      <c r="B1283" s="155"/>
      <c r="C1283" s="154" t="s">
        <v>3485</v>
      </c>
      <c r="D1283" s="155"/>
      <c r="E1283" s="155"/>
      <c r="F1283" s="154" t="s">
        <v>3483</v>
      </c>
      <c r="G1283" s="156">
        <v>0.0</v>
      </c>
      <c r="H1283" s="154" t="s">
        <v>3484</v>
      </c>
      <c r="I1283" s="154" t="s">
        <v>3356</v>
      </c>
      <c r="J1283" s="156">
        <v>0.0</v>
      </c>
      <c r="K1283" s="154" t="s">
        <v>361</v>
      </c>
    </row>
    <row r="1284">
      <c r="A1284" s="154" t="s">
        <v>3486</v>
      </c>
      <c r="B1284" s="154" t="s">
        <v>3487</v>
      </c>
      <c r="D1284" s="154">
        <v>2.0</v>
      </c>
      <c r="E1284" s="154" t="s">
        <v>897</v>
      </c>
      <c r="F1284" s="154" t="s">
        <v>3488</v>
      </c>
      <c r="G1284" s="154">
        <v>5.01513514E8</v>
      </c>
      <c r="H1284" s="156">
        <v>0.0</v>
      </c>
      <c r="I1284" s="154">
        <v>5.01513514E8</v>
      </c>
      <c r="J1284" s="156">
        <v>0.0</v>
      </c>
      <c r="K1284" s="154" t="s">
        <v>197</v>
      </c>
    </row>
    <row r="1285">
      <c r="A1285" s="154" t="s">
        <v>3486</v>
      </c>
      <c r="B1285" s="155"/>
      <c r="C1285" s="154" t="s">
        <v>3489</v>
      </c>
      <c r="D1285" s="155"/>
      <c r="E1285" s="155"/>
      <c r="F1285" s="154" t="s">
        <v>3488</v>
      </c>
      <c r="G1285" s="154">
        <v>5.01513514E8</v>
      </c>
      <c r="H1285" s="156">
        <v>0.0</v>
      </c>
      <c r="I1285" s="154">
        <v>5.01513514E8</v>
      </c>
      <c r="J1285" s="156">
        <v>0.0</v>
      </c>
      <c r="K1285" s="154" t="s">
        <v>197</v>
      </c>
    </row>
    <row r="1286">
      <c r="A1286" s="154" t="s">
        <v>3490</v>
      </c>
      <c r="B1286" s="155"/>
      <c r="C1286" s="154" t="s">
        <v>3491</v>
      </c>
      <c r="D1286" s="155"/>
      <c r="E1286" s="155"/>
      <c r="F1286" s="154" t="s">
        <v>3492</v>
      </c>
      <c r="G1286" s="156">
        <v>0.0</v>
      </c>
      <c r="H1286" s="154" t="s">
        <v>3493</v>
      </c>
      <c r="I1286" s="154" t="s">
        <v>3494</v>
      </c>
      <c r="J1286" s="156">
        <v>0.0</v>
      </c>
      <c r="K1286" s="154" t="s">
        <v>914</v>
      </c>
    </row>
    <row r="1287">
      <c r="A1287" s="154" t="s">
        <v>3490</v>
      </c>
      <c r="B1287" s="154" t="s">
        <v>3495</v>
      </c>
      <c r="D1287" s="154">
        <v>2.0</v>
      </c>
      <c r="E1287" s="154" t="s">
        <v>897</v>
      </c>
      <c r="F1287" s="154" t="s">
        <v>3492</v>
      </c>
      <c r="G1287" s="156">
        <v>0.0</v>
      </c>
      <c r="H1287" s="154" t="s">
        <v>3493</v>
      </c>
      <c r="I1287" s="154" t="s">
        <v>3494</v>
      </c>
      <c r="J1287" s="156">
        <v>0.0</v>
      </c>
      <c r="K1287" s="154" t="s">
        <v>914</v>
      </c>
    </row>
    <row r="1288">
      <c r="A1288" s="154" t="s">
        <v>3496</v>
      </c>
      <c r="B1288" s="154" t="s">
        <v>3497</v>
      </c>
      <c r="D1288" s="154">
        <v>2.0</v>
      </c>
      <c r="E1288" s="154" t="s">
        <v>897</v>
      </c>
      <c r="F1288" s="154" t="s">
        <v>3498</v>
      </c>
      <c r="G1288" s="154">
        <v>0.0</v>
      </c>
      <c r="H1288" s="156">
        <v>0.0</v>
      </c>
      <c r="I1288" s="154">
        <v>50.0</v>
      </c>
      <c r="J1288" s="156">
        <v>0.0</v>
      </c>
      <c r="K1288" s="154" t="s">
        <v>207</v>
      </c>
    </row>
    <row r="1289">
      <c r="A1289" s="154" t="s">
        <v>3496</v>
      </c>
      <c r="B1289" s="155"/>
      <c r="C1289" s="154" t="s">
        <v>3499</v>
      </c>
      <c r="D1289" s="155"/>
      <c r="E1289" s="155"/>
      <c r="F1289" s="154" t="s">
        <v>3498</v>
      </c>
      <c r="G1289" s="154">
        <v>0.0</v>
      </c>
      <c r="H1289" s="156">
        <v>0.0</v>
      </c>
      <c r="I1289" s="154">
        <v>50.0</v>
      </c>
      <c r="J1289" s="156">
        <v>0.0</v>
      </c>
      <c r="K1289" s="154" t="s">
        <v>207</v>
      </c>
    </row>
    <row r="1290">
      <c r="A1290" s="154" t="s">
        <v>3500</v>
      </c>
      <c r="B1290" s="155"/>
      <c r="C1290" s="154" t="s">
        <v>3501</v>
      </c>
      <c r="D1290" s="155"/>
      <c r="E1290" s="155"/>
      <c r="F1290" s="154" t="s">
        <v>3502</v>
      </c>
      <c r="G1290" s="156">
        <v>0.0</v>
      </c>
      <c r="H1290" s="156">
        <v>0.0</v>
      </c>
      <c r="I1290" s="154" t="s">
        <v>3503</v>
      </c>
      <c r="J1290" s="156">
        <v>0.0</v>
      </c>
      <c r="K1290" s="154" t="s">
        <v>1446</v>
      </c>
    </row>
    <row r="1291">
      <c r="A1291" s="154" t="s">
        <v>3500</v>
      </c>
      <c r="B1291" s="154" t="s">
        <v>3504</v>
      </c>
      <c r="D1291" s="154">
        <v>2.0</v>
      </c>
      <c r="E1291" s="154" t="s">
        <v>897</v>
      </c>
      <c r="F1291" s="154" t="s">
        <v>3502</v>
      </c>
      <c r="G1291" s="156">
        <v>0.0</v>
      </c>
      <c r="H1291" s="156">
        <v>0.0</v>
      </c>
      <c r="I1291" s="154" t="s">
        <v>3503</v>
      </c>
      <c r="J1291" s="156">
        <v>0.0</v>
      </c>
      <c r="K1291" s="154" t="s">
        <v>1446</v>
      </c>
    </row>
    <row r="1292">
      <c r="A1292" s="154" t="s">
        <v>3505</v>
      </c>
      <c r="B1292" s="154" t="s">
        <v>3506</v>
      </c>
      <c r="D1292" s="154">
        <v>2.0</v>
      </c>
      <c r="E1292" s="154" t="s">
        <v>897</v>
      </c>
      <c r="F1292" s="154" t="s">
        <v>3507</v>
      </c>
      <c r="G1292" s="154" t="s">
        <v>3508</v>
      </c>
      <c r="H1292" s="154" t="s">
        <v>3509</v>
      </c>
      <c r="I1292" s="154" t="s">
        <v>3510</v>
      </c>
      <c r="J1292" s="156">
        <v>0.0</v>
      </c>
      <c r="K1292" s="154" t="s">
        <v>361</v>
      </c>
    </row>
    <row r="1293">
      <c r="A1293" s="154" t="s">
        <v>3505</v>
      </c>
      <c r="B1293" s="155"/>
      <c r="C1293" s="154" t="s">
        <v>3511</v>
      </c>
      <c r="D1293" s="155"/>
      <c r="E1293" s="155"/>
      <c r="F1293" s="154" t="s">
        <v>1619</v>
      </c>
      <c r="G1293" s="154">
        <v>4.3903333E7</v>
      </c>
      <c r="H1293" s="154" t="s">
        <v>1620</v>
      </c>
      <c r="I1293" s="156">
        <v>0.0</v>
      </c>
      <c r="J1293" s="156">
        <v>0.0</v>
      </c>
      <c r="K1293" s="156">
        <v>0.0</v>
      </c>
    </row>
    <row r="1294">
      <c r="A1294" s="154" t="s">
        <v>3512</v>
      </c>
      <c r="B1294" s="155"/>
      <c r="C1294" s="154" t="s">
        <v>3513</v>
      </c>
      <c r="D1294" s="155"/>
      <c r="E1294" s="155"/>
      <c r="F1294" s="154" t="s">
        <v>2968</v>
      </c>
      <c r="G1294" s="156">
        <v>0.0</v>
      </c>
      <c r="H1294" s="154" t="s">
        <v>1437</v>
      </c>
      <c r="I1294" s="154" t="s">
        <v>2969</v>
      </c>
      <c r="J1294" s="156">
        <v>0.0</v>
      </c>
      <c r="K1294" s="154" t="s">
        <v>1426</v>
      </c>
    </row>
    <row r="1295">
      <c r="A1295" s="154" t="s">
        <v>3512</v>
      </c>
      <c r="B1295" s="154" t="s">
        <v>3514</v>
      </c>
      <c r="D1295" s="154">
        <v>2.0</v>
      </c>
      <c r="E1295" s="154" t="s">
        <v>897</v>
      </c>
      <c r="F1295" s="154" t="s">
        <v>1619</v>
      </c>
      <c r="G1295" s="154">
        <v>4.3903333E7</v>
      </c>
      <c r="H1295" s="154" t="s">
        <v>1620</v>
      </c>
      <c r="I1295" s="156">
        <v>0.0</v>
      </c>
      <c r="J1295" s="156">
        <v>0.0</v>
      </c>
      <c r="K1295" s="156">
        <v>0.0</v>
      </c>
    </row>
    <row r="1296">
      <c r="A1296" s="154" t="s">
        <v>3515</v>
      </c>
      <c r="B1296" s="154" t="s">
        <v>3516</v>
      </c>
      <c r="D1296" s="154">
        <v>2.0</v>
      </c>
      <c r="E1296" s="154" t="s">
        <v>897</v>
      </c>
      <c r="F1296" s="154" t="s">
        <v>1349</v>
      </c>
      <c r="G1296" s="156">
        <v>0.0</v>
      </c>
      <c r="H1296" s="154" t="s">
        <v>1185</v>
      </c>
      <c r="I1296" s="154" t="s">
        <v>1350</v>
      </c>
      <c r="J1296" s="154" t="s">
        <v>1351</v>
      </c>
      <c r="K1296" s="154" t="s">
        <v>846</v>
      </c>
    </row>
    <row r="1297">
      <c r="A1297" s="154" t="s">
        <v>3515</v>
      </c>
      <c r="B1297" s="155"/>
      <c r="C1297" s="154" t="s">
        <v>3517</v>
      </c>
      <c r="D1297" s="155"/>
      <c r="E1297" s="155"/>
      <c r="F1297" s="154" t="s">
        <v>1352</v>
      </c>
      <c r="G1297" s="154" t="s">
        <v>1353</v>
      </c>
      <c r="H1297" s="154" t="s">
        <v>1354</v>
      </c>
      <c r="I1297" s="154" t="s">
        <v>1355</v>
      </c>
      <c r="J1297" s="154" t="s">
        <v>1356</v>
      </c>
      <c r="K1297" s="154" t="s">
        <v>846</v>
      </c>
    </row>
    <row r="1298">
      <c r="A1298" s="154" t="s">
        <v>3518</v>
      </c>
      <c r="B1298" s="154" t="s">
        <v>3519</v>
      </c>
      <c r="D1298" s="154">
        <v>2.0</v>
      </c>
      <c r="E1298" s="154" t="s">
        <v>897</v>
      </c>
      <c r="F1298" s="154" t="s">
        <v>1352</v>
      </c>
      <c r="G1298" s="154" t="s">
        <v>1353</v>
      </c>
      <c r="H1298" s="154" t="s">
        <v>1354</v>
      </c>
      <c r="I1298" s="154" t="s">
        <v>1355</v>
      </c>
      <c r="J1298" s="154" t="s">
        <v>1356</v>
      </c>
      <c r="K1298" s="154" t="s">
        <v>846</v>
      </c>
    </row>
    <row r="1299">
      <c r="A1299" s="154" t="s">
        <v>3518</v>
      </c>
      <c r="B1299" s="155"/>
      <c r="C1299" s="154" t="s">
        <v>3520</v>
      </c>
      <c r="D1299" s="155"/>
      <c r="E1299" s="155"/>
      <c r="F1299" s="154" t="s">
        <v>1352</v>
      </c>
      <c r="G1299" s="154" t="s">
        <v>1353</v>
      </c>
      <c r="H1299" s="154" t="s">
        <v>1354</v>
      </c>
      <c r="I1299" s="154" t="s">
        <v>1355</v>
      </c>
      <c r="J1299" s="154" t="s">
        <v>1356</v>
      </c>
      <c r="K1299" s="154" t="s">
        <v>846</v>
      </c>
    </row>
    <row r="1300">
      <c r="A1300" s="154" t="s">
        <v>3521</v>
      </c>
      <c r="B1300" s="154" t="s">
        <v>3522</v>
      </c>
      <c r="D1300" s="154">
        <v>2.0</v>
      </c>
      <c r="E1300" s="154" t="s">
        <v>761</v>
      </c>
      <c r="F1300" s="154" t="s">
        <v>3523</v>
      </c>
      <c r="G1300" s="154">
        <v>0.0</v>
      </c>
      <c r="H1300" s="156">
        <v>0.0</v>
      </c>
      <c r="I1300" s="154">
        <v>9.71506513948E11</v>
      </c>
      <c r="J1300" s="156">
        <v>0.0</v>
      </c>
      <c r="K1300" s="154" t="s">
        <v>776</v>
      </c>
    </row>
    <row r="1301">
      <c r="A1301" s="154" t="s">
        <v>3521</v>
      </c>
      <c r="B1301" s="155"/>
      <c r="C1301" s="154" t="s">
        <v>3522</v>
      </c>
      <c r="D1301" s="155"/>
      <c r="E1301" s="155"/>
      <c r="F1301" s="154" t="s">
        <v>3523</v>
      </c>
      <c r="G1301" s="154">
        <v>0.0</v>
      </c>
      <c r="H1301" s="156">
        <v>0.0</v>
      </c>
      <c r="I1301" s="154">
        <v>9.71506513948E11</v>
      </c>
      <c r="J1301" s="156">
        <v>0.0</v>
      </c>
      <c r="K1301" s="154" t="s">
        <v>776</v>
      </c>
    </row>
    <row r="1302">
      <c r="A1302" s="154" t="s">
        <v>3524</v>
      </c>
      <c r="B1302" s="155"/>
      <c r="C1302" s="154" t="s">
        <v>3525</v>
      </c>
      <c r="D1302" s="155"/>
      <c r="E1302" s="155"/>
      <c r="F1302" s="154" t="s">
        <v>3526</v>
      </c>
      <c r="G1302" s="156">
        <v>0.0</v>
      </c>
      <c r="H1302" s="156">
        <v>0.0</v>
      </c>
      <c r="I1302" s="154" t="s">
        <v>3527</v>
      </c>
      <c r="J1302" s="156">
        <v>0.0</v>
      </c>
      <c r="K1302" s="154" t="s">
        <v>760</v>
      </c>
    </row>
    <row r="1303">
      <c r="A1303" s="154" t="s">
        <v>3524</v>
      </c>
      <c r="B1303" s="154" t="s">
        <v>3525</v>
      </c>
      <c r="D1303" s="154">
        <v>2.0</v>
      </c>
      <c r="E1303" s="154" t="s">
        <v>761</v>
      </c>
      <c r="F1303" s="154" t="s">
        <v>3526</v>
      </c>
      <c r="G1303" s="156">
        <v>0.0</v>
      </c>
      <c r="H1303" s="156">
        <v>0.0</v>
      </c>
      <c r="I1303" s="154" t="s">
        <v>3527</v>
      </c>
      <c r="J1303" s="156">
        <v>0.0</v>
      </c>
      <c r="K1303" s="154" t="s">
        <v>760</v>
      </c>
    </row>
    <row r="1304">
      <c r="A1304" s="154" t="s">
        <v>3528</v>
      </c>
      <c r="B1304" s="155"/>
      <c r="C1304" s="154" t="s">
        <v>3529</v>
      </c>
      <c r="D1304" s="155"/>
      <c r="E1304" s="155"/>
      <c r="F1304" s="154" t="s">
        <v>3530</v>
      </c>
      <c r="G1304" s="154" t="s">
        <v>3531</v>
      </c>
      <c r="H1304" s="154" t="s">
        <v>3532</v>
      </c>
      <c r="I1304" s="154">
        <v>9.71504589261E11</v>
      </c>
      <c r="J1304" s="156">
        <v>0.0</v>
      </c>
      <c r="K1304" s="154" t="s">
        <v>259</v>
      </c>
    </row>
    <row r="1305">
      <c r="A1305" s="154" t="s">
        <v>3528</v>
      </c>
      <c r="B1305" s="154" t="s">
        <v>3529</v>
      </c>
      <c r="D1305" s="154">
        <v>2.0</v>
      </c>
      <c r="E1305" s="154" t="s">
        <v>761</v>
      </c>
      <c r="F1305" s="154" t="s">
        <v>3530</v>
      </c>
      <c r="G1305" s="154" t="s">
        <v>3531</v>
      </c>
      <c r="H1305" s="154" t="s">
        <v>3532</v>
      </c>
      <c r="I1305" s="154">
        <v>9.71504589261E11</v>
      </c>
      <c r="J1305" s="156">
        <v>0.0</v>
      </c>
      <c r="K1305" s="154" t="s">
        <v>259</v>
      </c>
    </row>
    <row r="1306">
      <c r="A1306" s="154" t="s">
        <v>3533</v>
      </c>
      <c r="B1306" s="155"/>
      <c r="C1306" s="154" t="s">
        <v>3534</v>
      </c>
      <c r="D1306" s="155"/>
      <c r="E1306" s="155"/>
      <c r="F1306" s="154" t="s">
        <v>3535</v>
      </c>
      <c r="G1306" s="156">
        <v>0.0</v>
      </c>
      <c r="H1306" s="156">
        <v>0.0</v>
      </c>
      <c r="I1306" s="154" t="s">
        <v>3356</v>
      </c>
      <c r="J1306" s="154" t="s">
        <v>3536</v>
      </c>
      <c r="K1306" s="154" t="s">
        <v>760</v>
      </c>
    </row>
    <row r="1307">
      <c r="A1307" s="154" t="s">
        <v>3533</v>
      </c>
      <c r="B1307" s="154" t="s">
        <v>3534</v>
      </c>
      <c r="D1307" s="154">
        <v>2.0</v>
      </c>
      <c r="E1307" s="154" t="s">
        <v>761</v>
      </c>
      <c r="F1307" s="154" t="s">
        <v>3535</v>
      </c>
      <c r="G1307" s="156">
        <v>0.0</v>
      </c>
      <c r="H1307" s="156">
        <v>0.0</v>
      </c>
      <c r="I1307" s="154" t="s">
        <v>3356</v>
      </c>
      <c r="J1307" s="154" t="s">
        <v>3536</v>
      </c>
      <c r="K1307" s="154" t="s">
        <v>760</v>
      </c>
    </row>
    <row r="1308">
      <c r="A1308" s="154" t="s">
        <v>3537</v>
      </c>
      <c r="B1308" s="154" t="s">
        <v>3538</v>
      </c>
      <c r="D1308" s="154">
        <v>2.0</v>
      </c>
      <c r="E1308" s="154" t="s">
        <v>761</v>
      </c>
      <c r="F1308" s="154" t="s">
        <v>3204</v>
      </c>
      <c r="G1308" s="156">
        <v>0.0</v>
      </c>
      <c r="H1308" s="156">
        <v>0.0</v>
      </c>
      <c r="I1308" s="154" t="s">
        <v>3205</v>
      </c>
      <c r="J1308" s="154" t="s">
        <v>3206</v>
      </c>
      <c r="K1308" s="154" t="s">
        <v>776</v>
      </c>
    </row>
    <row r="1309">
      <c r="A1309" s="154" t="s">
        <v>3537</v>
      </c>
      <c r="B1309" s="155"/>
      <c r="C1309" s="154" t="s">
        <v>3538</v>
      </c>
      <c r="D1309" s="155"/>
      <c r="E1309" s="155"/>
      <c r="F1309" s="154" t="s">
        <v>3204</v>
      </c>
      <c r="G1309" s="156">
        <v>0.0</v>
      </c>
      <c r="H1309" s="156">
        <v>0.0</v>
      </c>
      <c r="I1309" s="154" t="s">
        <v>3205</v>
      </c>
      <c r="J1309" s="154" t="s">
        <v>3206</v>
      </c>
      <c r="K1309" s="154" t="s">
        <v>776</v>
      </c>
    </row>
    <row r="1310">
      <c r="A1310" s="154" t="s">
        <v>3539</v>
      </c>
      <c r="B1310" s="154" t="s">
        <v>3540</v>
      </c>
      <c r="D1310" s="154">
        <v>2.0</v>
      </c>
      <c r="E1310" s="154" t="s">
        <v>761</v>
      </c>
      <c r="F1310" s="154" t="s">
        <v>3541</v>
      </c>
      <c r="G1310" s="154">
        <v>0.0</v>
      </c>
      <c r="H1310" s="156">
        <v>0.0</v>
      </c>
      <c r="I1310" s="154">
        <v>0.0</v>
      </c>
      <c r="J1310" s="156">
        <v>0.0</v>
      </c>
      <c r="K1310" s="154" t="s">
        <v>206</v>
      </c>
    </row>
    <row r="1311">
      <c r="A1311" s="154" t="s">
        <v>3539</v>
      </c>
      <c r="B1311" s="155"/>
      <c r="C1311" s="154" t="s">
        <v>3540</v>
      </c>
      <c r="D1311" s="155"/>
      <c r="E1311" s="155"/>
      <c r="F1311" s="154" t="s">
        <v>3541</v>
      </c>
      <c r="G1311" s="154">
        <v>0.0</v>
      </c>
      <c r="H1311" s="156">
        <v>0.0</v>
      </c>
      <c r="I1311" s="154">
        <v>0.0</v>
      </c>
      <c r="J1311" s="156">
        <v>0.0</v>
      </c>
      <c r="K1311" s="154" t="s">
        <v>206</v>
      </c>
    </row>
    <row r="1312">
      <c r="A1312" s="154" t="s">
        <v>3542</v>
      </c>
      <c r="B1312" s="154" t="s">
        <v>3543</v>
      </c>
      <c r="D1312" s="154">
        <v>2.0</v>
      </c>
      <c r="E1312" s="154" t="s">
        <v>761</v>
      </c>
      <c r="F1312" s="154" t="s">
        <v>3544</v>
      </c>
      <c r="G1312" s="154">
        <v>5.56008012E8</v>
      </c>
      <c r="H1312" s="156">
        <v>0.0</v>
      </c>
      <c r="I1312" s="154">
        <v>5.56008012E8</v>
      </c>
      <c r="J1312" s="156">
        <v>0.0</v>
      </c>
      <c r="K1312" s="154" t="s">
        <v>3322</v>
      </c>
    </row>
    <row r="1313">
      <c r="A1313" s="154" t="s">
        <v>3542</v>
      </c>
      <c r="B1313" s="155"/>
      <c r="C1313" s="154" t="s">
        <v>3543</v>
      </c>
      <c r="D1313" s="155"/>
      <c r="E1313" s="155"/>
      <c r="F1313" s="154" t="s">
        <v>3544</v>
      </c>
      <c r="G1313" s="154">
        <v>5.56008012E8</v>
      </c>
      <c r="H1313" s="156">
        <v>0.0</v>
      </c>
      <c r="I1313" s="154">
        <v>5.56008012E8</v>
      </c>
      <c r="J1313" s="156">
        <v>0.0</v>
      </c>
      <c r="K1313" s="154" t="s">
        <v>3322</v>
      </c>
    </row>
    <row r="1314">
      <c r="A1314" s="154" t="s">
        <v>3545</v>
      </c>
      <c r="B1314" s="154" t="s">
        <v>3546</v>
      </c>
      <c r="D1314" s="154">
        <v>2.0</v>
      </c>
      <c r="E1314" s="154" t="s">
        <v>761</v>
      </c>
      <c r="F1314" s="154" t="s">
        <v>3547</v>
      </c>
      <c r="G1314" s="156">
        <v>0.0</v>
      </c>
      <c r="H1314" s="156">
        <v>0.0</v>
      </c>
      <c r="I1314" s="154">
        <v>5.02868571E8</v>
      </c>
      <c r="J1314" s="156">
        <v>0.0</v>
      </c>
      <c r="K1314" s="154" t="s">
        <v>1059</v>
      </c>
    </row>
    <row r="1315">
      <c r="A1315" s="154" t="s">
        <v>3545</v>
      </c>
      <c r="B1315" s="155"/>
      <c r="C1315" s="154" t="s">
        <v>3546</v>
      </c>
      <c r="D1315" s="155"/>
      <c r="E1315" s="155"/>
      <c r="F1315" s="154" t="s">
        <v>3547</v>
      </c>
      <c r="G1315" s="156">
        <v>0.0</v>
      </c>
      <c r="H1315" s="156">
        <v>0.0</v>
      </c>
      <c r="I1315" s="154">
        <v>5.02868571E8</v>
      </c>
      <c r="J1315" s="156">
        <v>0.0</v>
      </c>
      <c r="K1315" s="154" t="s">
        <v>1059</v>
      </c>
    </row>
    <row r="1316">
      <c r="A1316" s="154" t="s">
        <v>3548</v>
      </c>
      <c r="B1316" s="155"/>
      <c r="C1316" s="154" t="s">
        <v>3549</v>
      </c>
      <c r="D1316" s="155"/>
      <c r="E1316" s="155"/>
      <c r="F1316" s="154" t="s">
        <v>3550</v>
      </c>
      <c r="G1316" s="154">
        <v>0.0</v>
      </c>
      <c r="H1316" s="156">
        <v>0.0</v>
      </c>
      <c r="I1316" s="154">
        <v>5.05504692E8</v>
      </c>
      <c r="J1316" s="156">
        <v>0.0</v>
      </c>
      <c r="K1316" s="154" t="s">
        <v>3551</v>
      </c>
    </row>
    <row r="1317">
      <c r="A1317" s="154" t="s">
        <v>3548</v>
      </c>
      <c r="B1317" s="154" t="s">
        <v>3549</v>
      </c>
      <c r="D1317" s="154">
        <v>2.0</v>
      </c>
      <c r="E1317" s="154" t="s">
        <v>761</v>
      </c>
      <c r="F1317" s="154" t="s">
        <v>3552</v>
      </c>
      <c r="G1317" s="154" t="s">
        <v>3553</v>
      </c>
      <c r="H1317" s="156">
        <v>0.0</v>
      </c>
      <c r="I1317" s="154">
        <v>5.05504692E8</v>
      </c>
      <c r="J1317" s="156">
        <v>0.0</v>
      </c>
      <c r="K1317" s="154" t="s">
        <v>3551</v>
      </c>
    </row>
    <row r="1318">
      <c r="A1318" s="154" t="s">
        <v>3554</v>
      </c>
      <c r="B1318" s="154" t="s">
        <v>3555</v>
      </c>
      <c r="D1318" s="154">
        <v>2.0</v>
      </c>
      <c r="E1318" s="154" t="s">
        <v>761</v>
      </c>
      <c r="F1318" s="154" t="s">
        <v>3556</v>
      </c>
      <c r="G1318" s="156">
        <v>0.0</v>
      </c>
      <c r="H1318" s="156">
        <v>0.0</v>
      </c>
      <c r="I1318" s="154" t="s">
        <v>3557</v>
      </c>
      <c r="J1318" s="156">
        <v>0.0</v>
      </c>
      <c r="K1318" s="154" t="s">
        <v>301</v>
      </c>
    </row>
    <row r="1319">
      <c r="A1319" s="154" t="s">
        <v>3554</v>
      </c>
      <c r="B1319" s="155"/>
      <c r="C1319" s="154" t="s">
        <v>3555</v>
      </c>
      <c r="D1319" s="155"/>
      <c r="E1319" s="155"/>
      <c r="F1319" s="154" t="s">
        <v>3556</v>
      </c>
      <c r="G1319" s="156">
        <v>0.0</v>
      </c>
      <c r="H1319" s="156">
        <v>0.0</v>
      </c>
      <c r="I1319" s="154" t="s">
        <v>3557</v>
      </c>
      <c r="J1319" s="156">
        <v>0.0</v>
      </c>
      <c r="K1319" s="154" t="s">
        <v>301</v>
      </c>
    </row>
    <row r="1320">
      <c r="A1320" s="154" t="s">
        <v>3558</v>
      </c>
      <c r="B1320" s="154" t="s">
        <v>3559</v>
      </c>
      <c r="D1320" s="154">
        <v>2.0</v>
      </c>
      <c r="E1320" s="154" t="s">
        <v>761</v>
      </c>
      <c r="F1320" s="154" t="s">
        <v>3560</v>
      </c>
      <c r="G1320" s="154">
        <v>4.42745E7</v>
      </c>
      <c r="H1320" s="156">
        <v>0.0</v>
      </c>
      <c r="I1320" s="154">
        <v>4.42745E7</v>
      </c>
      <c r="J1320" s="156">
        <v>0.0</v>
      </c>
      <c r="K1320" s="154" t="s">
        <v>206</v>
      </c>
    </row>
    <row r="1321">
      <c r="A1321" s="154" t="s">
        <v>3558</v>
      </c>
      <c r="B1321" s="155"/>
      <c r="C1321" s="154" t="s">
        <v>3559</v>
      </c>
      <c r="D1321" s="155"/>
      <c r="E1321" s="155"/>
      <c r="F1321" s="154" t="s">
        <v>3560</v>
      </c>
      <c r="G1321" s="154">
        <v>4.42745E7</v>
      </c>
      <c r="H1321" s="156">
        <v>0.0</v>
      </c>
      <c r="I1321" s="154">
        <v>4.42745E7</v>
      </c>
      <c r="J1321" s="156">
        <v>0.0</v>
      </c>
      <c r="K1321" s="154" t="s">
        <v>206</v>
      </c>
    </row>
    <row r="1322">
      <c r="A1322" s="154" t="s">
        <v>3561</v>
      </c>
      <c r="B1322" s="155"/>
      <c r="C1322" s="154" t="s">
        <v>3562</v>
      </c>
      <c r="D1322" s="155"/>
      <c r="E1322" s="155"/>
      <c r="F1322" s="154" t="s">
        <v>3563</v>
      </c>
      <c r="G1322" s="154">
        <v>2.4012801E7</v>
      </c>
      <c r="H1322" s="156">
        <v>0.0</v>
      </c>
      <c r="I1322" s="154">
        <v>5.03531915E8</v>
      </c>
      <c r="J1322" s="156">
        <v>0.0</v>
      </c>
      <c r="K1322" s="154" t="s">
        <v>197</v>
      </c>
    </row>
    <row r="1323">
      <c r="A1323" s="154" t="s">
        <v>3561</v>
      </c>
      <c r="B1323" s="154" t="s">
        <v>3562</v>
      </c>
      <c r="D1323" s="154">
        <v>2.0</v>
      </c>
      <c r="E1323" s="154" t="s">
        <v>761</v>
      </c>
      <c r="F1323" s="154" t="s">
        <v>3563</v>
      </c>
      <c r="G1323" s="154">
        <v>2.4012801E7</v>
      </c>
      <c r="H1323" s="156">
        <v>0.0</v>
      </c>
      <c r="I1323" s="154">
        <v>5.03531915E8</v>
      </c>
      <c r="J1323" s="156">
        <v>0.0</v>
      </c>
      <c r="K1323" s="154" t="s">
        <v>197</v>
      </c>
    </row>
    <row r="1324">
      <c r="A1324" s="154" t="s">
        <v>3564</v>
      </c>
      <c r="B1324" s="155"/>
      <c r="C1324" s="154" t="s">
        <v>3565</v>
      </c>
      <c r="D1324" s="155"/>
      <c r="E1324" s="155"/>
      <c r="F1324" s="154" t="s">
        <v>3566</v>
      </c>
      <c r="G1324" s="154">
        <v>0.0</v>
      </c>
      <c r="H1324" s="156">
        <v>0.0</v>
      </c>
      <c r="I1324" s="154">
        <v>5.09370176E8</v>
      </c>
      <c r="J1324" s="156">
        <v>0.0</v>
      </c>
      <c r="K1324" s="154" t="s">
        <v>240</v>
      </c>
    </row>
    <row r="1325">
      <c r="A1325" s="154" t="s">
        <v>3564</v>
      </c>
      <c r="B1325" s="154" t="s">
        <v>3565</v>
      </c>
      <c r="D1325" s="154">
        <v>2.0</v>
      </c>
      <c r="E1325" s="154" t="s">
        <v>761</v>
      </c>
      <c r="F1325" s="154" t="s">
        <v>3566</v>
      </c>
      <c r="G1325" s="154">
        <v>0.0</v>
      </c>
      <c r="H1325" s="156">
        <v>0.0</v>
      </c>
      <c r="I1325" s="154">
        <v>5.09370176E8</v>
      </c>
      <c r="J1325" s="156">
        <v>0.0</v>
      </c>
      <c r="K1325" s="154" t="s">
        <v>240</v>
      </c>
    </row>
    <row r="1326">
      <c r="A1326" s="154" t="s">
        <v>3567</v>
      </c>
      <c r="B1326" s="154" t="s">
        <v>3568</v>
      </c>
      <c r="D1326" s="154">
        <v>2.0</v>
      </c>
      <c r="E1326" s="154" t="s">
        <v>761</v>
      </c>
      <c r="F1326" s="154" t="s">
        <v>3569</v>
      </c>
      <c r="G1326" s="154" t="s">
        <v>3570</v>
      </c>
      <c r="H1326" s="154" t="s">
        <v>3571</v>
      </c>
      <c r="I1326" s="154" t="s">
        <v>3572</v>
      </c>
      <c r="J1326" s="156">
        <v>0.0</v>
      </c>
      <c r="K1326" s="154" t="s">
        <v>207</v>
      </c>
    </row>
    <row r="1327">
      <c r="A1327" s="154" t="s">
        <v>3567</v>
      </c>
      <c r="B1327" s="155"/>
      <c r="C1327" s="154" t="s">
        <v>3568</v>
      </c>
      <c r="D1327" s="155"/>
      <c r="E1327" s="155"/>
      <c r="F1327" s="154" t="s">
        <v>3569</v>
      </c>
      <c r="G1327" s="154" t="s">
        <v>3570</v>
      </c>
      <c r="H1327" s="154" t="s">
        <v>3571</v>
      </c>
      <c r="I1327" s="154" t="s">
        <v>3572</v>
      </c>
      <c r="J1327" s="156">
        <v>0.0</v>
      </c>
      <c r="K1327" s="154" t="s">
        <v>207</v>
      </c>
    </row>
    <row r="1328">
      <c r="A1328" s="154" t="s">
        <v>3573</v>
      </c>
      <c r="B1328" s="155"/>
      <c r="C1328" s="154" t="s">
        <v>3574</v>
      </c>
      <c r="D1328" s="155"/>
      <c r="E1328" s="155"/>
      <c r="F1328" s="154" t="s">
        <v>902</v>
      </c>
      <c r="G1328" s="156">
        <v>0.0</v>
      </c>
      <c r="H1328" s="154" t="s">
        <v>903</v>
      </c>
      <c r="I1328" s="154" t="s">
        <v>904</v>
      </c>
      <c r="J1328" s="154" t="s">
        <v>905</v>
      </c>
      <c r="K1328" s="154" t="s">
        <v>207</v>
      </c>
    </row>
    <row r="1329">
      <c r="A1329" s="154" t="s">
        <v>3573</v>
      </c>
      <c r="B1329" s="154" t="s">
        <v>3574</v>
      </c>
      <c r="D1329" s="154">
        <v>2.0</v>
      </c>
      <c r="E1329" s="154" t="s">
        <v>761</v>
      </c>
      <c r="F1329" s="154" t="s">
        <v>902</v>
      </c>
      <c r="G1329" s="156">
        <v>0.0</v>
      </c>
      <c r="H1329" s="154" t="s">
        <v>903</v>
      </c>
      <c r="I1329" s="154" t="s">
        <v>904</v>
      </c>
      <c r="J1329" s="154" t="s">
        <v>905</v>
      </c>
      <c r="K1329" s="154" t="s">
        <v>207</v>
      </c>
    </row>
    <row r="1330">
      <c r="A1330" s="154" t="s">
        <v>3575</v>
      </c>
      <c r="B1330" s="155"/>
      <c r="C1330" s="154" t="s">
        <v>3576</v>
      </c>
      <c r="D1330" s="155"/>
      <c r="E1330" s="155"/>
      <c r="F1330" s="154" t="s">
        <v>3577</v>
      </c>
      <c r="G1330" s="154">
        <v>0.0</v>
      </c>
      <c r="H1330" s="156">
        <v>0.0</v>
      </c>
      <c r="I1330" s="154">
        <v>0.0</v>
      </c>
      <c r="J1330" s="156">
        <v>0.0</v>
      </c>
      <c r="K1330" s="154" t="s">
        <v>361</v>
      </c>
    </row>
    <row r="1331">
      <c r="A1331" s="154" t="s">
        <v>3575</v>
      </c>
      <c r="B1331" s="154" t="s">
        <v>3576</v>
      </c>
      <c r="D1331" s="154">
        <v>2.0</v>
      </c>
      <c r="E1331" s="154" t="s">
        <v>761</v>
      </c>
      <c r="F1331" s="154" t="s">
        <v>3577</v>
      </c>
      <c r="G1331" s="154">
        <v>0.0</v>
      </c>
      <c r="H1331" s="156">
        <v>0.0</v>
      </c>
      <c r="I1331" s="154">
        <v>0.0</v>
      </c>
      <c r="J1331" s="156">
        <v>0.0</v>
      </c>
      <c r="K1331" s="154" t="s">
        <v>361</v>
      </c>
    </row>
    <row r="1332">
      <c r="A1332" s="154" t="s">
        <v>3578</v>
      </c>
      <c r="B1332" s="154" t="s">
        <v>3579</v>
      </c>
      <c r="D1332" s="154">
        <v>2.0</v>
      </c>
      <c r="E1332" s="154" t="s">
        <v>761</v>
      </c>
      <c r="F1332" s="154" t="s">
        <v>3580</v>
      </c>
      <c r="G1332" s="156">
        <v>0.0</v>
      </c>
      <c r="H1332" s="156">
        <v>0.0</v>
      </c>
      <c r="I1332" s="154" t="s">
        <v>3581</v>
      </c>
      <c r="J1332" s="156">
        <v>0.0</v>
      </c>
      <c r="K1332" s="154" t="s">
        <v>776</v>
      </c>
    </row>
    <row r="1333">
      <c r="A1333" s="154" t="s">
        <v>3578</v>
      </c>
      <c r="B1333" s="155"/>
      <c r="C1333" s="154" t="s">
        <v>3579</v>
      </c>
      <c r="D1333" s="155"/>
      <c r="E1333" s="155"/>
      <c r="F1333" s="154" t="s">
        <v>3580</v>
      </c>
      <c r="G1333" s="156">
        <v>0.0</v>
      </c>
      <c r="H1333" s="156">
        <v>0.0</v>
      </c>
      <c r="I1333" s="154" t="s">
        <v>3581</v>
      </c>
      <c r="J1333" s="156">
        <v>0.0</v>
      </c>
      <c r="K1333" s="154" t="s">
        <v>776</v>
      </c>
    </row>
    <row r="1334">
      <c r="A1334" s="154" t="s">
        <v>3582</v>
      </c>
      <c r="B1334" s="155"/>
      <c r="C1334" s="154" t="s">
        <v>3583</v>
      </c>
      <c r="D1334" s="155"/>
      <c r="E1334" s="155"/>
      <c r="F1334" s="154" t="s">
        <v>3584</v>
      </c>
      <c r="G1334" s="156">
        <v>0.0</v>
      </c>
      <c r="H1334" s="156">
        <v>0.0</v>
      </c>
      <c r="I1334" s="154" t="s">
        <v>3585</v>
      </c>
      <c r="J1334" s="154" t="s">
        <v>3586</v>
      </c>
      <c r="K1334" s="154" t="s">
        <v>361</v>
      </c>
    </row>
    <row r="1335">
      <c r="A1335" s="154" t="s">
        <v>3582</v>
      </c>
      <c r="B1335" s="154" t="s">
        <v>3583</v>
      </c>
      <c r="D1335" s="154">
        <v>2.0</v>
      </c>
      <c r="E1335" s="154" t="s">
        <v>761</v>
      </c>
      <c r="F1335" s="154" t="s">
        <v>3584</v>
      </c>
      <c r="G1335" s="156">
        <v>0.0</v>
      </c>
      <c r="H1335" s="156">
        <v>0.0</v>
      </c>
      <c r="I1335" s="154" t="s">
        <v>3585</v>
      </c>
      <c r="J1335" s="154" t="s">
        <v>3586</v>
      </c>
      <c r="K1335" s="154" t="s">
        <v>361</v>
      </c>
    </row>
    <row r="1336">
      <c r="A1336" s="154" t="s">
        <v>3587</v>
      </c>
      <c r="B1336" s="154" t="s">
        <v>3588</v>
      </c>
      <c r="D1336" s="154">
        <v>2.0</v>
      </c>
      <c r="E1336" s="154" t="s">
        <v>761</v>
      </c>
      <c r="F1336" s="154" t="s">
        <v>3589</v>
      </c>
      <c r="G1336" s="156">
        <v>0.0</v>
      </c>
      <c r="H1336" s="154" t="s">
        <v>3590</v>
      </c>
      <c r="I1336" s="154" t="s">
        <v>1194</v>
      </c>
      <c r="J1336" s="154" t="s">
        <v>1195</v>
      </c>
      <c r="K1336" s="154" t="s">
        <v>361</v>
      </c>
    </row>
    <row r="1337">
      <c r="A1337" s="154" t="s">
        <v>3587</v>
      </c>
      <c r="B1337" s="155"/>
      <c r="C1337" s="154" t="s">
        <v>3588</v>
      </c>
      <c r="D1337" s="155"/>
      <c r="E1337" s="155"/>
      <c r="F1337" s="154" t="s">
        <v>3589</v>
      </c>
      <c r="G1337" s="156">
        <v>0.0</v>
      </c>
      <c r="H1337" s="154" t="s">
        <v>3590</v>
      </c>
      <c r="I1337" s="154" t="s">
        <v>1194</v>
      </c>
      <c r="J1337" s="154" t="s">
        <v>1195</v>
      </c>
      <c r="K1337" s="154" t="s">
        <v>361</v>
      </c>
    </row>
    <row r="1338">
      <c r="A1338" s="154" t="s">
        <v>3591</v>
      </c>
      <c r="B1338" s="154" t="s">
        <v>3592</v>
      </c>
      <c r="D1338" s="154">
        <v>2.0</v>
      </c>
      <c r="E1338" s="154" t="s">
        <v>761</v>
      </c>
      <c r="F1338" s="154" t="s">
        <v>3593</v>
      </c>
      <c r="G1338" s="154">
        <v>0.0</v>
      </c>
      <c r="H1338" s="156">
        <v>0.0</v>
      </c>
      <c r="I1338" s="154">
        <v>0.0</v>
      </c>
      <c r="J1338" s="156">
        <v>0.0</v>
      </c>
      <c r="K1338" s="154" t="s">
        <v>361</v>
      </c>
    </row>
    <row r="1339">
      <c r="A1339" s="154" t="s">
        <v>3591</v>
      </c>
      <c r="B1339" s="155"/>
      <c r="C1339" s="154" t="s">
        <v>3592</v>
      </c>
      <c r="D1339" s="155"/>
      <c r="E1339" s="155"/>
      <c r="F1339" s="154" t="s">
        <v>3593</v>
      </c>
      <c r="G1339" s="154">
        <v>0.0</v>
      </c>
      <c r="H1339" s="156">
        <v>0.0</v>
      </c>
      <c r="I1339" s="154">
        <v>0.0</v>
      </c>
      <c r="J1339" s="156">
        <v>0.0</v>
      </c>
      <c r="K1339" s="154" t="s">
        <v>361</v>
      </c>
    </row>
    <row r="1340">
      <c r="A1340" s="154" t="s">
        <v>3594</v>
      </c>
      <c r="B1340" s="154" t="s">
        <v>3595</v>
      </c>
      <c r="D1340" s="154">
        <v>2.0</v>
      </c>
      <c r="E1340" s="154" t="s">
        <v>761</v>
      </c>
      <c r="F1340" s="154" t="s">
        <v>3596</v>
      </c>
      <c r="G1340" s="154" t="s">
        <v>3597</v>
      </c>
      <c r="H1340" s="156">
        <v>0.0</v>
      </c>
      <c r="I1340" s="154" t="s">
        <v>3598</v>
      </c>
      <c r="J1340" s="154" t="s">
        <v>3599</v>
      </c>
      <c r="K1340" s="154" t="s">
        <v>301</v>
      </c>
    </row>
    <row r="1341">
      <c r="A1341" s="154" t="s">
        <v>3594</v>
      </c>
      <c r="B1341" s="155"/>
      <c r="C1341" s="154" t="s">
        <v>3595</v>
      </c>
      <c r="D1341" s="155"/>
      <c r="E1341" s="155"/>
      <c r="F1341" s="154" t="s">
        <v>3596</v>
      </c>
      <c r="G1341" s="154" t="s">
        <v>3597</v>
      </c>
      <c r="H1341" s="156">
        <v>0.0</v>
      </c>
      <c r="I1341" s="154" t="s">
        <v>3598</v>
      </c>
      <c r="J1341" s="154" t="s">
        <v>3599</v>
      </c>
      <c r="K1341" s="154" t="s">
        <v>301</v>
      </c>
    </row>
    <row r="1342">
      <c r="A1342" s="154" t="s">
        <v>3600</v>
      </c>
      <c r="B1342" s="154" t="s">
        <v>3601</v>
      </c>
      <c r="D1342" s="154">
        <v>2.0</v>
      </c>
      <c r="E1342" s="154" t="s">
        <v>761</v>
      </c>
      <c r="F1342" s="154" t="s">
        <v>3602</v>
      </c>
      <c r="G1342" s="154">
        <v>6674710.0</v>
      </c>
      <c r="H1342" s="156">
        <v>0.0</v>
      </c>
      <c r="I1342" s="154">
        <v>5.06623928E8</v>
      </c>
      <c r="J1342" s="156">
        <v>0.0</v>
      </c>
      <c r="K1342" s="154" t="s">
        <v>320</v>
      </c>
    </row>
    <row r="1343">
      <c r="A1343" s="154" t="s">
        <v>3600</v>
      </c>
      <c r="B1343" s="155"/>
      <c r="C1343" s="154" t="s">
        <v>3601</v>
      </c>
      <c r="D1343" s="155"/>
      <c r="E1343" s="155"/>
      <c r="F1343" s="154" t="s">
        <v>3602</v>
      </c>
      <c r="G1343" s="154">
        <v>6674710.0</v>
      </c>
      <c r="H1343" s="156">
        <v>0.0</v>
      </c>
      <c r="I1343" s="154">
        <v>5.06623928E8</v>
      </c>
      <c r="J1343" s="156">
        <v>0.0</v>
      </c>
      <c r="K1343" s="154" t="s">
        <v>320</v>
      </c>
    </row>
    <row r="1344">
      <c r="A1344" s="154" t="s">
        <v>3603</v>
      </c>
      <c r="B1344" s="155"/>
      <c r="C1344" s="154" t="s">
        <v>3604</v>
      </c>
      <c r="D1344" s="155"/>
      <c r="E1344" s="155"/>
      <c r="F1344" s="154" t="s">
        <v>2724</v>
      </c>
      <c r="G1344" s="156">
        <v>0.0</v>
      </c>
      <c r="H1344" s="156">
        <v>0.0</v>
      </c>
      <c r="I1344" s="154">
        <v>9.66555625883E11</v>
      </c>
      <c r="J1344" s="156">
        <v>0.0</v>
      </c>
      <c r="K1344" s="154" t="s">
        <v>914</v>
      </c>
    </row>
    <row r="1345">
      <c r="A1345" s="154" t="s">
        <v>3603</v>
      </c>
      <c r="B1345" s="154" t="s">
        <v>3604</v>
      </c>
      <c r="D1345" s="154">
        <v>2.0</v>
      </c>
      <c r="E1345" s="154" t="s">
        <v>761</v>
      </c>
      <c r="F1345" s="154" t="s">
        <v>2724</v>
      </c>
      <c r="G1345" s="156">
        <v>0.0</v>
      </c>
      <c r="H1345" s="156">
        <v>0.0</v>
      </c>
      <c r="I1345" s="154">
        <v>9.66555625883E11</v>
      </c>
      <c r="J1345" s="156">
        <v>0.0</v>
      </c>
      <c r="K1345" s="154" t="s">
        <v>914</v>
      </c>
    </row>
    <row r="1346">
      <c r="A1346" s="154" t="s">
        <v>3605</v>
      </c>
      <c r="B1346" s="155"/>
      <c r="C1346" s="154" t="s">
        <v>3606</v>
      </c>
      <c r="D1346" s="155"/>
      <c r="E1346" s="155"/>
      <c r="F1346" s="154" t="s">
        <v>792</v>
      </c>
      <c r="G1346" s="154" t="s">
        <v>793</v>
      </c>
      <c r="H1346" s="154" t="s">
        <v>794</v>
      </c>
      <c r="I1346" s="156">
        <v>0.0</v>
      </c>
      <c r="J1346" s="156">
        <v>0.0</v>
      </c>
      <c r="K1346" s="156">
        <v>0.0</v>
      </c>
    </row>
    <row r="1347">
      <c r="A1347" s="154" t="s">
        <v>3605</v>
      </c>
      <c r="B1347" s="154" t="s">
        <v>3606</v>
      </c>
      <c r="D1347" s="154">
        <v>2.0</v>
      </c>
      <c r="E1347" s="154" t="s">
        <v>761</v>
      </c>
      <c r="F1347" s="154" t="s">
        <v>792</v>
      </c>
      <c r="G1347" s="154" t="s">
        <v>793</v>
      </c>
      <c r="H1347" s="154" t="s">
        <v>794</v>
      </c>
      <c r="I1347" s="156">
        <v>0.0</v>
      </c>
      <c r="J1347" s="156">
        <v>0.0</v>
      </c>
      <c r="K1347" s="156">
        <v>0.0</v>
      </c>
    </row>
    <row r="1348">
      <c r="A1348" s="154" t="s">
        <v>3607</v>
      </c>
      <c r="B1348" s="155"/>
      <c r="C1348" s="154" t="s">
        <v>3608</v>
      </c>
      <c r="D1348" s="155"/>
      <c r="E1348" s="155"/>
      <c r="F1348" s="154" t="s">
        <v>3609</v>
      </c>
      <c r="G1348" s="154" t="s">
        <v>3610</v>
      </c>
      <c r="H1348" s="154" t="s">
        <v>3611</v>
      </c>
      <c r="I1348" s="154" t="s">
        <v>3612</v>
      </c>
      <c r="J1348" s="154" t="s">
        <v>3613</v>
      </c>
      <c r="K1348" s="154" t="s">
        <v>3322</v>
      </c>
    </row>
    <row r="1349">
      <c r="A1349" s="154" t="s">
        <v>3607</v>
      </c>
      <c r="B1349" s="154" t="s">
        <v>3608</v>
      </c>
      <c r="D1349" s="154">
        <v>2.0</v>
      </c>
      <c r="E1349" s="154" t="s">
        <v>761</v>
      </c>
      <c r="F1349" s="154" t="s">
        <v>3609</v>
      </c>
      <c r="G1349" s="154" t="s">
        <v>3610</v>
      </c>
      <c r="H1349" s="154" t="s">
        <v>3611</v>
      </c>
      <c r="I1349" s="154" t="s">
        <v>3612</v>
      </c>
      <c r="J1349" s="154" t="s">
        <v>3613</v>
      </c>
      <c r="K1349" s="154" t="s">
        <v>3322</v>
      </c>
    </row>
    <row r="1350">
      <c r="A1350" s="154" t="s">
        <v>3614</v>
      </c>
      <c r="B1350" s="155"/>
      <c r="C1350" s="154" t="s">
        <v>3615</v>
      </c>
      <c r="D1350" s="155"/>
      <c r="E1350" s="155"/>
      <c r="F1350" s="154" t="s">
        <v>3073</v>
      </c>
      <c r="G1350" s="156">
        <v>0.0</v>
      </c>
      <c r="H1350" s="154" t="s">
        <v>3074</v>
      </c>
      <c r="I1350" s="154" t="s">
        <v>3075</v>
      </c>
      <c r="J1350" s="154" t="s">
        <v>3076</v>
      </c>
      <c r="K1350" s="154" t="s">
        <v>207</v>
      </c>
    </row>
    <row r="1351">
      <c r="A1351" s="154" t="s">
        <v>3614</v>
      </c>
      <c r="B1351" s="154" t="s">
        <v>3615</v>
      </c>
      <c r="D1351" s="154">
        <v>2.0</v>
      </c>
      <c r="E1351" s="154" t="s">
        <v>761</v>
      </c>
      <c r="F1351" s="154" t="s">
        <v>3073</v>
      </c>
      <c r="G1351" s="156">
        <v>0.0</v>
      </c>
      <c r="H1351" s="154" t="s">
        <v>3074</v>
      </c>
      <c r="I1351" s="154" t="s">
        <v>3075</v>
      </c>
      <c r="J1351" s="154" t="s">
        <v>3076</v>
      </c>
      <c r="K1351" s="154" t="s">
        <v>207</v>
      </c>
    </row>
    <row r="1352">
      <c r="A1352" s="154" t="s">
        <v>3616</v>
      </c>
      <c r="B1352" s="154" t="s">
        <v>3617</v>
      </c>
      <c r="D1352" s="154">
        <v>2.0</v>
      </c>
      <c r="E1352" s="154" t="s">
        <v>761</v>
      </c>
      <c r="F1352" s="154" t="s">
        <v>2203</v>
      </c>
      <c r="G1352" s="154">
        <v>5.09126362E8</v>
      </c>
      <c r="H1352" s="154" t="s">
        <v>2204</v>
      </c>
      <c r="I1352" s="155">
        <f t="shared" ref="I1352:I1353" si="8">+923218209698</f>
        <v>923218209698</v>
      </c>
      <c r="J1352" s="156">
        <v>0.0</v>
      </c>
      <c r="K1352" s="154" t="s">
        <v>760</v>
      </c>
    </row>
    <row r="1353">
      <c r="A1353" s="154" t="s">
        <v>3616</v>
      </c>
      <c r="B1353" s="155"/>
      <c r="C1353" s="154" t="s">
        <v>3617</v>
      </c>
      <c r="D1353" s="155"/>
      <c r="E1353" s="155"/>
      <c r="F1353" s="154" t="s">
        <v>2203</v>
      </c>
      <c r="G1353" s="154">
        <v>5.09126362E8</v>
      </c>
      <c r="H1353" s="154" t="s">
        <v>2204</v>
      </c>
      <c r="I1353" s="155">
        <f t="shared" si="8"/>
        <v>923218209698</v>
      </c>
      <c r="J1353" s="156">
        <v>0.0</v>
      </c>
      <c r="K1353" s="154" t="s">
        <v>760</v>
      </c>
    </row>
    <row r="1354">
      <c r="A1354" s="154" t="s">
        <v>3618</v>
      </c>
      <c r="B1354" s="154" t="s">
        <v>3619</v>
      </c>
      <c r="D1354" s="154">
        <v>2.0</v>
      </c>
      <c r="E1354" s="154" t="s">
        <v>761</v>
      </c>
      <c r="F1354" s="154" t="s">
        <v>3620</v>
      </c>
      <c r="G1354" s="156">
        <v>0.0</v>
      </c>
      <c r="H1354" s="156">
        <v>0.0</v>
      </c>
      <c r="I1354" s="154" t="s">
        <v>3621</v>
      </c>
      <c r="J1354" s="154" t="s">
        <v>3622</v>
      </c>
      <c r="K1354" s="154" t="s">
        <v>361</v>
      </c>
    </row>
    <row r="1355">
      <c r="A1355" s="154" t="s">
        <v>3618</v>
      </c>
      <c r="B1355" s="155"/>
      <c r="C1355" s="154" t="s">
        <v>3619</v>
      </c>
      <c r="D1355" s="155"/>
      <c r="E1355" s="155"/>
      <c r="F1355" s="154" t="s">
        <v>3620</v>
      </c>
      <c r="G1355" s="156">
        <v>0.0</v>
      </c>
      <c r="H1355" s="156">
        <v>0.0</v>
      </c>
      <c r="I1355" s="154" t="s">
        <v>3621</v>
      </c>
      <c r="J1355" s="154" t="s">
        <v>3622</v>
      </c>
      <c r="K1355" s="154" t="s">
        <v>361</v>
      </c>
    </row>
    <row r="1356">
      <c r="A1356" s="154" t="s">
        <v>3623</v>
      </c>
      <c r="B1356" s="154" t="s">
        <v>3624</v>
      </c>
      <c r="D1356" s="154">
        <v>2.0</v>
      </c>
      <c r="E1356" s="154" t="s">
        <v>761</v>
      </c>
      <c r="F1356" s="154" t="s">
        <v>3625</v>
      </c>
      <c r="G1356" s="154">
        <v>0.0</v>
      </c>
      <c r="H1356" s="156">
        <v>0.0</v>
      </c>
      <c r="I1356" s="156">
        <v>0.0</v>
      </c>
      <c r="J1356" s="156">
        <v>0.0</v>
      </c>
      <c r="K1356" s="156">
        <v>0.0</v>
      </c>
    </row>
    <row r="1357">
      <c r="A1357" s="154" t="s">
        <v>3623</v>
      </c>
      <c r="B1357" s="155"/>
      <c r="C1357" s="154" t="s">
        <v>3624</v>
      </c>
      <c r="D1357" s="155"/>
      <c r="E1357" s="155"/>
      <c r="F1357" s="154" t="s">
        <v>3625</v>
      </c>
      <c r="G1357" s="154">
        <v>0.0</v>
      </c>
      <c r="H1357" s="156">
        <v>0.0</v>
      </c>
      <c r="I1357" s="156">
        <v>0.0</v>
      </c>
      <c r="J1357" s="156">
        <v>0.0</v>
      </c>
      <c r="K1357" s="156">
        <v>0.0</v>
      </c>
    </row>
    <row r="1358">
      <c r="A1358" s="154" t="s">
        <v>3626</v>
      </c>
      <c r="B1358" s="155"/>
      <c r="C1358" s="154" t="s">
        <v>3627</v>
      </c>
      <c r="D1358" s="155"/>
      <c r="E1358" s="155"/>
      <c r="F1358" s="154" t="s">
        <v>3628</v>
      </c>
      <c r="G1358" s="156">
        <v>0.0</v>
      </c>
      <c r="H1358" s="156">
        <v>0.0</v>
      </c>
      <c r="I1358" s="154">
        <v>9.715081893E11</v>
      </c>
      <c r="J1358" s="156">
        <v>0.0</v>
      </c>
      <c r="K1358" s="154" t="s">
        <v>760</v>
      </c>
    </row>
    <row r="1359">
      <c r="A1359" s="154" t="s">
        <v>3626</v>
      </c>
      <c r="B1359" s="154" t="s">
        <v>3627</v>
      </c>
      <c r="D1359" s="154">
        <v>2.0</v>
      </c>
      <c r="E1359" s="154" t="s">
        <v>761</v>
      </c>
      <c r="F1359" s="154" t="s">
        <v>3628</v>
      </c>
      <c r="G1359" s="156">
        <v>0.0</v>
      </c>
      <c r="H1359" s="156">
        <v>0.0</v>
      </c>
      <c r="I1359" s="154">
        <v>9.715081893E11</v>
      </c>
      <c r="J1359" s="156">
        <v>0.0</v>
      </c>
      <c r="K1359" s="154" t="s">
        <v>760</v>
      </c>
    </row>
    <row r="1360">
      <c r="A1360" s="154" t="s">
        <v>3629</v>
      </c>
      <c r="B1360" s="155"/>
      <c r="C1360" s="154" t="s">
        <v>3630</v>
      </c>
      <c r="D1360" s="155"/>
      <c r="E1360" s="155"/>
      <c r="F1360" s="154" t="s">
        <v>3631</v>
      </c>
      <c r="G1360" s="154">
        <v>4.8812222E7</v>
      </c>
      <c r="H1360" s="156">
        <v>0.0</v>
      </c>
      <c r="I1360" s="154">
        <v>9.71504763769E11</v>
      </c>
      <c r="J1360" s="156">
        <v>0.0</v>
      </c>
      <c r="K1360" s="154" t="s">
        <v>240</v>
      </c>
    </row>
    <row r="1361">
      <c r="A1361" s="154" t="s">
        <v>3629</v>
      </c>
      <c r="B1361" s="154" t="s">
        <v>3630</v>
      </c>
      <c r="D1361" s="154">
        <v>2.0</v>
      </c>
      <c r="E1361" s="154" t="s">
        <v>761</v>
      </c>
      <c r="F1361" s="154" t="s">
        <v>3631</v>
      </c>
      <c r="G1361" s="154">
        <v>4.8812222E7</v>
      </c>
      <c r="H1361" s="156">
        <v>0.0</v>
      </c>
      <c r="I1361" s="154">
        <v>9.71504763769E11</v>
      </c>
      <c r="J1361" s="156">
        <v>0.0</v>
      </c>
      <c r="K1361" s="154" t="s">
        <v>240</v>
      </c>
    </row>
    <row r="1362">
      <c r="A1362" s="154" t="s">
        <v>3632</v>
      </c>
      <c r="B1362" s="155"/>
      <c r="C1362" s="154" t="s">
        <v>3633</v>
      </c>
      <c r="D1362" s="155"/>
      <c r="E1362" s="155"/>
      <c r="F1362" s="154" t="s">
        <v>792</v>
      </c>
      <c r="G1362" s="154" t="s">
        <v>793</v>
      </c>
      <c r="H1362" s="154" t="s">
        <v>794</v>
      </c>
      <c r="I1362" s="156">
        <v>0.0</v>
      </c>
      <c r="J1362" s="156">
        <v>0.0</v>
      </c>
      <c r="K1362" s="156">
        <v>0.0</v>
      </c>
    </row>
    <row r="1363">
      <c r="A1363" s="154" t="s">
        <v>3632</v>
      </c>
      <c r="B1363" s="154" t="s">
        <v>3633</v>
      </c>
      <c r="D1363" s="154">
        <v>2.0</v>
      </c>
      <c r="E1363" s="154" t="s">
        <v>761</v>
      </c>
      <c r="F1363" s="154" t="s">
        <v>3634</v>
      </c>
      <c r="G1363" s="156">
        <v>0.0</v>
      </c>
      <c r="H1363" s="154" t="s">
        <v>3635</v>
      </c>
      <c r="I1363" s="154" t="s">
        <v>3636</v>
      </c>
      <c r="J1363" s="154" t="s">
        <v>3637</v>
      </c>
      <c r="K1363" s="154" t="s">
        <v>914</v>
      </c>
    </row>
    <row r="1364">
      <c r="A1364" s="154" t="s">
        <v>3638</v>
      </c>
      <c r="B1364" s="155"/>
      <c r="C1364" s="154" t="s">
        <v>3639</v>
      </c>
      <c r="D1364" s="155"/>
      <c r="E1364" s="155"/>
      <c r="F1364" s="154" t="s">
        <v>3640</v>
      </c>
      <c r="G1364" s="154" t="s">
        <v>3641</v>
      </c>
      <c r="H1364" s="154" t="s">
        <v>3642</v>
      </c>
      <c r="I1364" s="154" t="s">
        <v>3643</v>
      </c>
      <c r="J1364" s="156">
        <v>0.0</v>
      </c>
      <c r="K1364" s="154" t="s">
        <v>240</v>
      </c>
    </row>
    <row r="1365">
      <c r="A1365" s="154" t="s">
        <v>3638</v>
      </c>
      <c r="B1365" s="154" t="s">
        <v>3639</v>
      </c>
      <c r="D1365" s="154">
        <v>2.0</v>
      </c>
      <c r="E1365" s="154" t="s">
        <v>761</v>
      </c>
      <c r="F1365" s="154" t="s">
        <v>3640</v>
      </c>
      <c r="G1365" s="154" t="s">
        <v>3641</v>
      </c>
      <c r="H1365" s="154" t="s">
        <v>3642</v>
      </c>
      <c r="I1365" s="154" t="s">
        <v>3643</v>
      </c>
      <c r="J1365" s="156">
        <v>0.0</v>
      </c>
      <c r="K1365" s="154" t="s">
        <v>240</v>
      </c>
    </row>
    <row r="1366">
      <c r="A1366" s="154" t="s">
        <v>3644</v>
      </c>
      <c r="B1366" s="155"/>
      <c r="C1366" s="154" t="s">
        <v>3645</v>
      </c>
      <c r="D1366" s="155"/>
      <c r="E1366" s="155"/>
      <c r="F1366" s="154" t="s">
        <v>1619</v>
      </c>
      <c r="G1366" s="154">
        <v>4.3903333E7</v>
      </c>
      <c r="H1366" s="154" t="s">
        <v>1620</v>
      </c>
      <c r="I1366" s="156">
        <v>0.0</v>
      </c>
      <c r="J1366" s="156">
        <v>0.0</v>
      </c>
      <c r="K1366" s="156">
        <v>0.0</v>
      </c>
    </row>
    <row r="1367">
      <c r="A1367" s="154" t="s">
        <v>3644</v>
      </c>
      <c r="B1367" s="154" t="s">
        <v>3646</v>
      </c>
      <c r="D1367" s="154">
        <v>2.0</v>
      </c>
      <c r="E1367" s="154" t="s">
        <v>761</v>
      </c>
      <c r="F1367" s="154" t="s">
        <v>1619</v>
      </c>
      <c r="G1367" s="154">
        <v>4.3903333E7</v>
      </c>
      <c r="H1367" s="154" t="s">
        <v>1620</v>
      </c>
      <c r="I1367" s="156">
        <v>0.0</v>
      </c>
      <c r="J1367" s="156">
        <v>0.0</v>
      </c>
      <c r="K1367" s="156">
        <v>0.0</v>
      </c>
    </row>
    <row r="1368">
      <c r="A1368" s="154" t="s">
        <v>3647</v>
      </c>
      <c r="B1368" s="155"/>
      <c r="C1368" s="154" t="s">
        <v>3648</v>
      </c>
      <c r="D1368" s="155"/>
      <c r="E1368" s="155"/>
      <c r="F1368" s="154" t="s">
        <v>3649</v>
      </c>
      <c r="G1368" s="154">
        <v>4.4478102E7</v>
      </c>
      <c r="H1368" s="156">
        <v>0.0</v>
      </c>
      <c r="I1368" s="154">
        <v>5.05591976E8</v>
      </c>
      <c r="J1368" s="156">
        <v>0.0</v>
      </c>
      <c r="K1368" s="154" t="s">
        <v>361</v>
      </c>
    </row>
    <row r="1369">
      <c r="A1369" s="154" t="s">
        <v>3647</v>
      </c>
      <c r="B1369" s="154" t="s">
        <v>3650</v>
      </c>
      <c r="D1369" s="154">
        <v>2.0</v>
      </c>
      <c r="E1369" s="154" t="s">
        <v>761</v>
      </c>
      <c r="F1369" s="154" t="s">
        <v>3649</v>
      </c>
      <c r="G1369" s="154">
        <v>4.4478102E7</v>
      </c>
      <c r="H1369" s="156">
        <v>0.0</v>
      </c>
      <c r="I1369" s="154">
        <v>5.05591976E8</v>
      </c>
      <c r="J1369" s="156">
        <v>0.0</v>
      </c>
      <c r="K1369" s="154" t="s">
        <v>361</v>
      </c>
    </row>
    <row r="1370">
      <c r="A1370" s="154" t="s">
        <v>3651</v>
      </c>
      <c r="B1370" s="154" t="s">
        <v>3652</v>
      </c>
      <c r="D1370" s="154">
        <v>2.0</v>
      </c>
      <c r="E1370" s="154" t="s">
        <v>761</v>
      </c>
      <c r="F1370" s="154" t="s">
        <v>3653</v>
      </c>
      <c r="G1370" s="154">
        <v>5.06448745E8</v>
      </c>
      <c r="H1370" s="156">
        <v>0.0</v>
      </c>
      <c r="I1370" s="154">
        <v>9.71506448745E11</v>
      </c>
      <c r="J1370" s="156">
        <v>0.0</v>
      </c>
      <c r="K1370" s="154" t="s">
        <v>361</v>
      </c>
    </row>
    <row r="1371">
      <c r="A1371" s="154" t="s">
        <v>3651</v>
      </c>
      <c r="B1371" s="155"/>
      <c r="C1371" s="154" t="s">
        <v>3654</v>
      </c>
      <c r="D1371" s="155"/>
      <c r="E1371" s="155"/>
      <c r="F1371" s="154" t="s">
        <v>3653</v>
      </c>
      <c r="G1371" s="154">
        <v>5.06448745E8</v>
      </c>
      <c r="H1371" s="156">
        <v>0.0</v>
      </c>
      <c r="I1371" s="154">
        <v>9.71506448745E11</v>
      </c>
      <c r="J1371" s="156">
        <v>0.0</v>
      </c>
      <c r="K1371" s="154" t="s">
        <v>361</v>
      </c>
    </row>
    <row r="1372">
      <c r="A1372" s="154" t="s">
        <v>3655</v>
      </c>
      <c r="B1372" s="155"/>
      <c r="C1372" s="154" t="s">
        <v>3656</v>
      </c>
      <c r="D1372" s="155"/>
      <c r="E1372" s="155"/>
      <c r="F1372" s="154" t="s">
        <v>3657</v>
      </c>
      <c r="G1372" s="156">
        <v>0.0</v>
      </c>
      <c r="H1372" s="154" t="s">
        <v>3658</v>
      </c>
      <c r="I1372" s="154" t="s">
        <v>3659</v>
      </c>
      <c r="J1372" s="156">
        <v>0.0</v>
      </c>
      <c r="K1372" s="154" t="s">
        <v>914</v>
      </c>
    </row>
    <row r="1373">
      <c r="A1373" s="154" t="s">
        <v>3655</v>
      </c>
      <c r="B1373" s="154" t="s">
        <v>3660</v>
      </c>
      <c r="D1373" s="154">
        <v>2.0</v>
      </c>
      <c r="E1373" s="154" t="s">
        <v>761</v>
      </c>
      <c r="F1373" s="154" t="s">
        <v>3657</v>
      </c>
      <c r="G1373" s="156">
        <v>0.0</v>
      </c>
      <c r="H1373" s="154" t="s">
        <v>3658</v>
      </c>
      <c r="I1373" s="154" t="s">
        <v>3659</v>
      </c>
      <c r="J1373" s="156">
        <v>0.0</v>
      </c>
      <c r="K1373" s="154" t="s">
        <v>914</v>
      </c>
    </row>
    <row r="1374">
      <c r="A1374" s="154" t="s">
        <v>3661</v>
      </c>
      <c r="B1374" s="154" t="s">
        <v>3662</v>
      </c>
      <c r="D1374" s="154">
        <v>2.0</v>
      </c>
      <c r="E1374" s="154" t="s">
        <v>761</v>
      </c>
      <c r="F1374" s="154" t="s">
        <v>3663</v>
      </c>
      <c r="G1374" s="154" t="s">
        <v>3664</v>
      </c>
      <c r="H1374" s="154" t="s">
        <v>3665</v>
      </c>
      <c r="I1374" s="154" t="s">
        <v>3666</v>
      </c>
      <c r="J1374" s="156">
        <v>0.0</v>
      </c>
      <c r="K1374" s="154" t="s">
        <v>207</v>
      </c>
    </row>
    <row r="1375">
      <c r="A1375" s="154" t="s">
        <v>3661</v>
      </c>
      <c r="B1375" s="155"/>
      <c r="C1375" s="154" t="s">
        <v>3667</v>
      </c>
      <c r="D1375" s="155"/>
      <c r="E1375" s="155"/>
      <c r="F1375" s="154" t="s">
        <v>3663</v>
      </c>
      <c r="G1375" s="154" t="s">
        <v>3664</v>
      </c>
      <c r="H1375" s="154" t="s">
        <v>3665</v>
      </c>
      <c r="I1375" s="154" t="s">
        <v>3666</v>
      </c>
      <c r="J1375" s="156">
        <v>0.0</v>
      </c>
      <c r="K1375" s="154" t="s">
        <v>207</v>
      </c>
    </row>
    <row r="1376">
      <c r="A1376" s="154" t="s">
        <v>3668</v>
      </c>
      <c r="B1376" s="154" t="s">
        <v>3669</v>
      </c>
      <c r="D1376" s="154">
        <v>2.0</v>
      </c>
      <c r="E1376" s="154" t="s">
        <v>761</v>
      </c>
      <c r="F1376" s="154" t="s">
        <v>3670</v>
      </c>
      <c r="G1376" s="154">
        <v>4.6442633E7</v>
      </c>
      <c r="H1376" s="156">
        <v>0.0</v>
      </c>
      <c r="I1376" s="156">
        <v>0.0</v>
      </c>
      <c r="J1376" s="156">
        <v>0.0</v>
      </c>
      <c r="K1376" s="156">
        <v>0.0</v>
      </c>
    </row>
    <row r="1377">
      <c r="A1377" s="154" t="s">
        <v>3668</v>
      </c>
      <c r="B1377" s="155"/>
      <c r="C1377" s="154" t="s">
        <v>3671</v>
      </c>
      <c r="D1377" s="155"/>
      <c r="E1377" s="155"/>
      <c r="F1377" s="154" t="s">
        <v>3670</v>
      </c>
      <c r="G1377" s="154">
        <v>4.6442633E7</v>
      </c>
      <c r="H1377" s="156">
        <v>0.0</v>
      </c>
      <c r="I1377" s="156">
        <v>0.0</v>
      </c>
      <c r="J1377" s="156">
        <v>0.0</v>
      </c>
      <c r="K1377" s="156">
        <v>0.0</v>
      </c>
    </row>
    <row r="1378">
      <c r="A1378" s="154" t="s">
        <v>3672</v>
      </c>
      <c r="B1378" s="154" t="s">
        <v>3673</v>
      </c>
      <c r="D1378" s="154">
        <v>2.0</v>
      </c>
      <c r="E1378" s="154" t="s">
        <v>761</v>
      </c>
      <c r="F1378" s="154" t="s">
        <v>3674</v>
      </c>
      <c r="G1378" s="156">
        <v>0.0</v>
      </c>
      <c r="H1378" s="156">
        <v>0.0</v>
      </c>
      <c r="I1378" s="154" t="s">
        <v>3675</v>
      </c>
      <c r="J1378" s="154" t="s">
        <v>3676</v>
      </c>
      <c r="K1378" s="154" t="s">
        <v>2167</v>
      </c>
    </row>
    <row r="1379">
      <c r="A1379" s="154" t="s">
        <v>3672</v>
      </c>
      <c r="B1379" s="155"/>
      <c r="C1379" s="154" t="s">
        <v>3677</v>
      </c>
      <c r="D1379" s="155"/>
      <c r="E1379" s="155"/>
      <c r="F1379" s="154" t="s">
        <v>3674</v>
      </c>
      <c r="G1379" s="156">
        <v>0.0</v>
      </c>
      <c r="H1379" s="156">
        <v>0.0</v>
      </c>
      <c r="I1379" s="154" t="s">
        <v>3675</v>
      </c>
      <c r="J1379" s="154" t="s">
        <v>3676</v>
      </c>
      <c r="K1379" s="154" t="s">
        <v>2167</v>
      </c>
    </row>
    <row r="1380">
      <c r="A1380" s="154" t="s">
        <v>3678</v>
      </c>
      <c r="B1380" s="154" t="s">
        <v>3679</v>
      </c>
      <c r="D1380" s="154">
        <v>2.0</v>
      </c>
      <c r="E1380" s="154" t="s">
        <v>761</v>
      </c>
      <c r="F1380" s="154" t="s">
        <v>3680</v>
      </c>
      <c r="G1380" s="154">
        <v>0.0</v>
      </c>
      <c r="H1380" s="156">
        <v>0.0</v>
      </c>
      <c r="I1380" s="154">
        <v>9.7150478557E11</v>
      </c>
      <c r="J1380" s="156">
        <v>0.0</v>
      </c>
      <c r="K1380" s="154" t="s">
        <v>361</v>
      </c>
    </row>
    <row r="1381">
      <c r="A1381" s="154" t="s">
        <v>3678</v>
      </c>
      <c r="B1381" s="155"/>
      <c r="C1381" s="154" t="s">
        <v>3681</v>
      </c>
      <c r="D1381" s="155"/>
      <c r="E1381" s="155"/>
      <c r="F1381" s="154" t="s">
        <v>3680</v>
      </c>
      <c r="G1381" s="154">
        <v>0.0</v>
      </c>
      <c r="H1381" s="156">
        <v>0.0</v>
      </c>
      <c r="I1381" s="154">
        <v>9.7150478557E11</v>
      </c>
      <c r="J1381" s="156">
        <v>0.0</v>
      </c>
      <c r="K1381" s="154" t="s">
        <v>361</v>
      </c>
    </row>
    <row r="1382">
      <c r="A1382" s="154" t="s">
        <v>3682</v>
      </c>
      <c r="B1382" s="154" t="s">
        <v>3683</v>
      </c>
      <c r="D1382" s="154">
        <v>2.0</v>
      </c>
      <c r="E1382" s="154" t="s">
        <v>761</v>
      </c>
      <c r="F1382" s="154" t="s">
        <v>3684</v>
      </c>
      <c r="G1382" s="154" t="s">
        <v>3685</v>
      </c>
      <c r="H1382" s="156">
        <v>0.0</v>
      </c>
      <c r="I1382" s="154">
        <v>9.71505959385E11</v>
      </c>
      <c r="J1382" s="156">
        <v>0.0</v>
      </c>
      <c r="K1382" s="154" t="s">
        <v>320</v>
      </c>
    </row>
    <row r="1383">
      <c r="A1383" s="154" t="s">
        <v>3682</v>
      </c>
      <c r="B1383" s="155"/>
      <c r="C1383" s="154" t="s">
        <v>3686</v>
      </c>
      <c r="D1383" s="155"/>
      <c r="E1383" s="155"/>
      <c r="F1383" s="154" t="s">
        <v>3684</v>
      </c>
      <c r="G1383" s="154" t="s">
        <v>3685</v>
      </c>
      <c r="H1383" s="156">
        <v>0.0</v>
      </c>
      <c r="I1383" s="154">
        <v>9.71505959385E11</v>
      </c>
      <c r="J1383" s="156">
        <v>0.0</v>
      </c>
      <c r="K1383" s="154" t="s">
        <v>320</v>
      </c>
    </row>
    <row r="1384">
      <c r="A1384" s="154" t="s">
        <v>3687</v>
      </c>
      <c r="B1384" s="154" t="s">
        <v>3688</v>
      </c>
      <c r="D1384" s="154">
        <v>2.0</v>
      </c>
      <c r="E1384" s="154" t="s">
        <v>761</v>
      </c>
      <c r="F1384" s="154" t="s">
        <v>3689</v>
      </c>
      <c r="G1384" s="154">
        <v>5.06809095E8</v>
      </c>
      <c r="H1384" s="156">
        <v>0.0</v>
      </c>
      <c r="I1384" s="156">
        <v>0.0</v>
      </c>
      <c r="J1384" s="156">
        <v>0.0</v>
      </c>
      <c r="K1384" s="154" t="s">
        <v>760</v>
      </c>
    </row>
    <row r="1385">
      <c r="A1385" s="154" t="s">
        <v>3687</v>
      </c>
      <c r="B1385" s="155"/>
      <c r="C1385" s="154" t="s">
        <v>3690</v>
      </c>
      <c r="D1385" s="155"/>
      <c r="E1385" s="155"/>
      <c r="F1385" s="154" t="s">
        <v>3689</v>
      </c>
      <c r="G1385" s="154">
        <v>5.06809095E8</v>
      </c>
      <c r="H1385" s="156">
        <v>0.0</v>
      </c>
      <c r="I1385" s="156">
        <v>0.0</v>
      </c>
      <c r="J1385" s="156">
        <v>0.0</v>
      </c>
      <c r="K1385" s="154" t="s">
        <v>760</v>
      </c>
    </row>
    <row r="1386">
      <c r="A1386" s="154" t="s">
        <v>3691</v>
      </c>
      <c r="B1386" s="154" t="s">
        <v>3692</v>
      </c>
      <c r="D1386" s="154">
        <v>2.0</v>
      </c>
      <c r="E1386" s="154" t="s">
        <v>761</v>
      </c>
      <c r="F1386" s="154" t="s">
        <v>3693</v>
      </c>
      <c r="G1386" s="156">
        <v>0.0</v>
      </c>
      <c r="H1386" s="154" t="s">
        <v>3694</v>
      </c>
      <c r="I1386" s="154" t="s">
        <v>3695</v>
      </c>
      <c r="J1386" s="154" t="s">
        <v>3696</v>
      </c>
      <c r="K1386" s="154" t="s">
        <v>361</v>
      </c>
    </row>
    <row r="1387">
      <c r="A1387" s="154" t="s">
        <v>3691</v>
      </c>
      <c r="B1387" s="155"/>
      <c r="C1387" s="154" t="s">
        <v>3697</v>
      </c>
      <c r="D1387" s="155"/>
      <c r="E1387" s="155"/>
      <c r="F1387" s="154" t="s">
        <v>3693</v>
      </c>
      <c r="G1387" s="156">
        <v>0.0</v>
      </c>
      <c r="H1387" s="154" t="s">
        <v>3694</v>
      </c>
      <c r="I1387" s="154" t="s">
        <v>3695</v>
      </c>
      <c r="J1387" s="154" t="s">
        <v>3696</v>
      </c>
      <c r="K1387" s="154" t="s">
        <v>361</v>
      </c>
    </row>
    <row r="1388">
      <c r="A1388" s="154" t="s">
        <v>3698</v>
      </c>
      <c r="B1388" s="154" t="s">
        <v>3699</v>
      </c>
      <c r="D1388" s="154">
        <v>2.0</v>
      </c>
      <c r="E1388" s="154" t="s">
        <v>761</v>
      </c>
      <c r="F1388" s="154" t="s">
        <v>3653</v>
      </c>
      <c r="G1388" s="154">
        <v>5.06448745E8</v>
      </c>
      <c r="H1388" s="156">
        <v>0.0</v>
      </c>
      <c r="I1388" s="154">
        <v>9.71506448745E11</v>
      </c>
      <c r="J1388" s="156">
        <v>0.0</v>
      </c>
      <c r="K1388" s="154" t="s">
        <v>361</v>
      </c>
    </row>
    <row r="1389">
      <c r="A1389" s="154" t="s">
        <v>3698</v>
      </c>
      <c r="B1389" s="155"/>
      <c r="C1389" s="154" t="s">
        <v>3700</v>
      </c>
      <c r="D1389" s="155"/>
      <c r="E1389" s="155"/>
      <c r="F1389" s="154" t="s">
        <v>3653</v>
      </c>
      <c r="G1389" s="154">
        <v>5.06448745E8</v>
      </c>
      <c r="H1389" s="156">
        <v>0.0</v>
      </c>
      <c r="I1389" s="154">
        <v>9.71506448745E11</v>
      </c>
      <c r="J1389" s="156">
        <v>0.0</v>
      </c>
      <c r="K1389" s="154" t="s">
        <v>361</v>
      </c>
    </row>
    <row r="1390">
      <c r="A1390" s="154" t="s">
        <v>3701</v>
      </c>
      <c r="B1390" s="155"/>
      <c r="C1390" s="154" t="s">
        <v>3702</v>
      </c>
      <c r="D1390" s="155"/>
      <c r="E1390" s="155"/>
      <c r="F1390" s="154" t="s">
        <v>3703</v>
      </c>
      <c r="G1390" s="154">
        <v>5.0851975E8</v>
      </c>
      <c r="H1390" s="154" t="s">
        <v>3704</v>
      </c>
      <c r="I1390" s="156">
        <v>0.0</v>
      </c>
      <c r="J1390" s="156">
        <v>0.0</v>
      </c>
      <c r="K1390" s="156">
        <v>0.0</v>
      </c>
    </row>
    <row r="1391">
      <c r="A1391" s="154" t="s">
        <v>3701</v>
      </c>
      <c r="B1391" s="154" t="s">
        <v>3705</v>
      </c>
      <c r="D1391" s="154">
        <v>2.0</v>
      </c>
      <c r="E1391" s="154" t="s">
        <v>761</v>
      </c>
      <c r="F1391" s="154" t="s">
        <v>3703</v>
      </c>
      <c r="G1391" s="154">
        <v>5.0851975E8</v>
      </c>
      <c r="H1391" s="154" t="s">
        <v>3704</v>
      </c>
      <c r="I1391" s="156">
        <v>0.0</v>
      </c>
      <c r="J1391" s="156">
        <v>0.0</v>
      </c>
      <c r="K1391" s="156">
        <v>0.0</v>
      </c>
    </row>
    <row r="1392">
      <c r="A1392" s="154" t="s">
        <v>3706</v>
      </c>
      <c r="B1392" s="154" t="s">
        <v>3707</v>
      </c>
      <c r="D1392" s="154">
        <v>2.0</v>
      </c>
      <c r="E1392" s="154" t="s">
        <v>761</v>
      </c>
      <c r="F1392" s="154" t="s">
        <v>1206</v>
      </c>
      <c r="G1392" s="154" t="s">
        <v>1207</v>
      </c>
      <c r="H1392" s="154" t="s">
        <v>1208</v>
      </c>
      <c r="I1392" s="156">
        <v>0.0</v>
      </c>
      <c r="J1392" s="156">
        <v>0.0</v>
      </c>
      <c r="K1392" s="156">
        <v>0.0</v>
      </c>
    </row>
    <row r="1393">
      <c r="A1393" s="154" t="s">
        <v>3706</v>
      </c>
      <c r="B1393" s="155"/>
      <c r="C1393" s="154" t="s">
        <v>3708</v>
      </c>
      <c r="D1393" s="155"/>
      <c r="E1393" s="155"/>
      <c r="F1393" s="154" t="s">
        <v>1206</v>
      </c>
      <c r="G1393" s="154" t="s">
        <v>1207</v>
      </c>
      <c r="H1393" s="154" t="s">
        <v>1208</v>
      </c>
      <c r="I1393" s="156">
        <v>0.0</v>
      </c>
      <c r="J1393" s="156">
        <v>0.0</v>
      </c>
      <c r="K1393" s="156">
        <v>0.0</v>
      </c>
    </row>
    <row r="1394">
      <c r="A1394" s="154" t="s">
        <v>3709</v>
      </c>
      <c r="B1394" s="154" t="s">
        <v>3710</v>
      </c>
      <c r="D1394" s="154">
        <v>2.0</v>
      </c>
      <c r="E1394" s="154" t="s">
        <v>761</v>
      </c>
      <c r="F1394" s="154" t="s">
        <v>3711</v>
      </c>
      <c r="G1394" s="154">
        <v>5.06256398E8</v>
      </c>
      <c r="H1394" s="156">
        <v>0.0</v>
      </c>
      <c r="I1394" s="154">
        <v>5.05289605E8</v>
      </c>
      <c r="J1394" s="156">
        <v>0.0</v>
      </c>
      <c r="K1394" s="154" t="s">
        <v>361</v>
      </c>
    </row>
    <row r="1395">
      <c r="A1395" s="154" t="s">
        <v>3709</v>
      </c>
      <c r="B1395" s="155"/>
      <c r="C1395" s="154" t="s">
        <v>3712</v>
      </c>
      <c r="D1395" s="155"/>
      <c r="E1395" s="155"/>
      <c r="F1395" s="154" t="s">
        <v>3711</v>
      </c>
      <c r="G1395" s="154">
        <v>5.06256398E8</v>
      </c>
      <c r="H1395" s="156">
        <v>0.0</v>
      </c>
      <c r="I1395" s="154">
        <v>5.05289605E8</v>
      </c>
      <c r="J1395" s="156">
        <v>0.0</v>
      </c>
      <c r="K1395" s="154" t="s">
        <v>361</v>
      </c>
    </row>
    <row r="1396">
      <c r="A1396" s="154" t="s">
        <v>3713</v>
      </c>
      <c r="B1396" s="154" t="s">
        <v>3714</v>
      </c>
      <c r="D1396" s="154">
        <v>2.0</v>
      </c>
      <c r="E1396" s="154" t="s">
        <v>761</v>
      </c>
      <c r="F1396" s="154" t="s">
        <v>3715</v>
      </c>
      <c r="G1396" s="154">
        <v>5.579068E8</v>
      </c>
      <c r="H1396" s="156">
        <v>0.0</v>
      </c>
      <c r="I1396" s="156">
        <v>0.0</v>
      </c>
      <c r="J1396" s="156">
        <v>0.0</v>
      </c>
      <c r="K1396" s="154" t="s">
        <v>361</v>
      </c>
    </row>
    <row r="1397">
      <c r="A1397" s="154" t="s">
        <v>3713</v>
      </c>
      <c r="B1397" s="155"/>
      <c r="C1397" s="154" t="s">
        <v>3716</v>
      </c>
      <c r="D1397" s="155"/>
      <c r="E1397" s="155"/>
      <c r="F1397" s="154" t="s">
        <v>3715</v>
      </c>
      <c r="G1397" s="154">
        <v>5.579068E8</v>
      </c>
      <c r="H1397" s="156">
        <v>0.0</v>
      </c>
      <c r="I1397" s="156">
        <v>0.0</v>
      </c>
      <c r="J1397" s="156">
        <v>0.0</v>
      </c>
      <c r="K1397" s="154" t="s">
        <v>361</v>
      </c>
    </row>
    <row r="1398">
      <c r="A1398" s="154" t="s">
        <v>3717</v>
      </c>
      <c r="B1398" s="154" t="s">
        <v>3718</v>
      </c>
      <c r="D1398" s="154">
        <v>2.0</v>
      </c>
      <c r="E1398" s="154" t="s">
        <v>761</v>
      </c>
      <c r="F1398" s="154" t="s">
        <v>792</v>
      </c>
      <c r="G1398" s="154" t="s">
        <v>793</v>
      </c>
      <c r="H1398" s="154" t="s">
        <v>794</v>
      </c>
      <c r="I1398" s="156">
        <v>0.0</v>
      </c>
      <c r="J1398" s="156">
        <v>0.0</v>
      </c>
      <c r="K1398" s="156">
        <v>0.0</v>
      </c>
    </row>
    <row r="1399">
      <c r="A1399" s="154" t="s">
        <v>3717</v>
      </c>
      <c r="B1399" s="155"/>
      <c r="C1399" s="154" t="s">
        <v>3719</v>
      </c>
      <c r="D1399" s="155"/>
      <c r="E1399" s="155"/>
      <c r="F1399" s="154" t="s">
        <v>3720</v>
      </c>
      <c r="G1399" s="156">
        <v>0.0</v>
      </c>
      <c r="H1399" s="156">
        <v>0.0</v>
      </c>
      <c r="I1399" s="154" t="s">
        <v>1194</v>
      </c>
      <c r="J1399" s="154" t="s">
        <v>1195</v>
      </c>
      <c r="K1399" s="154" t="s">
        <v>361</v>
      </c>
    </row>
    <row r="1400">
      <c r="A1400" s="154" t="s">
        <v>3721</v>
      </c>
      <c r="B1400" s="155"/>
      <c r="C1400" s="154" t="s">
        <v>3722</v>
      </c>
      <c r="D1400" s="155"/>
      <c r="E1400" s="155"/>
      <c r="F1400" s="154" t="s">
        <v>3723</v>
      </c>
      <c r="G1400" s="154">
        <v>4.3279727E7</v>
      </c>
      <c r="H1400" s="156">
        <v>0.0</v>
      </c>
      <c r="I1400" s="154">
        <v>9.71502137823E11</v>
      </c>
      <c r="J1400" s="156">
        <v>0.0</v>
      </c>
      <c r="K1400" s="154" t="s">
        <v>1731</v>
      </c>
    </row>
    <row r="1401">
      <c r="A1401" s="154" t="s">
        <v>3721</v>
      </c>
      <c r="B1401" s="154" t="s">
        <v>3724</v>
      </c>
      <c r="D1401" s="154">
        <v>2.0</v>
      </c>
      <c r="E1401" s="154" t="s">
        <v>761</v>
      </c>
      <c r="F1401" s="154" t="s">
        <v>3723</v>
      </c>
      <c r="G1401" s="154">
        <v>4.3279727E7</v>
      </c>
      <c r="H1401" s="156">
        <v>0.0</v>
      </c>
      <c r="I1401" s="154">
        <v>9.71502137823E11</v>
      </c>
      <c r="J1401" s="156">
        <v>0.0</v>
      </c>
      <c r="K1401" s="154" t="s">
        <v>1731</v>
      </c>
    </row>
    <row r="1402">
      <c r="A1402" s="154" t="s">
        <v>3725</v>
      </c>
      <c r="B1402" s="154" t="s">
        <v>3726</v>
      </c>
      <c r="D1402" s="154">
        <v>2.0</v>
      </c>
      <c r="E1402" s="154" t="s">
        <v>761</v>
      </c>
      <c r="F1402" s="154" t="s">
        <v>3727</v>
      </c>
      <c r="G1402" s="156">
        <v>0.0</v>
      </c>
      <c r="H1402" s="154" t="s">
        <v>3728</v>
      </c>
      <c r="I1402" s="154" t="s">
        <v>3729</v>
      </c>
      <c r="J1402" s="156">
        <v>0.0</v>
      </c>
      <c r="K1402" s="154" t="s">
        <v>1059</v>
      </c>
    </row>
    <row r="1403">
      <c r="A1403" s="154" t="s">
        <v>3725</v>
      </c>
      <c r="B1403" s="155"/>
      <c r="C1403" s="154" t="s">
        <v>3730</v>
      </c>
      <c r="D1403" s="155"/>
      <c r="E1403" s="155"/>
      <c r="F1403" s="154" t="s">
        <v>3727</v>
      </c>
      <c r="G1403" s="156">
        <v>0.0</v>
      </c>
      <c r="H1403" s="154" t="s">
        <v>3728</v>
      </c>
      <c r="I1403" s="154" t="s">
        <v>3729</v>
      </c>
      <c r="J1403" s="156">
        <v>0.0</v>
      </c>
      <c r="K1403" s="154" t="s">
        <v>1059</v>
      </c>
    </row>
    <row r="1404">
      <c r="A1404" s="154" t="s">
        <v>3731</v>
      </c>
      <c r="B1404" s="155"/>
      <c r="C1404" s="154" t="s">
        <v>3732</v>
      </c>
      <c r="D1404" s="155"/>
      <c r="E1404" s="155"/>
      <c r="F1404" s="154" t="s">
        <v>3733</v>
      </c>
      <c r="G1404" s="154">
        <v>0.0</v>
      </c>
      <c r="H1404" s="156">
        <v>0.0</v>
      </c>
      <c r="I1404" s="154">
        <v>5.05534795E8</v>
      </c>
      <c r="J1404" s="156">
        <v>0.0</v>
      </c>
      <c r="K1404" s="154" t="s">
        <v>361</v>
      </c>
    </row>
    <row r="1405">
      <c r="A1405" s="154" t="s">
        <v>3731</v>
      </c>
      <c r="B1405" s="154" t="s">
        <v>3734</v>
      </c>
      <c r="D1405" s="154">
        <v>2.0</v>
      </c>
      <c r="E1405" s="154" t="s">
        <v>761</v>
      </c>
      <c r="F1405" s="154" t="s">
        <v>3733</v>
      </c>
      <c r="G1405" s="154">
        <v>0.0</v>
      </c>
      <c r="H1405" s="156">
        <v>0.0</v>
      </c>
      <c r="I1405" s="154">
        <v>5.05534795E8</v>
      </c>
      <c r="J1405" s="156">
        <v>0.0</v>
      </c>
      <c r="K1405" s="154" t="s">
        <v>361</v>
      </c>
    </row>
    <row r="1406">
      <c r="A1406" s="154" t="s">
        <v>3735</v>
      </c>
      <c r="B1406" s="155"/>
      <c r="C1406" s="154" t="s">
        <v>3736</v>
      </c>
      <c r="D1406" s="155"/>
      <c r="E1406" s="155"/>
      <c r="F1406" s="154" t="s">
        <v>3737</v>
      </c>
      <c r="G1406" s="156">
        <v>0.0</v>
      </c>
      <c r="H1406" s="154" t="s">
        <v>3738</v>
      </c>
      <c r="I1406" s="154" t="s">
        <v>3739</v>
      </c>
      <c r="J1406" s="156">
        <v>0.0</v>
      </c>
      <c r="K1406" s="154" t="s">
        <v>361</v>
      </c>
    </row>
    <row r="1407">
      <c r="A1407" s="154" t="s">
        <v>3735</v>
      </c>
      <c r="B1407" s="154" t="s">
        <v>3740</v>
      </c>
      <c r="D1407" s="154">
        <v>2.0</v>
      </c>
      <c r="E1407" s="154" t="s">
        <v>761</v>
      </c>
      <c r="F1407" s="154" t="s">
        <v>3737</v>
      </c>
      <c r="G1407" s="156">
        <v>0.0</v>
      </c>
      <c r="H1407" s="154" t="s">
        <v>3738</v>
      </c>
      <c r="I1407" s="154" t="s">
        <v>3739</v>
      </c>
      <c r="J1407" s="156">
        <v>0.0</v>
      </c>
      <c r="K1407" s="154" t="s">
        <v>361</v>
      </c>
    </row>
    <row r="1408">
      <c r="A1408" s="154" t="s">
        <v>3741</v>
      </c>
      <c r="B1408" s="155"/>
      <c r="C1408" s="154" t="s">
        <v>3742</v>
      </c>
      <c r="D1408" s="155"/>
      <c r="E1408" s="155"/>
      <c r="F1408" s="154" t="s">
        <v>3743</v>
      </c>
      <c r="G1408" s="154">
        <v>4.0</v>
      </c>
      <c r="H1408" s="156">
        <v>0.0</v>
      </c>
      <c r="I1408" s="154">
        <v>5.04567835E8</v>
      </c>
      <c r="J1408" s="156">
        <v>0.0</v>
      </c>
      <c r="K1408" s="154" t="s">
        <v>361</v>
      </c>
    </row>
    <row r="1409">
      <c r="A1409" s="154" t="s">
        <v>3741</v>
      </c>
      <c r="B1409" s="154" t="s">
        <v>3744</v>
      </c>
      <c r="D1409" s="154">
        <v>2.0</v>
      </c>
      <c r="E1409" s="154" t="s">
        <v>761</v>
      </c>
      <c r="F1409" s="154" t="s">
        <v>3743</v>
      </c>
      <c r="G1409" s="154">
        <v>4.0</v>
      </c>
      <c r="H1409" s="156">
        <v>0.0</v>
      </c>
      <c r="I1409" s="154">
        <v>5.04567835E8</v>
      </c>
      <c r="J1409" s="156">
        <v>0.0</v>
      </c>
      <c r="K1409" s="154" t="s">
        <v>361</v>
      </c>
    </row>
    <row r="1410">
      <c r="A1410" s="154" t="s">
        <v>3745</v>
      </c>
      <c r="B1410" s="154" t="s">
        <v>3746</v>
      </c>
      <c r="D1410" s="154">
        <v>2.0</v>
      </c>
      <c r="E1410" s="154" t="s">
        <v>761</v>
      </c>
      <c r="F1410" s="154" t="s">
        <v>3747</v>
      </c>
      <c r="G1410" s="154">
        <v>40.0</v>
      </c>
      <c r="H1410" s="154" t="s">
        <v>3748</v>
      </c>
      <c r="I1410" s="154">
        <v>9.71505531561E11</v>
      </c>
      <c r="J1410" s="156">
        <v>0.0</v>
      </c>
      <c r="K1410" s="154" t="s">
        <v>1059</v>
      </c>
    </row>
    <row r="1411">
      <c r="A1411" s="154" t="s">
        <v>3745</v>
      </c>
      <c r="B1411" s="155"/>
      <c r="C1411" s="154" t="s">
        <v>3749</v>
      </c>
      <c r="D1411" s="155"/>
      <c r="E1411" s="155"/>
      <c r="F1411" s="154" t="s">
        <v>1206</v>
      </c>
      <c r="G1411" s="154" t="s">
        <v>1207</v>
      </c>
      <c r="H1411" s="154" t="s">
        <v>1208</v>
      </c>
      <c r="I1411" s="156">
        <v>0.0</v>
      </c>
      <c r="J1411" s="156">
        <v>0.0</v>
      </c>
      <c r="K1411" s="156">
        <v>0.0</v>
      </c>
    </row>
    <row r="1412">
      <c r="A1412" s="154" t="s">
        <v>3750</v>
      </c>
      <c r="B1412" s="155"/>
      <c r="C1412" s="154" t="s">
        <v>3751</v>
      </c>
      <c r="D1412" s="155"/>
      <c r="E1412" s="155"/>
      <c r="F1412" s="154" t="s">
        <v>3752</v>
      </c>
      <c r="G1412" s="154">
        <v>5.06556808E8</v>
      </c>
      <c r="H1412" s="154" t="s">
        <v>3753</v>
      </c>
      <c r="I1412" s="156">
        <v>0.0</v>
      </c>
      <c r="J1412" s="156">
        <v>0.0</v>
      </c>
      <c r="K1412" s="156">
        <v>0.0</v>
      </c>
    </row>
    <row r="1413">
      <c r="A1413" s="154" t="s">
        <v>3750</v>
      </c>
      <c r="B1413" s="154" t="s">
        <v>3754</v>
      </c>
      <c r="D1413" s="154">
        <v>2.0</v>
      </c>
      <c r="E1413" s="154" t="s">
        <v>761</v>
      </c>
      <c r="F1413" s="154" t="s">
        <v>3752</v>
      </c>
      <c r="G1413" s="154">
        <v>5.06556808E8</v>
      </c>
      <c r="H1413" s="154" t="s">
        <v>3753</v>
      </c>
      <c r="I1413" s="156">
        <v>0.0</v>
      </c>
      <c r="J1413" s="156">
        <v>0.0</v>
      </c>
      <c r="K1413" s="156">
        <v>0.0</v>
      </c>
    </row>
    <row r="1414">
      <c r="A1414" s="154" t="s">
        <v>3755</v>
      </c>
      <c r="B1414" s="155"/>
      <c r="C1414" s="154" t="s">
        <v>3756</v>
      </c>
      <c r="D1414" s="155"/>
      <c r="E1414" s="155"/>
      <c r="F1414" s="154" t="s">
        <v>3757</v>
      </c>
      <c r="G1414" s="156">
        <v>0.0</v>
      </c>
      <c r="H1414" s="156">
        <v>0.0</v>
      </c>
      <c r="I1414" s="154">
        <v>5.5850185E8</v>
      </c>
      <c r="J1414" s="156">
        <v>0.0</v>
      </c>
      <c r="K1414" s="154" t="s">
        <v>361</v>
      </c>
    </row>
    <row r="1415">
      <c r="A1415" s="154" t="s">
        <v>3755</v>
      </c>
      <c r="B1415" s="154" t="s">
        <v>3758</v>
      </c>
      <c r="D1415" s="154">
        <v>2.0</v>
      </c>
      <c r="E1415" s="154" t="s">
        <v>761</v>
      </c>
      <c r="F1415" s="154" t="s">
        <v>3759</v>
      </c>
      <c r="G1415" s="154">
        <v>5.06557299E8</v>
      </c>
      <c r="H1415" s="156">
        <v>0.0</v>
      </c>
      <c r="I1415" s="154">
        <v>5.5850185E8</v>
      </c>
      <c r="J1415" s="156">
        <v>0.0</v>
      </c>
      <c r="K1415" s="154" t="s">
        <v>361</v>
      </c>
    </row>
    <row r="1416">
      <c r="A1416" s="154" t="s">
        <v>3760</v>
      </c>
      <c r="B1416" s="154" t="s">
        <v>3761</v>
      </c>
      <c r="D1416" s="154">
        <v>2.0</v>
      </c>
      <c r="E1416" s="154" t="s">
        <v>761</v>
      </c>
      <c r="F1416" s="154" t="s">
        <v>769</v>
      </c>
      <c r="G1416" s="154">
        <v>4.367312E7</v>
      </c>
      <c r="H1416" s="156">
        <v>0.0</v>
      </c>
      <c r="I1416" s="156">
        <v>0.0</v>
      </c>
      <c r="J1416" s="156">
        <v>0.0</v>
      </c>
      <c r="K1416" s="156">
        <v>0.0</v>
      </c>
    </row>
    <row r="1417">
      <c r="A1417" s="154" t="s">
        <v>3760</v>
      </c>
      <c r="B1417" s="155"/>
      <c r="C1417" s="154" t="s">
        <v>3762</v>
      </c>
      <c r="D1417" s="155"/>
      <c r="E1417" s="155"/>
      <c r="F1417" s="154" t="s">
        <v>769</v>
      </c>
      <c r="G1417" s="154">
        <v>4.367312E7</v>
      </c>
      <c r="H1417" s="156">
        <v>0.0</v>
      </c>
      <c r="I1417" s="156">
        <v>0.0</v>
      </c>
      <c r="J1417" s="156">
        <v>0.0</v>
      </c>
      <c r="K1417" s="156">
        <v>0.0</v>
      </c>
    </row>
    <row r="1418">
      <c r="A1418" s="154" t="s">
        <v>3763</v>
      </c>
      <c r="B1418" s="154" t="s">
        <v>3764</v>
      </c>
      <c r="D1418" s="154">
        <v>2.0</v>
      </c>
      <c r="E1418" s="154" t="s">
        <v>761</v>
      </c>
      <c r="F1418" s="154" t="s">
        <v>975</v>
      </c>
      <c r="G1418" s="155">
        <f t="shared" ref="G1418:G1423" si="9">+97144478101</f>
        <v>97144478101</v>
      </c>
      <c r="H1418" s="154" t="s">
        <v>976</v>
      </c>
      <c r="I1418" s="156">
        <v>0.0</v>
      </c>
      <c r="J1418" s="156">
        <v>0.0</v>
      </c>
      <c r="K1418" s="156">
        <v>0.0</v>
      </c>
    </row>
    <row r="1419">
      <c r="A1419" s="154" t="s">
        <v>3763</v>
      </c>
      <c r="B1419" s="155"/>
      <c r="C1419" s="154" t="s">
        <v>3765</v>
      </c>
      <c r="D1419" s="155"/>
      <c r="E1419" s="155"/>
      <c r="F1419" s="154" t="s">
        <v>975</v>
      </c>
      <c r="G1419" s="155">
        <f t="shared" si="9"/>
        <v>97144478101</v>
      </c>
      <c r="H1419" s="154" t="s">
        <v>976</v>
      </c>
      <c r="I1419" s="156">
        <v>0.0</v>
      </c>
      <c r="J1419" s="156">
        <v>0.0</v>
      </c>
      <c r="K1419" s="156">
        <v>0.0</v>
      </c>
    </row>
    <row r="1420">
      <c r="A1420" s="154" t="s">
        <v>3766</v>
      </c>
      <c r="B1420" s="155"/>
      <c r="C1420" s="154" t="s">
        <v>3767</v>
      </c>
      <c r="D1420" s="155"/>
      <c r="E1420" s="155"/>
      <c r="F1420" s="154" t="s">
        <v>975</v>
      </c>
      <c r="G1420" s="155">
        <f t="shared" si="9"/>
        <v>97144478101</v>
      </c>
      <c r="H1420" s="154" t="s">
        <v>976</v>
      </c>
      <c r="I1420" s="156">
        <v>0.0</v>
      </c>
      <c r="J1420" s="156">
        <v>0.0</v>
      </c>
      <c r="K1420" s="156">
        <v>0.0</v>
      </c>
    </row>
    <row r="1421">
      <c r="A1421" s="154" t="s">
        <v>3766</v>
      </c>
      <c r="B1421" s="154" t="s">
        <v>3768</v>
      </c>
      <c r="D1421" s="154">
        <v>2.0</v>
      </c>
      <c r="E1421" s="154" t="s">
        <v>761</v>
      </c>
      <c r="F1421" s="154" t="s">
        <v>975</v>
      </c>
      <c r="G1421" s="155">
        <f t="shared" si="9"/>
        <v>97144478101</v>
      </c>
      <c r="H1421" s="154" t="s">
        <v>976</v>
      </c>
      <c r="I1421" s="156">
        <v>0.0</v>
      </c>
      <c r="J1421" s="156">
        <v>0.0</v>
      </c>
      <c r="K1421" s="156">
        <v>0.0</v>
      </c>
    </row>
    <row r="1422">
      <c r="A1422" s="154" t="s">
        <v>3769</v>
      </c>
      <c r="B1422" s="155"/>
      <c r="C1422" s="154" t="s">
        <v>3770</v>
      </c>
      <c r="D1422" s="155"/>
      <c r="E1422" s="155"/>
      <c r="F1422" s="154" t="s">
        <v>975</v>
      </c>
      <c r="G1422" s="155">
        <f t="shared" si="9"/>
        <v>97144478101</v>
      </c>
      <c r="H1422" s="154" t="s">
        <v>976</v>
      </c>
      <c r="I1422" s="156">
        <v>0.0</v>
      </c>
      <c r="J1422" s="156">
        <v>0.0</v>
      </c>
      <c r="K1422" s="156">
        <v>0.0</v>
      </c>
    </row>
    <row r="1423">
      <c r="A1423" s="154" t="s">
        <v>3769</v>
      </c>
      <c r="B1423" s="154" t="s">
        <v>3771</v>
      </c>
      <c r="D1423" s="154">
        <v>2.0</v>
      </c>
      <c r="E1423" s="154" t="s">
        <v>761</v>
      </c>
      <c r="F1423" s="154" t="s">
        <v>975</v>
      </c>
      <c r="G1423" s="155">
        <f t="shared" si="9"/>
        <v>97144478101</v>
      </c>
      <c r="H1423" s="154" t="s">
        <v>976</v>
      </c>
      <c r="I1423" s="156">
        <v>0.0</v>
      </c>
      <c r="J1423" s="156">
        <v>0.0</v>
      </c>
      <c r="K1423" s="156">
        <v>0.0</v>
      </c>
    </row>
    <row r="1424">
      <c r="A1424" s="154" t="s">
        <v>3772</v>
      </c>
      <c r="B1424" s="155"/>
      <c r="C1424" s="154" t="s">
        <v>3773</v>
      </c>
      <c r="D1424" s="155"/>
      <c r="E1424" s="155"/>
      <c r="F1424" s="154" t="s">
        <v>3774</v>
      </c>
      <c r="G1424" s="154">
        <v>971.0</v>
      </c>
      <c r="H1424" s="156">
        <v>0.0</v>
      </c>
      <c r="I1424" s="154" t="s">
        <v>3775</v>
      </c>
      <c r="J1424" s="154" t="s">
        <v>3776</v>
      </c>
      <c r="K1424" s="154" t="s">
        <v>361</v>
      </c>
    </row>
    <row r="1425">
      <c r="A1425" s="154" t="s">
        <v>3772</v>
      </c>
      <c r="B1425" s="154" t="s">
        <v>3773</v>
      </c>
      <c r="D1425" s="154">
        <v>2.0</v>
      </c>
      <c r="E1425" s="154" t="s">
        <v>761</v>
      </c>
      <c r="F1425" s="154" t="s">
        <v>3774</v>
      </c>
      <c r="G1425" s="154">
        <v>971.0</v>
      </c>
      <c r="H1425" s="156">
        <v>0.0</v>
      </c>
      <c r="I1425" s="154" t="s">
        <v>3775</v>
      </c>
      <c r="J1425" s="154" t="s">
        <v>3776</v>
      </c>
      <c r="K1425" s="154" t="s">
        <v>361</v>
      </c>
    </row>
    <row r="1426">
      <c r="A1426" s="154" t="s">
        <v>3777</v>
      </c>
      <c r="B1426" s="154" t="s">
        <v>3778</v>
      </c>
      <c r="D1426" s="154">
        <v>2.0</v>
      </c>
      <c r="E1426" s="154" t="s">
        <v>761</v>
      </c>
      <c r="F1426" s="154" t="s">
        <v>792</v>
      </c>
      <c r="G1426" s="154" t="s">
        <v>793</v>
      </c>
      <c r="H1426" s="154" t="s">
        <v>794</v>
      </c>
      <c r="I1426" s="156">
        <v>0.0</v>
      </c>
      <c r="J1426" s="156">
        <v>0.0</v>
      </c>
      <c r="K1426" s="156">
        <v>0.0</v>
      </c>
    </row>
    <row r="1427">
      <c r="A1427" s="154" t="s">
        <v>3777</v>
      </c>
      <c r="B1427" s="155"/>
      <c r="C1427" s="154" t="s">
        <v>3778</v>
      </c>
      <c r="D1427" s="155"/>
      <c r="E1427" s="155"/>
      <c r="F1427" s="154" t="s">
        <v>3779</v>
      </c>
      <c r="G1427" s="154">
        <v>4.8812222E7</v>
      </c>
      <c r="H1427" s="156">
        <v>0.0</v>
      </c>
      <c r="I1427" s="154">
        <v>5.04579076E8</v>
      </c>
      <c r="J1427" s="156">
        <v>0.0</v>
      </c>
      <c r="K1427" s="154" t="s">
        <v>776</v>
      </c>
    </row>
    <row r="1428">
      <c r="A1428" s="154" t="s">
        <v>3780</v>
      </c>
      <c r="B1428" s="155"/>
      <c r="C1428" s="154" t="s">
        <v>3781</v>
      </c>
      <c r="D1428" s="155"/>
      <c r="E1428" s="155"/>
      <c r="F1428" s="154" t="s">
        <v>3782</v>
      </c>
      <c r="G1428" s="154">
        <v>6.5305715E7</v>
      </c>
      <c r="H1428" s="156">
        <v>0.0</v>
      </c>
      <c r="I1428" s="154">
        <v>5.0540942E8</v>
      </c>
      <c r="J1428" s="156">
        <v>0.0</v>
      </c>
      <c r="K1428" s="154" t="s">
        <v>361</v>
      </c>
    </row>
    <row r="1429">
      <c r="A1429" s="154" t="s">
        <v>3780</v>
      </c>
      <c r="B1429" s="154" t="s">
        <v>3781</v>
      </c>
      <c r="D1429" s="154">
        <v>2.0</v>
      </c>
      <c r="E1429" s="154" t="s">
        <v>761</v>
      </c>
      <c r="F1429" s="154" t="s">
        <v>3783</v>
      </c>
      <c r="G1429" s="156">
        <v>0.0</v>
      </c>
      <c r="H1429" s="156">
        <v>0.0</v>
      </c>
      <c r="I1429" s="154">
        <v>5.0540942E8</v>
      </c>
      <c r="J1429" s="156">
        <v>0.0</v>
      </c>
      <c r="K1429" s="154" t="s">
        <v>361</v>
      </c>
    </row>
    <row r="1430">
      <c r="A1430" s="154" t="s">
        <v>3784</v>
      </c>
      <c r="B1430" s="155"/>
      <c r="C1430" s="154" t="s">
        <v>3785</v>
      </c>
      <c r="D1430" s="155"/>
      <c r="E1430" s="155"/>
      <c r="F1430" s="154" t="s">
        <v>3786</v>
      </c>
      <c r="G1430" s="154">
        <v>4.3902282E7</v>
      </c>
      <c r="H1430" s="154" t="s">
        <v>1185</v>
      </c>
      <c r="I1430" s="156">
        <v>0.0</v>
      </c>
      <c r="J1430" s="156">
        <v>0.0</v>
      </c>
      <c r="K1430" s="156">
        <v>0.0</v>
      </c>
    </row>
    <row r="1431">
      <c r="A1431" s="154" t="s">
        <v>3784</v>
      </c>
      <c r="B1431" s="154" t="s">
        <v>3785</v>
      </c>
      <c r="D1431" s="154">
        <v>2.0</v>
      </c>
      <c r="E1431" s="154" t="s">
        <v>761</v>
      </c>
      <c r="F1431" s="154" t="s">
        <v>3787</v>
      </c>
      <c r="G1431" s="156">
        <v>0.0</v>
      </c>
      <c r="H1431" s="154" t="s">
        <v>1185</v>
      </c>
      <c r="I1431" s="154" t="s">
        <v>3788</v>
      </c>
      <c r="J1431" s="156">
        <v>0.0</v>
      </c>
      <c r="K1431" s="154" t="s">
        <v>240</v>
      </c>
    </row>
    <row r="1432">
      <c r="A1432" s="154" t="s">
        <v>3789</v>
      </c>
      <c r="B1432" s="154" t="s">
        <v>3790</v>
      </c>
      <c r="D1432" s="154">
        <v>2.0</v>
      </c>
      <c r="E1432" s="154" t="s">
        <v>761</v>
      </c>
      <c r="F1432" s="154" t="s">
        <v>3791</v>
      </c>
      <c r="G1432" s="154">
        <v>3365625.0</v>
      </c>
      <c r="H1432" s="154" t="s">
        <v>3792</v>
      </c>
      <c r="I1432" s="154">
        <v>9.71504516315E11</v>
      </c>
      <c r="J1432" s="156">
        <v>0.0</v>
      </c>
      <c r="K1432" s="154" t="s">
        <v>361</v>
      </c>
    </row>
    <row r="1433">
      <c r="A1433" s="154" t="s">
        <v>3789</v>
      </c>
      <c r="B1433" s="155"/>
      <c r="C1433" s="154" t="s">
        <v>3790</v>
      </c>
      <c r="D1433" s="155"/>
      <c r="E1433" s="155"/>
      <c r="F1433" s="154" t="s">
        <v>3791</v>
      </c>
      <c r="G1433" s="154">
        <v>3365625.0</v>
      </c>
      <c r="H1433" s="154" t="s">
        <v>3792</v>
      </c>
      <c r="I1433" s="154">
        <v>9.71504516315E11</v>
      </c>
      <c r="J1433" s="156">
        <v>0.0</v>
      </c>
      <c r="K1433" s="154" t="s">
        <v>361</v>
      </c>
    </row>
    <row r="1434">
      <c r="A1434" s="154" t="s">
        <v>3793</v>
      </c>
      <c r="B1434" s="155"/>
      <c r="C1434" s="154" t="s">
        <v>3794</v>
      </c>
      <c r="D1434" s="155"/>
      <c r="E1434" s="155"/>
      <c r="F1434" s="154" t="s">
        <v>3795</v>
      </c>
      <c r="G1434" s="154">
        <v>4.3608898E7</v>
      </c>
      <c r="H1434" s="156">
        <v>0.0</v>
      </c>
      <c r="I1434" s="154">
        <v>5.01486205E8</v>
      </c>
      <c r="J1434" s="156">
        <v>0.0</v>
      </c>
      <c r="K1434" s="154" t="s">
        <v>818</v>
      </c>
    </row>
    <row r="1435">
      <c r="A1435" s="154" t="s">
        <v>3793</v>
      </c>
      <c r="B1435" s="154" t="s">
        <v>3794</v>
      </c>
      <c r="D1435" s="154">
        <v>2.0</v>
      </c>
      <c r="E1435" s="154" t="s">
        <v>761</v>
      </c>
      <c r="F1435" s="154" t="s">
        <v>3795</v>
      </c>
      <c r="G1435" s="154">
        <v>4.3608898E7</v>
      </c>
      <c r="H1435" s="156">
        <v>0.0</v>
      </c>
      <c r="I1435" s="154">
        <v>5.01486205E8</v>
      </c>
      <c r="J1435" s="156">
        <v>0.0</v>
      </c>
      <c r="K1435" s="154" t="s">
        <v>818</v>
      </c>
    </row>
    <row r="1436">
      <c r="A1436" s="154" t="s">
        <v>3796</v>
      </c>
      <c r="B1436" s="154" t="s">
        <v>3797</v>
      </c>
      <c r="D1436" s="154">
        <v>2.0</v>
      </c>
      <c r="E1436" s="154" t="s">
        <v>761</v>
      </c>
      <c r="F1436" s="154" t="s">
        <v>3798</v>
      </c>
      <c r="G1436" s="154">
        <v>4.44021E7</v>
      </c>
      <c r="H1436" s="156">
        <v>0.0</v>
      </c>
      <c r="I1436" s="156">
        <v>0.0</v>
      </c>
      <c r="J1436" s="156">
        <v>0.0</v>
      </c>
      <c r="K1436" s="156">
        <v>0.0</v>
      </c>
    </row>
    <row r="1437">
      <c r="A1437" s="154" t="s">
        <v>3796</v>
      </c>
      <c r="B1437" s="155"/>
      <c r="C1437" s="154" t="s">
        <v>3797</v>
      </c>
      <c r="D1437" s="155"/>
      <c r="E1437" s="155"/>
      <c r="F1437" s="154" t="s">
        <v>3798</v>
      </c>
      <c r="G1437" s="154">
        <v>4.44021E7</v>
      </c>
      <c r="H1437" s="156">
        <v>0.0</v>
      </c>
      <c r="I1437" s="156">
        <v>0.0</v>
      </c>
      <c r="J1437" s="156">
        <v>0.0</v>
      </c>
      <c r="K1437" s="156">
        <v>0.0</v>
      </c>
    </row>
    <row r="1438">
      <c r="A1438" s="154" t="s">
        <v>3799</v>
      </c>
      <c r="B1438" s="154" t="s">
        <v>3800</v>
      </c>
      <c r="D1438" s="154">
        <v>2.0</v>
      </c>
      <c r="E1438" s="154" t="s">
        <v>761</v>
      </c>
      <c r="F1438" s="154" t="s">
        <v>3801</v>
      </c>
      <c r="G1438" s="154">
        <v>2.68158E7</v>
      </c>
      <c r="H1438" s="154" t="s">
        <v>3802</v>
      </c>
      <c r="I1438" s="154" t="s">
        <v>3803</v>
      </c>
      <c r="J1438" s="156">
        <v>0.0</v>
      </c>
      <c r="K1438" s="154" t="s">
        <v>3804</v>
      </c>
    </row>
    <row r="1439">
      <c r="A1439" s="154" t="s">
        <v>3799</v>
      </c>
      <c r="B1439" s="155"/>
      <c r="C1439" s="154" t="s">
        <v>3800</v>
      </c>
      <c r="D1439" s="155"/>
      <c r="E1439" s="155"/>
      <c r="F1439" s="154" t="s">
        <v>3801</v>
      </c>
      <c r="G1439" s="154">
        <v>2.68158E7</v>
      </c>
      <c r="H1439" s="154" t="s">
        <v>3802</v>
      </c>
      <c r="I1439" s="154" t="s">
        <v>3803</v>
      </c>
      <c r="J1439" s="156">
        <v>0.0</v>
      </c>
      <c r="K1439" s="154" t="s">
        <v>3804</v>
      </c>
    </row>
    <row r="1440">
      <c r="A1440" s="154" t="s">
        <v>3805</v>
      </c>
      <c r="B1440" s="154" t="s">
        <v>3806</v>
      </c>
      <c r="D1440" s="154">
        <v>2.0</v>
      </c>
      <c r="E1440" s="154" t="s">
        <v>761</v>
      </c>
      <c r="F1440" s="154" t="s">
        <v>3807</v>
      </c>
      <c r="G1440" s="154">
        <v>5.52048666E8</v>
      </c>
      <c r="H1440" s="156">
        <v>0.0</v>
      </c>
      <c r="I1440" s="156">
        <v>0.0</v>
      </c>
      <c r="J1440" s="156">
        <v>0.0</v>
      </c>
      <c r="K1440" s="156">
        <v>0.0</v>
      </c>
    </row>
    <row r="1441">
      <c r="A1441" s="154" t="s">
        <v>3805</v>
      </c>
      <c r="B1441" s="155"/>
      <c r="C1441" s="154" t="s">
        <v>3806</v>
      </c>
      <c r="D1441" s="155"/>
      <c r="E1441" s="155"/>
      <c r="F1441" s="154" t="s">
        <v>3807</v>
      </c>
      <c r="G1441" s="154">
        <v>5.52048666E8</v>
      </c>
      <c r="H1441" s="156">
        <v>0.0</v>
      </c>
      <c r="I1441" s="156">
        <v>0.0</v>
      </c>
      <c r="J1441" s="156">
        <v>0.0</v>
      </c>
      <c r="K1441" s="156">
        <v>0.0</v>
      </c>
    </row>
    <row r="1442">
      <c r="A1442" s="154" t="s">
        <v>3808</v>
      </c>
      <c r="B1442" s="154" t="s">
        <v>3809</v>
      </c>
      <c r="D1442" s="154">
        <v>2.0</v>
      </c>
      <c r="E1442" s="154" t="s">
        <v>761</v>
      </c>
      <c r="F1442" s="154" t="s">
        <v>792</v>
      </c>
      <c r="G1442" s="154" t="s">
        <v>793</v>
      </c>
      <c r="H1442" s="154" t="s">
        <v>794</v>
      </c>
      <c r="I1442" s="156">
        <v>0.0</v>
      </c>
      <c r="J1442" s="156">
        <v>0.0</v>
      </c>
      <c r="K1442" s="156">
        <v>0.0</v>
      </c>
    </row>
    <row r="1443">
      <c r="A1443" s="154" t="s">
        <v>3808</v>
      </c>
      <c r="B1443" s="155"/>
      <c r="C1443" s="154" t="s">
        <v>3809</v>
      </c>
      <c r="D1443" s="155"/>
      <c r="E1443" s="155"/>
      <c r="F1443" s="154" t="s">
        <v>3810</v>
      </c>
      <c r="G1443" s="154">
        <v>4.2273033E7</v>
      </c>
      <c r="H1443" s="156">
        <v>0.0</v>
      </c>
      <c r="I1443" s="154">
        <v>5.5684379E7</v>
      </c>
      <c r="J1443" s="156">
        <v>0.0</v>
      </c>
      <c r="K1443" s="154" t="s">
        <v>259</v>
      </c>
    </row>
    <row r="1444">
      <c r="A1444" s="154" t="s">
        <v>3811</v>
      </c>
      <c r="B1444" s="155"/>
      <c r="C1444" s="154" t="s">
        <v>3812</v>
      </c>
      <c r="D1444" s="155"/>
      <c r="E1444" s="155"/>
      <c r="F1444" s="154" t="s">
        <v>3813</v>
      </c>
      <c r="G1444" s="156">
        <v>0.0</v>
      </c>
      <c r="H1444" s="156">
        <v>0.0</v>
      </c>
      <c r="I1444" s="154" t="s">
        <v>853</v>
      </c>
      <c r="J1444" s="154" t="s">
        <v>809</v>
      </c>
      <c r="K1444" s="154" t="s">
        <v>3814</v>
      </c>
    </row>
    <row r="1445">
      <c r="A1445" s="154" t="s">
        <v>3811</v>
      </c>
      <c r="B1445" s="154" t="s">
        <v>3812</v>
      </c>
      <c r="D1445" s="154">
        <v>2.0</v>
      </c>
      <c r="E1445" s="154" t="s">
        <v>761</v>
      </c>
      <c r="F1445" s="154" t="s">
        <v>3813</v>
      </c>
      <c r="G1445" s="156">
        <v>0.0</v>
      </c>
      <c r="H1445" s="156">
        <v>0.0</v>
      </c>
      <c r="I1445" s="154" t="s">
        <v>853</v>
      </c>
      <c r="J1445" s="154" t="s">
        <v>809</v>
      </c>
      <c r="K1445" s="154" t="s">
        <v>3814</v>
      </c>
    </row>
    <row r="1446">
      <c r="A1446" s="154" t="s">
        <v>3815</v>
      </c>
      <c r="B1446" s="155"/>
      <c r="C1446" s="154" t="s">
        <v>3816</v>
      </c>
      <c r="D1446" s="155"/>
      <c r="E1446" s="155"/>
      <c r="F1446" s="154" t="s">
        <v>3817</v>
      </c>
      <c r="G1446" s="154">
        <v>4.3214646E7</v>
      </c>
      <c r="H1446" s="156">
        <v>0.0</v>
      </c>
      <c r="I1446" s="154">
        <v>1.0</v>
      </c>
      <c r="J1446" s="156">
        <v>0.0</v>
      </c>
      <c r="K1446" s="154" t="s">
        <v>259</v>
      </c>
    </row>
    <row r="1447">
      <c r="A1447" s="154" t="s">
        <v>3815</v>
      </c>
      <c r="B1447" s="154" t="s">
        <v>3816</v>
      </c>
      <c r="D1447" s="154">
        <v>2.0</v>
      </c>
      <c r="E1447" s="154" t="s">
        <v>761</v>
      </c>
      <c r="F1447" s="154" t="s">
        <v>3817</v>
      </c>
      <c r="G1447" s="154">
        <v>4.3214646E7</v>
      </c>
      <c r="H1447" s="156">
        <v>0.0</v>
      </c>
      <c r="I1447" s="154">
        <v>1.0</v>
      </c>
      <c r="J1447" s="156">
        <v>0.0</v>
      </c>
      <c r="K1447" s="154" t="s">
        <v>259</v>
      </c>
    </row>
    <row r="1448">
      <c r="A1448" s="154" t="s">
        <v>3818</v>
      </c>
      <c r="B1448" s="155"/>
      <c r="C1448" s="154" t="s">
        <v>3819</v>
      </c>
      <c r="D1448" s="155"/>
      <c r="E1448" s="155"/>
      <c r="F1448" s="154" t="s">
        <v>3820</v>
      </c>
      <c r="G1448" s="156">
        <v>0.0</v>
      </c>
      <c r="H1448" s="154" t="s">
        <v>3821</v>
      </c>
      <c r="I1448" s="154" t="s">
        <v>3822</v>
      </c>
      <c r="J1448" s="154" t="s">
        <v>3823</v>
      </c>
      <c r="K1448" s="154" t="s">
        <v>361</v>
      </c>
    </row>
    <row r="1449">
      <c r="A1449" s="154" t="s">
        <v>3818</v>
      </c>
      <c r="B1449" s="154" t="s">
        <v>3819</v>
      </c>
      <c r="D1449" s="154">
        <v>2.0</v>
      </c>
      <c r="E1449" s="154" t="s">
        <v>761</v>
      </c>
      <c r="F1449" s="154" t="s">
        <v>3820</v>
      </c>
      <c r="G1449" s="156">
        <v>0.0</v>
      </c>
      <c r="H1449" s="154" t="s">
        <v>3821</v>
      </c>
      <c r="I1449" s="154" t="s">
        <v>3822</v>
      </c>
      <c r="J1449" s="154" t="s">
        <v>3823</v>
      </c>
      <c r="K1449" s="154" t="s">
        <v>361</v>
      </c>
    </row>
    <row r="1450">
      <c r="A1450" s="154" t="s">
        <v>3824</v>
      </c>
      <c r="B1450" s="155"/>
      <c r="C1450" s="154" t="s">
        <v>3825</v>
      </c>
      <c r="D1450" s="155"/>
      <c r="E1450" s="155"/>
      <c r="F1450" s="154" t="s">
        <v>3826</v>
      </c>
      <c r="G1450" s="154">
        <v>5.53005944E8</v>
      </c>
      <c r="H1450" s="156">
        <v>0.0</v>
      </c>
      <c r="I1450" s="156">
        <v>0.0</v>
      </c>
      <c r="J1450" s="156">
        <v>0.0</v>
      </c>
      <c r="K1450" s="154" t="s">
        <v>259</v>
      </c>
    </row>
    <row r="1451">
      <c r="A1451" s="154" t="s">
        <v>3824</v>
      </c>
      <c r="B1451" s="154" t="s">
        <v>3825</v>
      </c>
      <c r="D1451" s="154">
        <v>2.0</v>
      </c>
      <c r="E1451" s="154" t="s">
        <v>761</v>
      </c>
      <c r="F1451" s="154" t="s">
        <v>3826</v>
      </c>
      <c r="G1451" s="154">
        <v>5.53005944E8</v>
      </c>
      <c r="H1451" s="156">
        <v>0.0</v>
      </c>
      <c r="I1451" s="156">
        <v>0.0</v>
      </c>
      <c r="J1451" s="156">
        <v>0.0</v>
      </c>
      <c r="K1451" s="154" t="s">
        <v>259</v>
      </c>
    </row>
    <row r="1452">
      <c r="A1452" s="154" t="s">
        <v>3827</v>
      </c>
      <c r="B1452" s="155"/>
      <c r="C1452" s="154" t="s">
        <v>3828</v>
      </c>
      <c r="D1452" s="155"/>
      <c r="E1452" s="155"/>
      <c r="F1452" s="154" t="s">
        <v>3829</v>
      </c>
      <c r="G1452" s="156">
        <v>0.0</v>
      </c>
      <c r="H1452" s="154" t="s">
        <v>3830</v>
      </c>
      <c r="I1452" s="154" t="s">
        <v>3831</v>
      </c>
      <c r="J1452" s="154" t="s">
        <v>809</v>
      </c>
      <c r="K1452" s="154" t="s">
        <v>329</v>
      </c>
    </row>
    <row r="1453">
      <c r="A1453" s="154" t="s">
        <v>3827</v>
      </c>
      <c r="B1453" s="154" t="s">
        <v>3828</v>
      </c>
      <c r="D1453" s="154">
        <v>2.0</v>
      </c>
      <c r="E1453" s="154" t="s">
        <v>761</v>
      </c>
      <c r="F1453" s="154" t="s">
        <v>3829</v>
      </c>
      <c r="G1453" s="156">
        <v>0.0</v>
      </c>
      <c r="H1453" s="154" t="s">
        <v>3830</v>
      </c>
      <c r="I1453" s="154" t="s">
        <v>3831</v>
      </c>
      <c r="J1453" s="154" t="s">
        <v>809</v>
      </c>
      <c r="K1453" s="154" t="s">
        <v>329</v>
      </c>
    </row>
    <row r="1454">
      <c r="A1454" s="154" t="s">
        <v>3832</v>
      </c>
      <c r="B1454" s="154" t="s">
        <v>3833</v>
      </c>
      <c r="D1454" s="154">
        <v>2.0</v>
      </c>
      <c r="E1454" s="154" t="s">
        <v>761</v>
      </c>
      <c r="F1454" s="154" t="s">
        <v>3834</v>
      </c>
      <c r="G1454" s="156">
        <v>0.0</v>
      </c>
      <c r="H1454" s="156">
        <v>0.0</v>
      </c>
      <c r="I1454" s="154">
        <v>5.06423693E8</v>
      </c>
      <c r="J1454" s="156">
        <v>0.0</v>
      </c>
      <c r="K1454" s="154" t="s">
        <v>1196</v>
      </c>
    </row>
    <row r="1455">
      <c r="A1455" s="154" t="s">
        <v>3832</v>
      </c>
      <c r="B1455" s="155"/>
      <c r="C1455" s="154" t="s">
        <v>3833</v>
      </c>
      <c r="D1455" s="155"/>
      <c r="E1455" s="155"/>
      <c r="F1455" s="154" t="s">
        <v>3834</v>
      </c>
      <c r="G1455" s="156">
        <v>0.0</v>
      </c>
      <c r="H1455" s="156">
        <v>0.0</v>
      </c>
      <c r="I1455" s="154">
        <v>5.06423693E8</v>
      </c>
      <c r="J1455" s="156">
        <v>0.0</v>
      </c>
      <c r="K1455" s="154" t="s">
        <v>1196</v>
      </c>
    </row>
    <row r="1456">
      <c r="A1456" s="154" t="s">
        <v>3835</v>
      </c>
      <c r="B1456" s="154" t="s">
        <v>3836</v>
      </c>
      <c r="D1456" s="154">
        <v>2.0</v>
      </c>
      <c r="E1456" s="154" t="s">
        <v>761</v>
      </c>
      <c r="F1456" s="154" t="s">
        <v>3837</v>
      </c>
      <c r="G1456" s="154">
        <v>4.880188E7</v>
      </c>
      <c r="H1456" s="156">
        <v>0.0</v>
      </c>
      <c r="I1456" s="156">
        <v>0.0</v>
      </c>
      <c r="J1456" s="156">
        <v>0.0</v>
      </c>
      <c r="K1456" s="154" t="s">
        <v>3838</v>
      </c>
    </row>
    <row r="1457">
      <c r="A1457" s="154" t="s">
        <v>3835</v>
      </c>
      <c r="B1457" s="155"/>
      <c r="C1457" s="154" t="s">
        <v>3836</v>
      </c>
      <c r="D1457" s="155"/>
      <c r="E1457" s="155"/>
      <c r="F1457" s="154" t="s">
        <v>3837</v>
      </c>
      <c r="G1457" s="154">
        <v>4.880188E7</v>
      </c>
      <c r="H1457" s="156">
        <v>0.0</v>
      </c>
      <c r="I1457" s="156">
        <v>0.0</v>
      </c>
      <c r="J1457" s="156">
        <v>0.0</v>
      </c>
      <c r="K1457" s="154" t="s">
        <v>3838</v>
      </c>
    </row>
    <row r="1458">
      <c r="A1458" s="154" t="s">
        <v>3839</v>
      </c>
      <c r="B1458" s="154" t="s">
        <v>3840</v>
      </c>
      <c r="D1458" s="154">
        <v>2.0</v>
      </c>
      <c r="E1458" s="154" t="s">
        <v>761</v>
      </c>
      <c r="F1458" s="154" t="s">
        <v>3841</v>
      </c>
      <c r="G1458" s="156">
        <v>0.0</v>
      </c>
      <c r="H1458" s="154" t="s">
        <v>3842</v>
      </c>
      <c r="I1458" s="154" t="s">
        <v>3843</v>
      </c>
      <c r="J1458" s="156">
        <v>0.0</v>
      </c>
      <c r="K1458" s="154" t="s">
        <v>223</v>
      </c>
    </row>
    <row r="1459">
      <c r="A1459" s="154" t="s">
        <v>3839</v>
      </c>
      <c r="B1459" s="155"/>
      <c r="C1459" s="154" t="s">
        <v>3840</v>
      </c>
      <c r="D1459" s="155"/>
      <c r="E1459" s="155"/>
      <c r="F1459" s="154" t="s">
        <v>3841</v>
      </c>
      <c r="G1459" s="156">
        <v>0.0</v>
      </c>
      <c r="H1459" s="154" t="s">
        <v>3842</v>
      </c>
      <c r="I1459" s="154" t="s">
        <v>3843</v>
      </c>
      <c r="J1459" s="156">
        <v>0.0</v>
      </c>
      <c r="K1459" s="154" t="s">
        <v>223</v>
      </c>
    </row>
    <row r="1460">
      <c r="A1460" s="154" t="s">
        <v>3844</v>
      </c>
      <c r="B1460" s="154" t="s">
        <v>3845</v>
      </c>
      <c r="D1460" s="154">
        <v>2.0</v>
      </c>
      <c r="E1460" s="154" t="s">
        <v>761</v>
      </c>
      <c r="F1460" s="154" t="s">
        <v>3846</v>
      </c>
      <c r="G1460" s="154" t="s">
        <v>3847</v>
      </c>
      <c r="H1460" s="154" t="s">
        <v>3848</v>
      </c>
      <c r="I1460" s="154">
        <v>5.55524365E8</v>
      </c>
      <c r="J1460" s="156">
        <v>0.0</v>
      </c>
      <c r="K1460" s="154" t="s">
        <v>301</v>
      </c>
    </row>
    <row r="1461">
      <c r="A1461" s="154" t="s">
        <v>3844</v>
      </c>
      <c r="B1461" s="155"/>
      <c r="C1461" s="154" t="s">
        <v>3845</v>
      </c>
      <c r="D1461" s="155"/>
      <c r="E1461" s="155"/>
      <c r="F1461" s="154" t="s">
        <v>3846</v>
      </c>
      <c r="G1461" s="154" t="s">
        <v>3847</v>
      </c>
      <c r="H1461" s="154" t="s">
        <v>3848</v>
      </c>
      <c r="I1461" s="154">
        <v>5.55524365E8</v>
      </c>
      <c r="J1461" s="156">
        <v>0.0</v>
      </c>
      <c r="K1461" s="154" t="s">
        <v>301</v>
      </c>
    </row>
    <row r="1462">
      <c r="A1462" s="154" t="s">
        <v>3849</v>
      </c>
      <c r="B1462" s="154" t="s">
        <v>3850</v>
      </c>
      <c r="D1462" s="154">
        <v>2.0</v>
      </c>
      <c r="E1462" s="154" t="s">
        <v>761</v>
      </c>
      <c r="F1462" s="154" t="s">
        <v>3851</v>
      </c>
      <c r="G1462" s="154">
        <v>0.0</v>
      </c>
      <c r="H1462" s="156">
        <v>0.0</v>
      </c>
      <c r="I1462" s="154">
        <v>0.0</v>
      </c>
      <c r="J1462" s="156">
        <v>0.0</v>
      </c>
      <c r="K1462" s="154" t="s">
        <v>301</v>
      </c>
    </row>
    <row r="1463">
      <c r="A1463" s="154" t="s">
        <v>3849</v>
      </c>
      <c r="B1463" s="155"/>
      <c r="C1463" s="154" t="s">
        <v>3850</v>
      </c>
      <c r="D1463" s="155"/>
      <c r="E1463" s="155"/>
      <c r="F1463" s="154" t="s">
        <v>3851</v>
      </c>
      <c r="G1463" s="154">
        <v>0.0</v>
      </c>
      <c r="H1463" s="156">
        <v>0.0</v>
      </c>
      <c r="I1463" s="154">
        <v>0.0</v>
      </c>
      <c r="J1463" s="156">
        <v>0.0</v>
      </c>
      <c r="K1463" s="154" t="s">
        <v>301</v>
      </c>
    </row>
    <row r="1464">
      <c r="A1464" s="154" t="s">
        <v>3852</v>
      </c>
      <c r="B1464" s="155"/>
      <c r="C1464" s="154" t="s">
        <v>3853</v>
      </c>
      <c r="D1464" s="155"/>
      <c r="E1464" s="155"/>
      <c r="F1464" s="154" t="s">
        <v>3854</v>
      </c>
      <c r="G1464" s="154">
        <v>5.61135977E8</v>
      </c>
      <c r="H1464" s="156">
        <v>0.0</v>
      </c>
      <c r="I1464" s="156">
        <v>0.0</v>
      </c>
      <c r="J1464" s="156">
        <v>0.0</v>
      </c>
      <c r="K1464" s="154" t="s">
        <v>361</v>
      </c>
    </row>
    <row r="1465">
      <c r="A1465" s="154" t="s">
        <v>3852</v>
      </c>
      <c r="B1465" s="154" t="s">
        <v>3853</v>
      </c>
      <c r="D1465" s="154">
        <v>2.0</v>
      </c>
      <c r="E1465" s="154" t="s">
        <v>761</v>
      </c>
      <c r="F1465" s="154" t="s">
        <v>3854</v>
      </c>
      <c r="G1465" s="154">
        <v>5.61135977E8</v>
      </c>
      <c r="H1465" s="156">
        <v>0.0</v>
      </c>
      <c r="I1465" s="156">
        <v>0.0</v>
      </c>
      <c r="J1465" s="156">
        <v>0.0</v>
      </c>
      <c r="K1465" s="154" t="s">
        <v>361</v>
      </c>
    </row>
    <row r="1466">
      <c r="A1466" s="154" t="s">
        <v>3855</v>
      </c>
      <c r="B1466" s="154" t="s">
        <v>3856</v>
      </c>
      <c r="D1466" s="154">
        <v>2.0</v>
      </c>
      <c r="E1466" s="154" t="s">
        <v>761</v>
      </c>
      <c r="F1466" s="154" t="s">
        <v>3857</v>
      </c>
      <c r="G1466" s="156">
        <v>0.0</v>
      </c>
      <c r="H1466" s="154" t="s">
        <v>3858</v>
      </c>
      <c r="I1466" s="154" t="s">
        <v>3859</v>
      </c>
      <c r="J1466" s="156">
        <v>0.0</v>
      </c>
      <c r="K1466" s="154" t="s">
        <v>361</v>
      </c>
    </row>
    <row r="1467">
      <c r="A1467" s="154" t="s">
        <v>3855</v>
      </c>
      <c r="B1467" s="155"/>
      <c r="C1467" s="154" t="s">
        <v>3856</v>
      </c>
      <c r="D1467" s="155"/>
      <c r="E1467" s="155"/>
      <c r="F1467" s="154" t="s">
        <v>3857</v>
      </c>
      <c r="G1467" s="156">
        <v>0.0</v>
      </c>
      <c r="H1467" s="154" t="s">
        <v>3858</v>
      </c>
      <c r="I1467" s="154" t="s">
        <v>3859</v>
      </c>
      <c r="J1467" s="156">
        <v>0.0</v>
      </c>
      <c r="K1467" s="154" t="s">
        <v>361</v>
      </c>
    </row>
    <row r="1468">
      <c r="A1468" s="154" t="s">
        <v>3860</v>
      </c>
      <c r="B1468" s="155"/>
      <c r="C1468" s="154" t="s">
        <v>3861</v>
      </c>
      <c r="D1468" s="155"/>
      <c r="E1468" s="155"/>
      <c r="F1468" s="154" t="s">
        <v>3862</v>
      </c>
      <c r="G1468" s="154">
        <v>5.05538192E8</v>
      </c>
      <c r="H1468" s="156">
        <v>0.0</v>
      </c>
      <c r="I1468" s="156">
        <v>0.0</v>
      </c>
      <c r="J1468" s="156">
        <v>0.0</v>
      </c>
      <c r="K1468" s="154" t="s">
        <v>301</v>
      </c>
    </row>
    <row r="1469">
      <c r="A1469" s="154" t="s">
        <v>3860</v>
      </c>
      <c r="B1469" s="154" t="s">
        <v>3861</v>
      </c>
      <c r="D1469" s="154">
        <v>2.0</v>
      </c>
      <c r="E1469" s="154" t="s">
        <v>761</v>
      </c>
      <c r="F1469" s="154" t="s">
        <v>3862</v>
      </c>
      <c r="G1469" s="154">
        <v>5.05538192E8</v>
      </c>
      <c r="H1469" s="156">
        <v>0.0</v>
      </c>
      <c r="I1469" s="156">
        <v>0.0</v>
      </c>
      <c r="J1469" s="156">
        <v>0.0</v>
      </c>
      <c r="K1469" s="154" t="s">
        <v>301</v>
      </c>
    </row>
    <row r="1470">
      <c r="A1470" s="154" t="s">
        <v>3863</v>
      </c>
      <c r="B1470" s="155"/>
      <c r="C1470" s="154" t="s">
        <v>3864</v>
      </c>
      <c r="D1470" s="155"/>
      <c r="E1470" s="155"/>
      <c r="F1470" s="154" t="s">
        <v>3865</v>
      </c>
      <c r="G1470" s="156">
        <v>0.0</v>
      </c>
      <c r="H1470" s="156">
        <v>0.0</v>
      </c>
      <c r="I1470" s="154" t="s">
        <v>3866</v>
      </c>
      <c r="J1470" s="156">
        <v>0.0</v>
      </c>
      <c r="K1470" s="154" t="s">
        <v>3867</v>
      </c>
    </row>
    <row r="1471">
      <c r="A1471" s="154" t="s">
        <v>3863</v>
      </c>
      <c r="B1471" s="154" t="s">
        <v>3864</v>
      </c>
      <c r="D1471" s="154">
        <v>2.0</v>
      </c>
      <c r="E1471" s="154" t="s">
        <v>761</v>
      </c>
      <c r="F1471" s="154" t="s">
        <v>1190</v>
      </c>
      <c r="G1471" s="154">
        <v>5.0851975E8</v>
      </c>
      <c r="H1471" s="154" t="s">
        <v>1191</v>
      </c>
      <c r="I1471" s="156">
        <v>0.0</v>
      </c>
      <c r="J1471" s="156">
        <v>0.0</v>
      </c>
      <c r="K1471" s="156">
        <v>0.0</v>
      </c>
    </row>
    <row r="1472">
      <c r="A1472" s="154" t="s">
        <v>3868</v>
      </c>
      <c r="B1472" s="154" t="s">
        <v>3869</v>
      </c>
      <c r="D1472" s="154">
        <v>2.0</v>
      </c>
      <c r="E1472" s="154" t="s">
        <v>761</v>
      </c>
      <c r="F1472" s="154" t="s">
        <v>2203</v>
      </c>
      <c r="G1472" s="154">
        <v>5.09126362E8</v>
      </c>
      <c r="H1472" s="154" t="s">
        <v>2204</v>
      </c>
      <c r="I1472" s="155">
        <f t="shared" ref="I1472:I1473" si="10">+923218209698</f>
        <v>923218209698</v>
      </c>
      <c r="J1472" s="156">
        <v>0.0</v>
      </c>
      <c r="K1472" s="154" t="s">
        <v>760</v>
      </c>
    </row>
    <row r="1473">
      <c r="A1473" s="154" t="s">
        <v>3868</v>
      </c>
      <c r="B1473" s="155"/>
      <c r="C1473" s="154" t="s">
        <v>3869</v>
      </c>
      <c r="D1473" s="155"/>
      <c r="E1473" s="155"/>
      <c r="F1473" s="154" t="s">
        <v>2203</v>
      </c>
      <c r="G1473" s="154">
        <v>5.09126362E8</v>
      </c>
      <c r="H1473" s="154" t="s">
        <v>2204</v>
      </c>
      <c r="I1473" s="155">
        <f t="shared" si="10"/>
        <v>923218209698</v>
      </c>
      <c r="J1473" s="156">
        <v>0.0</v>
      </c>
      <c r="K1473" s="154" t="s">
        <v>760</v>
      </c>
    </row>
    <row r="1474">
      <c r="A1474" s="154" t="s">
        <v>3870</v>
      </c>
      <c r="B1474" s="155"/>
      <c r="C1474" s="154" t="s">
        <v>3871</v>
      </c>
      <c r="D1474" s="155"/>
      <c r="E1474" s="155"/>
      <c r="F1474" s="154" t="s">
        <v>1190</v>
      </c>
      <c r="G1474" s="154">
        <v>5.0851975E8</v>
      </c>
      <c r="H1474" s="154" t="s">
        <v>1191</v>
      </c>
      <c r="I1474" s="156">
        <v>0.0</v>
      </c>
      <c r="J1474" s="156">
        <v>0.0</v>
      </c>
      <c r="K1474" s="156">
        <v>0.0</v>
      </c>
    </row>
    <row r="1475">
      <c r="A1475" s="154" t="s">
        <v>3870</v>
      </c>
      <c r="B1475" s="154" t="s">
        <v>3871</v>
      </c>
      <c r="D1475" s="154">
        <v>2.0</v>
      </c>
      <c r="E1475" s="154" t="s">
        <v>761</v>
      </c>
      <c r="F1475" s="154" t="s">
        <v>1190</v>
      </c>
      <c r="G1475" s="154">
        <v>5.0851975E8</v>
      </c>
      <c r="H1475" s="154" t="s">
        <v>1191</v>
      </c>
      <c r="I1475" s="156">
        <v>0.0</v>
      </c>
      <c r="J1475" s="156">
        <v>0.0</v>
      </c>
      <c r="K1475" s="156">
        <v>0.0</v>
      </c>
    </row>
    <row r="1476">
      <c r="A1476" s="154" t="s">
        <v>3872</v>
      </c>
      <c r="B1476" s="154" t="s">
        <v>3873</v>
      </c>
      <c r="D1476" s="154">
        <v>2.0</v>
      </c>
      <c r="E1476" s="154" t="s">
        <v>761</v>
      </c>
      <c r="F1476" s="154" t="s">
        <v>3874</v>
      </c>
      <c r="G1476" s="156">
        <v>0.0</v>
      </c>
      <c r="H1476" s="156">
        <v>0.0</v>
      </c>
      <c r="I1476" s="154" t="s">
        <v>3875</v>
      </c>
      <c r="J1476" s="156">
        <v>0.0</v>
      </c>
      <c r="K1476" s="154" t="s">
        <v>301</v>
      </c>
    </row>
    <row r="1477">
      <c r="A1477" s="154" t="s">
        <v>3872</v>
      </c>
      <c r="B1477" s="155"/>
      <c r="C1477" s="154" t="s">
        <v>3873</v>
      </c>
      <c r="D1477" s="155"/>
      <c r="E1477" s="155"/>
      <c r="F1477" s="154" t="s">
        <v>3874</v>
      </c>
      <c r="G1477" s="156">
        <v>0.0</v>
      </c>
      <c r="H1477" s="156">
        <v>0.0</v>
      </c>
      <c r="I1477" s="154" t="s">
        <v>3875</v>
      </c>
      <c r="J1477" s="156">
        <v>0.0</v>
      </c>
      <c r="K1477" s="154" t="s">
        <v>301</v>
      </c>
    </row>
    <row r="1478">
      <c r="A1478" s="154" t="s">
        <v>3876</v>
      </c>
      <c r="B1478" s="154" t="s">
        <v>3877</v>
      </c>
      <c r="D1478" s="154">
        <v>2.0</v>
      </c>
      <c r="E1478" s="154" t="s">
        <v>761</v>
      </c>
      <c r="F1478" s="154" t="s">
        <v>3878</v>
      </c>
      <c r="G1478" s="154">
        <v>4.3350715E7</v>
      </c>
      <c r="H1478" s="156">
        <v>0.0</v>
      </c>
      <c r="I1478" s="154">
        <v>9.7150456153E11</v>
      </c>
      <c r="J1478" s="156">
        <v>0.0</v>
      </c>
      <c r="K1478" s="154" t="s">
        <v>361</v>
      </c>
    </row>
    <row r="1479">
      <c r="A1479" s="154" t="s">
        <v>3876</v>
      </c>
      <c r="B1479" s="155"/>
      <c r="C1479" s="154" t="s">
        <v>3877</v>
      </c>
      <c r="D1479" s="155"/>
      <c r="E1479" s="155"/>
      <c r="F1479" s="154" t="s">
        <v>3878</v>
      </c>
      <c r="G1479" s="154">
        <v>4.3350715E7</v>
      </c>
      <c r="H1479" s="156">
        <v>0.0</v>
      </c>
      <c r="I1479" s="154">
        <v>9.7150456153E11</v>
      </c>
      <c r="J1479" s="156">
        <v>0.0</v>
      </c>
      <c r="K1479" s="154" t="s">
        <v>361</v>
      </c>
    </row>
    <row r="1480">
      <c r="A1480" s="154" t="s">
        <v>3879</v>
      </c>
      <c r="B1480" s="154" t="s">
        <v>3880</v>
      </c>
      <c r="D1480" s="154">
        <v>2.0</v>
      </c>
      <c r="E1480" s="154" t="s">
        <v>761</v>
      </c>
      <c r="F1480" s="154" t="s">
        <v>792</v>
      </c>
      <c r="G1480" s="154" t="s">
        <v>793</v>
      </c>
      <c r="H1480" s="154" t="s">
        <v>794</v>
      </c>
      <c r="I1480" s="156">
        <v>0.0</v>
      </c>
      <c r="J1480" s="156">
        <v>0.0</v>
      </c>
      <c r="K1480" s="156">
        <v>0.0</v>
      </c>
    </row>
    <row r="1481">
      <c r="A1481" s="154" t="s">
        <v>3879</v>
      </c>
      <c r="B1481" s="155"/>
      <c r="C1481" s="154" t="s">
        <v>3880</v>
      </c>
      <c r="D1481" s="155"/>
      <c r="E1481" s="155"/>
      <c r="F1481" s="154" t="s">
        <v>3881</v>
      </c>
      <c r="G1481" s="154">
        <v>0.0</v>
      </c>
      <c r="H1481" s="156">
        <v>0.0</v>
      </c>
      <c r="I1481" s="154">
        <v>9.7150552523E11</v>
      </c>
      <c r="J1481" s="156">
        <v>0.0</v>
      </c>
      <c r="K1481" s="154" t="s">
        <v>259</v>
      </c>
    </row>
    <row r="1482">
      <c r="A1482" s="154" t="s">
        <v>3882</v>
      </c>
      <c r="B1482" s="154" t="s">
        <v>3883</v>
      </c>
      <c r="D1482" s="154">
        <v>2.0</v>
      </c>
      <c r="E1482" s="154" t="s">
        <v>761</v>
      </c>
      <c r="F1482" s="154" t="s">
        <v>3884</v>
      </c>
      <c r="G1482" s="156">
        <v>0.0</v>
      </c>
      <c r="H1482" s="154" t="s">
        <v>3885</v>
      </c>
      <c r="I1482" s="154" t="s">
        <v>3886</v>
      </c>
      <c r="J1482" s="156">
        <v>0.0</v>
      </c>
      <c r="K1482" s="154" t="s">
        <v>301</v>
      </c>
    </row>
    <row r="1483">
      <c r="A1483" s="154" t="s">
        <v>3882</v>
      </c>
      <c r="B1483" s="155"/>
      <c r="C1483" s="154" t="s">
        <v>3883</v>
      </c>
      <c r="D1483" s="155"/>
      <c r="E1483" s="155"/>
      <c r="F1483" s="154" t="s">
        <v>3884</v>
      </c>
      <c r="G1483" s="156">
        <v>0.0</v>
      </c>
      <c r="H1483" s="154" t="s">
        <v>3885</v>
      </c>
      <c r="I1483" s="154" t="s">
        <v>3886</v>
      </c>
      <c r="J1483" s="156">
        <v>0.0</v>
      </c>
      <c r="K1483" s="154" t="s">
        <v>301</v>
      </c>
    </row>
    <row r="1484">
      <c r="A1484" s="154" t="s">
        <v>3887</v>
      </c>
      <c r="B1484" s="154" t="s">
        <v>3888</v>
      </c>
      <c r="D1484" s="154">
        <v>2.0</v>
      </c>
      <c r="E1484" s="154" t="s">
        <v>761</v>
      </c>
      <c r="F1484" s="154" t="s">
        <v>3889</v>
      </c>
      <c r="G1484" s="156">
        <v>0.0</v>
      </c>
      <c r="H1484" s="156">
        <v>0.0</v>
      </c>
      <c r="I1484" s="154" t="s">
        <v>3890</v>
      </c>
      <c r="J1484" s="156">
        <v>0.0</v>
      </c>
      <c r="K1484" s="154" t="s">
        <v>361</v>
      </c>
    </row>
    <row r="1485">
      <c r="A1485" s="154" t="s">
        <v>3887</v>
      </c>
      <c r="B1485" s="155"/>
      <c r="C1485" s="154" t="s">
        <v>3888</v>
      </c>
      <c r="D1485" s="155"/>
      <c r="E1485" s="155"/>
      <c r="F1485" s="154" t="s">
        <v>3889</v>
      </c>
      <c r="G1485" s="156">
        <v>0.0</v>
      </c>
      <c r="H1485" s="156">
        <v>0.0</v>
      </c>
      <c r="I1485" s="154" t="s">
        <v>3890</v>
      </c>
      <c r="J1485" s="156">
        <v>0.0</v>
      </c>
      <c r="K1485" s="154" t="s">
        <v>361</v>
      </c>
    </row>
    <row r="1486">
      <c r="A1486" s="154" t="s">
        <v>3891</v>
      </c>
      <c r="B1486" s="154" t="s">
        <v>3892</v>
      </c>
      <c r="C1486" s="155"/>
      <c r="D1486" s="154">
        <v>2.0</v>
      </c>
      <c r="E1486" s="154" t="s">
        <v>897</v>
      </c>
      <c r="F1486" s="154" t="s">
        <v>3893</v>
      </c>
      <c r="G1486" s="156">
        <v>0.0</v>
      </c>
      <c r="H1486" s="156">
        <v>0.0</v>
      </c>
      <c r="I1486" s="154">
        <v>9.71506450136E11</v>
      </c>
      <c r="J1486" s="156">
        <v>0.0</v>
      </c>
      <c r="K1486" s="154" t="s">
        <v>361</v>
      </c>
    </row>
    <row r="1487">
      <c r="A1487" s="154" t="s">
        <v>3891</v>
      </c>
      <c r="B1487" s="155"/>
      <c r="C1487" s="154" t="s">
        <v>3892</v>
      </c>
      <c r="D1487" s="155"/>
      <c r="E1487" s="155"/>
      <c r="F1487" s="154" t="s">
        <v>3893</v>
      </c>
      <c r="G1487" s="156">
        <v>0.0</v>
      </c>
      <c r="H1487" s="156">
        <v>0.0</v>
      </c>
      <c r="I1487" s="154">
        <v>9.71506450136E11</v>
      </c>
      <c r="J1487" s="156">
        <v>0.0</v>
      </c>
      <c r="K1487" s="154" t="s">
        <v>361</v>
      </c>
    </row>
    <row r="1488">
      <c r="A1488" s="154" t="s">
        <v>3894</v>
      </c>
      <c r="B1488" s="155"/>
      <c r="C1488" s="154" t="s">
        <v>3895</v>
      </c>
      <c r="D1488" s="155"/>
      <c r="E1488" s="155"/>
      <c r="F1488" s="154" t="s">
        <v>3896</v>
      </c>
      <c r="G1488" s="154">
        <v>4.3551882E7</v>
      </c>
      <c r="H1488" s="156">
        <v>0.0</v>
      </c>
      <c r="I1488" s="154">
        <v>9.71506580688E11</v>
      </c>
      <c r="J1488" s="156">
        <v>0.0</v>
      </c>
      <c r="K1488" s="154" t="s">
        <v>361</v>
      </c>
    </row>
    <row r="1489">
      <c r="A1489" s="154" t="s">
        <v>3894</v>
      </c>
      <c r="B1489" s="154" t="s">
        <v>3895</v>
      </c>
      <c r="C1489" s="155"/>
      <c r="D1489" s="154">
        <v>2.0</v>
      </c>
      <c r="E1489" s="154" t="s">
        <v>897</v>
      </c>
      <c r="F1489" s="154" t="s">
        <v>3896</v>
      </c>
      <c r="G1489" s="154">
        <v>4.3551882E7</v>
      </c>
      <c r="H1489" s="156">
        <v>0.0</v>
      </c>
      <c r="I1489" s="154">
        <v>9.71506580688E11</v>
      </c>
      <c r="J1489" s="156">
        <v>0.0</v>
      </c>
      <c r="K1489" s="154" t="s">
        <v>361</v>
      </c>
    </row>
    <row r="1490">
      <c r="A1490" s="154" t="s">
        <v>3897</v>
      </c>
      <c r="B1490" s="155"/>
      <c r="C1490" s="154" t="s">
        <v>3898</v>
      </c>
      <c r="D1490" s="155"/>
      <c r="E1490" s="155"/>
      <c r="F1490" s="154" t="s">
        <v>3899</v>
      </c>
      <c r="G1490" s="154">
        <v>5.05593518E8</v>
      </c>
      <c r="H1490" s="156">
        <v>0.0</v>
      </c>
      <c r="I1490" s="156">
        <v>0.0</v>
      </c>
      <c r="J1490" s="156">
        <v>0.0</v>
      </c>
      <c r="K1490" s="156">
        <v>0.0</v>
      </c>
    </row>
    <row r="1491">
      <c r="A1491" s="154" t="s">
        <v>3897</v>
      </c>
      <c r="B1491" s="154" t="s">
        <v>3898</v>
      </c>
      <c r="C1491" s="155"/>
      <c r="D1491" s="154">
        <v>2.0</v>
      </c>
      <c r="E1491" s="154" t="s">
        <v>897</v>
      </c>
      <c r="F1491" s="154" t="s">
        <v>3900</v>
      </c>
      <c r="G1491" s="156">
        <v>0.0</v>
      </c>
      <c r="H1491" s="154" t="s">
        <v>3901</v>
      </c>
      <c r="I1491" s="154" t="s">
        <v>3902</v>
      </c>
      <c r="J1491" s="156">
        <v>0.0</v>
      </c>
      <c r="K1491" s="154" t="s">
        <v>361</v>
      </c>
    </row>
    <row r="1492">
      <c r="A1492" s="154" t="s">
        <v>3903</v>
      </c>
      <c r="B1492" s="154" t="s">
        <v>3904</v>
      </c>
      <c r="C1492" s="155"/>
      <c r="D1492" s="154">
        <v>2.0</v>
      </c>
      <c r="E1492" s="154" t="s">
        <v>897</v>
      </c>
      <c r="F1492" s="154" t="s">
        <v>3905</v>
      </c>
      <c r="G1492" s="154">
        <v>4.29444E7</v>
      </c>
      <c r="H1492" s="156">
        <v>0.0</v>
      </c>
      <c r="I1492" s="154">
        <v>5.01522334E8</v>
      </c>
      <c r="J1492" s="156">
        <v>0.0</v>
      </c>
      <c r="K1492" s="154" t="s">
        <v>341</v>
      </c>
    </row>
    <row r="1493">
      <c r="A1493" s="154" t="s">
        <v>3903</v>
      </c>
      <c r="B1493" s="155"/>
      <c r="C1493" s="154" t="s">
        <v>3904</v>
      </c>
      <c r="D1493" s="155"/>
      <c r="E1493" s="155"/>
      <c r="F1493" s="154" t="s">
        <v>3905</v>
      </c>
      <c r="G1493" s="154">
        <v>4.29444E7</v>
      </c>
      <c r="H1493" s="156">
        <v>0.0</v>
      </c>
      <c r="I1493" s="154">
        <v>5.01522334E8</v>
      </c>
      <c r="J1493" s="156">
        <v>0.0</v>
      </c>
      <c r="K1493" s="154" t="s">
        <v>341</v>
      </c>
    </row>
    <row r="1494">
      <c r="A1494" s="154" t="s">
        <v>3906</v>
      </c>
      <c r="B1494" s="154" t="s">
        <v>3907</v>
      </c>
      <c r="C1494" s="155"/>
      <c r="D1494" s="154">
        <v>2.0</v>
      </c>
      <c r="E1494" s="154" t="s">
        <v>897</v>
      </c>
      <c r="F1494" s="154" t="s">
        <v>1619</v>
      </c>
      <c r="G1494" s="154">
        <v>4.3903333E7</v>
      </c>
      <c r="H1494" s="154" t="s">
        <v>1620</v>
      </c>
      <c r="I1494" s="156">
        <v>0.0</v>
      </c>
      <c r="J1494" s="156">
        <v>0.0</v>
      </c>
      <c r="K1494" s="156">
        <v>0.0</v>
      </c>
    </row>
    <row r="1495">
      <c r="A1495" s="154" t="s">
        <v>3906</v>
      </c>
      <c r="B1495" s="155"/>
      <c r="C1495" s="154" t="s">
        <v>3907</v>
      </c>
      <c r="D1495" s="155"/>
      <c r="E1495" s="155"/>
      <c r="F1495" s="154" t="s">
        <v>3436</v>
      </c>
      <c r="G1495" s="154" t="s">
        <v>3908</v>
      </c>
      <c r="H1495" s="154" t="s">
        <v>3909</v>
      </c>
      <c r="I1495" s="156">
        <v>0.0</v>
      </c>
      <c r="J1495" s="156">
        <v>0.0</v>
      </c>
      <c r="K1495" s="156">
        <v>0.0</v>
      </c>
    </row>
    <row r="1496">
      <c r="A1496" s="154" t="s">
        <v>3910</v>
      </c>
      <c r="B1496" s="154" t="s">
        <v>3911</v>
      </c>
      <c r="C1496" s="155"/>
      <c r="D1496" s="154">
        <v>2.0</v>
      </c>
      <c r="E1496" s="154" t="s">
        <v>897</v>
      </c>
      <c r="F1496" s="154" t="s">
        <v>3912</v>
      </c>
      <c r="G1496" s="156">
        <v>0.0</v>
      </c>
      <c r="H1496" s="154" t="s">
        <v>3913</v>
      </c>
      <c r="I1496" s="154" t="s">
        <v>853</v>
      </c>
      <c r="J1496" s="156">
        <v>0.0</v>
      </c>
      <c r="K1496" s="154" t="s">
        <v>259</v>
      </c>
    </row>
    <row r="1497">
      <c r="A1497" s="154" t="s">
        <v>3910</v>
      </c>
      <c r="B1497" s="155"/>
      <c r="C1497" s="154" t="s">
        <v>3911</v>
      </c>
      <c r="D1497" s="155"/>
      <c r="E1497" s="155"/>
      <c r="F1497" s="154" t="s">
        <v>3912</v>
      </c>
      <c r="G1497" s="156">
        <v>0.0</v>
      </c>
      <c r="H1497" s="154" t="s">
        <v>3913</v>
      </c>
      <c r="I1497" s="154" t="s">
        <v>853</v>
      </c>
      <c r="J1497" s="156">
        <v>0.0</v>
      </c>
      <c r="K1497" s="154" t="s">
        <v>259</v>
      </c>
    </row>
    <row r="1498">
      <c r="A1498" s="154" t="s">
        <v>3914</v>
      </c>
      <c r="B1498" s="155"/>
      <c r="C1498" s="154" t="s">
        <v>3915</v>
      </c>
      <c r="D1498" s="155"/>
      <c r="E1498" s="155"/>
      <c r="F1498" s="154" t="s">
        <v>3916</v>
      </c>
      <c r="G1498" s="156">
        <v>0.0</v>
      </c>
      <c r="H1498" s="154" t="s">
        <v>3917</v>
      </c>
      <c r="I1498" s="154">
        <v>1.0</v>
      </c>
      <c r="J1498" s="156">
        <v>0.0</v>
      </c>
      <c r="K1498" s="154" t="s">
        <v>361</v>
      </c>
    </row>
    <row r="1499">
      <c r="A1499" s="154" t="s">
        <v>3914</v>
      </c>
      <c r="B1499" s="154" t="s">
        <v>3915</v>
      </c>
      <c r="C1499" s="155"/>
      <c r="D1499" s="154">
        <v>2.0</v>
      </c>
      <c r="E1499" s="154" t="s">
        <v>897</v>
      </c>
      <c r="F1499" s="154" t="s">
        <v>3916</v>
      </c>
      <c r="G1499" s="156">
        <v>0.0</v>
      </c>
      <c r="H1499" s="154" t="s">
        <v>3917</v>
      </c>
      <c r="I1499" s="154">
        <v>1.0</v>
      </c>
      <c r="J1499" s="156">
        <v>0.0</v>
      </c>
      <c r="K1499" s="154" t="s">
        <v>361</v>
      </c>
    </row>
    <row r="1500">
      <c r="A1500" s="154" t="s">
        <v>3918</v>
      </c>
      <c r="B1500" s="155"/>
      <c r="C1500" s="154" t="s">
        <v>3919</v>
      </c>
      <c r="D1500" s="155"/>
      <c r="E1500" s="155"/>
      <c r="F1500" s="154" t="s">
        <v>3920</v>
      </c>
      <c r="G1500" s="156">
        <v>0.0</v>
      </c>
      <c r="H1500" s="156">
        <v>0.0</v>
      </c>
      <c r="I1500" s="154">
        <v>0.0</v>
      </c>
      <c r="J1500" s="156">
        <v>0.0</v>
      </c>
      <c r="K1500" s="154" t="s">
        <v>3551</v>
      </c>
    </row>
    <row r="1501">
      <c r="A1501" s="154" t="s">
        <v>3918</v>
      </c>
      <c r="B1501" s="154" t="s">
        <v>3919</v>
      </c>
      <c r="C1501" s="155"/>
      <c r="D1501" s="154">
        <v>2.0</v>
      </c>
      <c r="E1501" s="154" t="s">
        <v>897</v>
      </c>
      <c r="F1501" s="154" t="s">
        <v>3921</v>
      </c>
      <c r="G1501" s="154">
        <v>4.3211111E7</v>
      </c>
      <c r="H1501" s="156">
        <v>0.0</v>
      </c>
      <c r="I1501" s="154">
        <v>5.66557499E8</v>
      </c>
      <c r="J1501" s="156">
        <v>0.0</v>
      </c>
      <c r="K1501" s="154" t="s">
        <v>3551</v>
      </c>
    </row>
    <row r="1502">
      <c r="A1502" s="154" t="s">
        <v>3922</v>
      </c>
      <c r="B1502" s="154" t="s">
        <v>3923</v>
      </c>
      <c r="C1502" s="155"/>
      <c r="D1502" s="154">
        <v>2.0</v>
      </c>
      <c r="E1502" s="154" t="s">
        <v>897</v>
      </c>
      <c r="F1502" s="154" t="s">
        <v>3924</v>
      </c>
      <c r="G1502" s="154">
        <v>4.4314876E7</v>
      </c>
      <c r="H1502" s="156">
        <v>0.0</v>
      </c>
      <c r="I1502" s="154">
        <v>9.71506682413E11</v>
      </c>
      <c r="J1502" s="156">
        <v>0.0</v>
      </c>
      <c r="K1502" s="154" t="s">
        <v>240</v>
      </c>
    </row>
    <row r="1503">
      <c r="A1503" s="154" t="s">
        <v>3922</v>
      </c>
      <c r="B1503" s="155"/>
      <c r="C1503" s="154" t="s">
        <v>3923</v>
      </c>
      <c r="D1503" s="155"/>
      <c r="E1503" s="155"/>
      <c r="F1503" s="154" t="s">
        <v>792</v>
      </c>
      <c r="G1503" s="154" t="s">
        <v>793</v>
      </c>
      <c r="H1503" s="154" t="s">
        <v>794</v>
      </c>
      <c r="I1503" s="156">
        <v>0.0</v>
      </c>
      <c r="J1503" s="156">
        <v>0.0</v>
      </c>
      <c r="K1503" s="156">
        <v>0.0</v>
      </c>
    </row>
    <row r="1504">
      <c r="A1504" s="154" t="s">
        <v>3925</v>
      </c>
      <c r="B1504" s="155"/>
      <c r="C1504" s="154" t="s">
        <v>3926</v>
      </c>
      <c r="D1504" s="155"/>
      <c r="E1504" s="155"/>
      <c r="F1504" s="154" t="s">
        <v>3927</v>
      </c>
      <c r="G1504" s="156">
        <v>0.0</v>
      </c>
      <c r="H1504" s="154" t="s">
        <v>3928</v>
      </c>
      <c r="I1504" s="154" t="s">
        <v>3356</v>
      </c>
      <c r="J1504" s="154" t="s">
        <v>3929</v>
      </c>
      <c r="K1504" s="154" t="s">
        <v>776</v>
      </c>
    </row>
    <row r="1505">
      <c r="A1505" s="154" t="s">
        <v>3925</v>
      </c>
      <c r="B1505" s="154" t="s">
        <v>3926</v>
      </c>
      <c r="C1505" s="155"/>
      <c r="D1505" s="154">
        <v>2.0</v>
      </c>
      <c r="E1505" s="154" t="s">
        <v>897</v>
      </c>
      <c r="F1505" s="154" t="s">
        <v>3927</v>
      </c>
      <c r="G1505" s="156">
        <v>0.0</v>
      </c>
      <c r="H1505" s="154" t="s">
        <v>3928</v>
      </c>
      <c r="I1505" s="154" t="s">
        <v>3356</v>
      </c>
      <c r="J1505" s="154" t="s">
        <v>3929</v>
      </c>
      <c r="K1505" s="154" t="s">
        <v>776</v>
      </c>
    </row>
    <row r="1506">
      <c r="A1506" s="154" t="s">
        <v>3930</v>
      </c>
      <c r="B1506" s="154" t="s">
        <v>3931</v>
      </c>
      <c r="C1506" s="155"/>
      <c r="D1506" s="154">
        <v>2.0</v>
      </c>
      <c r="E1506" s="154" t="s">
        <v>897</v>
      </c>
      <c r="F1506" s="154" t="s">
        <v>3932</v>
      </c>
      <c r="G1506" s="154" t="s">
        <v>3933</v>
      </c>
      <c r="H1506" s="156">
        <v>0.0</v>
      </c>
      <c r="I1506" s="154" t="s">
        <v>3934</v>
      </c>
      <c r="J1506" s="154" t="s">
        <v>3933</v>
      </c>
      <c r="K1506" s="154" t="s">
        <v>207</v>
      </c>
    </row>
    <row r="1507">
      <c r="A1507" s="154" t="s">
        <v>3930</v>
      </c>
      <c r="B1507" s="155"/>
      <c r="C1507" s="154" t="s">
        <v>3931</v>
      </c>
      <c r="D1507" s="155"/>
      <c r="E1507" s="155"/>
      <c r="F1507" s="154" t="s">
        <v>3932</v>
      </c>
      <c r="G1507" s="154" t="s">
        <v>3933</v>
      </c>
      <c r="H1507" s="156">
        <v>0.0</v>
      </c>
      <c r="I1507" s="154" t="s">
        <v>3934</v>
      </c>
      <c r="J1507" s="154" t="s">
        <v>3933</v>
      </c>
      <c r="K1507" s="154" t="s">
        <v>207</v>
      </c>
    </row>
    <row r="1508">
      <c r="A1508" s="154" t="s">
        <v>3935</v>
      </c>
      <c r="B1508" s="155"/>
      <c r="C1508" s="154" t="s">
        <v>3936</v>
      </c>
      <c r="D1508" s="155"/>
      <c r="E1508" s="155"/>
      <c r="F1508" s="154" t="s">
        <v>3937</v>
      </c>
      <c r="G1508" s="154">
        <v>5.09975522E8</v>
      </c>
      <c r="H1508" s="156">
        <v>0.0</v>
      </c>
      <c r="I1508" s="154">
        <v>5.09975522E8</v>
      </c>
      <c r="J1508" s="156">
        <v>0.0</v>
      </c>
      <c r="K1508" s="154" t="s">
        <v>846</v>
      </c>
    </row>
    <row r="1509">
      <c r="A1509" s="154" t="s">
        <v>3935</v>
      </c>
      <c r="B1509" s="154" t="s">
        <v>3936</v>
      </c>
      <c r="C1509" s="155"/>
      <c r="D1509" s="154">
        <v>2.0</v>
      </c>
      <c r="E1509" s="154" t="s">
        <v>897</v>
      </c>
      <c r="F1509" s="154" t="s">
        <v>3937</v>
      </c>
      <c r="G1509" s="154">
        <v>5.09975522E8</v>
      </c>
      <c r="H1509" s="156">
        <v>0.0</v>
      </c>
      <c r="I1509" s="154">
        <v>5.09975522E8</v>
      </c>
      <c r="J1509" s="156">
        <v>0.0</v>
      </c>
      <c r="K1509" s="154" t="s">
        <v>846</v>
      </c>
    </row>
    <row r="1510">
      <c r="A1510" s="154" t="s">
        <v>3938</v>
      </c>
      <c r="B1510" s="155"/>
      <c r="C1510" s="154" t="s">
        <v>3939</v>
      </c>
      <c r="D1510" s="155"/>
      <c r="E1510" s="155"/>
      <c r="F1510" s="154" t="s">
        <v>3940</v>
      </c>
      <c r="G1510" s="156">
        <v>0.0</v>
      </c>
      <c r="H1510" s="156">
        <v>0.0</v>
      </c>
      <c r="I1510" s="154" t="s">
        <v>3941</v>
      </c>
      <c r="J1510" s="156">
        <v>0.0</v>
      </c>
      <c r="K1510" s="154" t="s">
        <v>1196</v>
      </c>
    </row>
    <row r="1511">
      <c r="A1511" s="154" t="s">
        <v>3938</v>
      </c>
      <c r="B1511" s="154" t="s">
        <v>3939</v>
      </c>
      <c r="C1511" s="155"/>
      <c r="D1511" s="154">
        <v>2.0</v>
      </c>
      <c r="E1511" s="154" t="s">
        <v>897</v>
      </c>
      <c r="F1511" s="154" t="s">
        <v>3940</v>
      </c>
      <c r="G1511" s="156">
        <v>0.0</v>
      </c>
      <c r="H1511" s="156">
        <v>0.0</v>
      </c>
      <c r="I1511" s="154" t="s">
        <v>3941</v>
      </c>
      <c r="J1511" s="156">
        <v>0.0</v>
      </c>
      <c r="K1511" s="154" t="s">
        <v>1196</v>
      </c>
    </row>
    <row r="1512">
      <c r="A1512" s="154" t="s">
        <v>3942</v>
      </c>
      <c r="B1512" s="154" t="s">
        <v>3943</v>
      </c>
      <c r="C1512" s="155"/>
      <c r="D1512" s="154">
        <v>2.0</v>
      </c>
      <c r="E1512" s="154" t="s">
        <v>897</v>
      </c>
      <c r="F1512" s="154" t="s">
        <v>3944</v>
      </c>
      <c r="G1512" s="156">
        <v>0.0</v>
      </c>
      <c r="H1512" s="156">
        <v>0.0</v>
      </c>
      <c r="I1512" s="154" t="s">
        <v>959</v>
      </c>
      <c r="J1512" s="156">
        <v>0.0</v>
      </c>
      <c r="K1512" s="154" t="s">
        <v>1490</v>
      </c>
    </row>
    <row r="1513">
      <c r="A1513" s="154" t="s">
        <v>3942</v>
      </c>
      <c r="B1513" s="155"/>
      <c r="C1513" s="154" t="s">
        <v>3943</v>
      </c>
      <c r="D1513" s="155"/>
      <c r="E1513" s="155"/>
      <c r="F1513" s="154" t="s">
        <v>3944</v>
      </c>
      <c r="G1513" s="156">
        <v>0.0</v>
      </c>
      <c r="H1513" s="156">
        <v>0.0</v>
      </c>
      <c r="I1513" s="154" t="s">
        <v>959</v>
      </c>
      <c r="J1513" s="156">
        <v>0.0</v>
      </c>
      <c r="K1513" s="154" t="s">
        <v>1490</v>
      </c>
    </row>
    <row r="1514">
      <c r="A1514" s="154" t="s">
        <v>3945</v>
      </c>
      <c r="B1514" s="155"/>
      <c r="C1514" s="154" t="s">
        <v>3946</v>
      </c>
      <c r="D1514" s="155"/>
      <c r="E1514" s="155"/>
      <c r="F1514" s="154" t="s">
        <v>3947</v>
      </c>
      <c r="G1514" s="154">
        <v>4.4560285E7</v>
      </c>
      <c r="H1514" s="156">
        <v>0.0</v>
      </c>
      <c r="I1514" s="154">
        <v>9.71506327284E11</v>
      </c>
      <c r="J1514" s="156">
        <v>0.0</v>
      </c>
      <c r="K1514" s="154" t="s">
        <v>206</v>
      </c>
    </row>
    <row r="1515">
      <c r="A1515" s="154" t="s">
        <v>3945</v>
      </c>
      <c r="B1515" s="154" t="s">
        <v>3946</v>
      </c>
      <c r="C1515" s="155"/>
      <c r="D1515" s="154">
        <v>2.0</v>
      </c>
      <c r="E1515" s="154" t="s">
        <v>897</v>
      </c>
      <c r="F1515" s="154" t="s">
        <v>3947</v>
      </c>
      <c r="G1515" s="154">
        <v>4.4560285E7</v>
      </c>
      <c r="H1515" s="156">
        <v>0.0</v>
      </c>
      <c r="I1515" s="154">
        <v>9.71506327284E11</v>
      </c>
      <c r="J1515" s="156">
        <v>0.0</v>
      </c>
      <c r="K1515" s="154" t="s">
        <v>206</v>
      </c>
    </row>
    <row r="1516">
      <c r="A1516" s="154" t="s">
        <v>3948</v>
      </c>
      <c r="B1516" s="154" t="s">
        <v>3949</v>
      </c>
      <c r="C1516" s="155"/>
      <c r="D1516" s="154">
        <v>2.0</v>
      </c>
      <c r="E1516" s="154" t="s">
        <v>897</v>
      </c>
      <c r="F1516" s="154" t="s">
        <v>1619</v>
      </c>
      <c r="G1516" s="154">
        <v>4.3903333E7</v>
      </c>
      <c r="H1516" s="154" t="s">
        <v>1620</v>
      </c>
      <c r="I1516" s="156">
        <v>0.0</v>
      </c>
      <c r="J1516" s="156">
        <v>0.0</v>
      </c>
      <c r="K1516" s="156">
        <v>0.0</v>
      </c>
    </row>
    <row r="1517">
      <c r="A1517" s="154" t="s">
        <v>3948</v>
      </c>
      <c r="B1517" s="155"/>
      <c r="C1517" s="154" t="s">
        <v>3949</v>
      </c>
      <c r="D1517" s="155"/>
      <c r="E1517" s="155"/>
      <c r="F1517" s="154" t="s">
        <v>3950</v>
      </c>
      <c r="G1517" s="154">
        <v>3622292.0</v>
      </c>
      <c r="H1517" s="156">
        <v>0.0</v>
      </c>
      <c r="I1517" s="154">
        <v>9.71501891255E11</v>
      </c>
      <c r="J1517" s="156">
        <v>0.0</v>
      </c>
      <c r="K1517" s="154" t="s">
        <v>259</v>
      </c>
    </row>
    <row r="1518">
      <c r="A1518" s="154" t="s">
        <v>3951</v>
      </c>
      <c r="B1518" s="154" t="s">
        <v>3952</v>
      </c>
      <c r="C1518" s="155"/>
      <c r="D1518" s="154">
        <v>2.0</v>
      </c>
      <c r="E1518" s="154" t="s">
        <v>897</v>
      </c>
      <c r="F1518" s="154" t="s">
        <v>3953</v>
      </c>
      <c r="G1518" s="154">
        <v>0.0</v>
      </c>
      <c r="H1518" s="156">
        <v>0.0</v>
      </c>
      <c r="I1518" s="156">
        <v>0.0</v>
      </c>
      <c r="J1518" s="156">
        <v>0.0</v>
      </c>
      <c r="K1518" s="154" t="s">
        <v>776</v>
      </c>
    </row>
    <row r="1519">
      <c r="A1519" s="154" t="s">
        <v>3951</v>
      </c>
      <c r="B1519" s="155"/>
      <c r="C1519" s="154" t="s">
        <v>3952</v>
      </c>
      <c r="D1519" s="155"/>
      <c r="E1519" s="155"/>
      <c r="F1519" s="154" t="s">
        <v>3953</v>
      </c>
      <c r="G1519" s="154">
        <v>0.0</v>
      </c>
      <c r="H1519" s="156">
        <v>0.0</v>
      </c>
      <c r="I1519" s="156">
        <v>0.0</v>
      </c>
      <c r="J1519" s="156">
        <v>0.0</v>
      </c>
      <c r="K1519" s="154" t="s">
        <v>776</v>
      </c>
    </row>
    <row r="1520">
      <c r="A1520" s="154" t="s">
        <v>3954</v>
      </c>
      <c r="B1520" s="154" t="s">
        <v>3955</v>
      </c>
      <c r="C1520" s="155"/>
      <c r="D1520" s="154">
        <v>2.0</v>
      </c>
      <c r="E1520" s="154" t="s">
        <v>897</v>
      </c>
      <c r="F1520" s="154" t="s">
        <v>3956</v>
      </c>
      <c r="G1520" s="156">
        <v>0.0</v>
      </c>
      <c r="H1520" s="156">
        <v>0.0</v>
      </c>
      <c r="I1520" s="154" t="s">
        <v>3957</v>
      </c>
      <c r="J1520" s="156">
        <v>0.0</v>
      </c>
      <c r="K1520" s="154" t="s">
        <v>197</v>
      </c>
    </row>
    <row r="1521">
      <c r="A1521" s="154" t="s">
        <v>3954</v>
      </c>
      <c r="B1521" s="155"/>
      <c r="C1521" s="154" t="s">
        <v>3955</v>
      </c>
      <c r="D1521" s="155"/>
      <c r="E1521" s="155"/>
      <c r="F1521" s="154" t="s">
        <v>3956</v>
      </c>
      <c r="G1521" s="156">
        <v>0.0</v>
      </c>
      <c r="H1521" s="156">
        <v>0.0</v>
      </c>
      <c r="I1521" s="154" t="s">
        <v>3957</v>
      </c>
      <c r="J1521" s="156">
        <v>0.0</v>
      </c>
      <c r="K1521" s="154" t="s">
        <v>197</v>
      </c>
    </row>
    <row r="1522">
      <c r="A1522" s="154" t="s">
        <v>3958</v>
      </c>
      <c r="B1522" s="154" t="s">
        <v>3959</v>
      </c>
      <c r="C1522" s="155"/>
      <c r="D1522" s="154">
        <v>2.0</v>
      </c>
      <c r="E1522" s="154" t="s">
        <v>897</v>
      </c>
      <c r="F1522" s="154" t="s">
        <v>3960</v>
      </c>
      <c r="G1522" s="154">
        <v>0.0</v>
      </c>
      <c r="H1522" s="156">
        <v>0.0</v>
      </c>
      <c r="I1522" s="154">
        <v>9.71506567061E11</v>
      </c>
      <c r="J1522" s="156">
        <v>0.0</v>
      </c>
      <c r="K1522" s="154" t="s">
        <v>361</v>
      </c>
    </row>
    <row r="1523">
      <c r="A1523" s="154" t="s">
        <v>3958</v>
      </c>
      <c r="B1523" s="155"/>
      <c r="C1523" s="154" t="s">
        <v>3959</v>
      </c>
      <c r="D1523" s="155"/>
      <c r="E1523" s="155"/>
      <c r="F1523" s="154" t="s">
        <v>3960</v>
      </c>
      <c r="G1523" s="154">
        <v>0.0</v>
      </c>
      <c r="H1523" s="156">
        <v>0.0</v>
      </c>
      <c r="I1523" s="154">
        <v>9.71506567061E11</v>
      </c>
      <c r="J1523" s="156">
        <v>0.0</v>
      </c>
      <c r="K1523" s="154" t="s">
        <v>361</v>
      </c>
    </row>
    <row r="1524">
      <c r="A1524" s="154" t="s">
        <v>3961</v>
      </c>
      <c r="B1524" s="155"/>
      <c r="C1524" s="154" t="s">
        <v>3962</v>
      </c>
      <c r="D1524" s="155"/>
      <c r="E1524" s="155"/>
      <c r="F1524" s="154" t="s">
        <v>3963</v>
      </c>
      <c r="G1524" s="156">
        <v>0.0</v>
      </c>
      <c r="H1524" s="154" t="s">
        <v>3964</v>
      </c>
      <c r="I1524" s="154" t="s">
        <v>3965</v>
      </c>
      <c r="J1524" s="154" t="s">
        <v>3966</v>
      </c>
      <c r="K1524" s="154" t="s">
        <v>240</v>
      </c>
    </row>
    <row r="1525">
      <c r="A1525" s="154" t="s">
        <v>3961</v>
      </c>
      <c r="B1525" s="154" t="s">
        <v>3962</v>
      </c>
      <c r="C1525" s="155"/>
      <c r="D1525" s="154">
        <v>2.0</v>
      </c>
      <c r="E1525" s="154" t="s">
        <v>897</v>
      </c>
      <c r="F1525" s="154" t="s">
        <v>3963</v>
      </c>
      <c r="G1525" s="156">
        <v>0.0</v>
      </c>
      <c r="H1525" s="154" t="s">
        <v>3964</v>
      </c>
      <c r="I1525" s="154" t="s">
        <v>3965</v>
      </c>
      <c r="J1525" s="154" t="s">
        <v>3966</v>
      </c>
      <c r="K1525" s="154" t="s">
        <v>240</v>
      </c>
    </row>
    <row r="1526">
      <c r="A1526" s="154" t="s">
        <v>3967</v>
      </c>
      <c r="B1526" s="154" t="s">
        <v>3968</v>
      </c>
      <c r="C1526" s="155"/>
      <c r="D1526" s="154">
        <v>2.0</v>
      </c>
      <c r="E1526" s="154" t="s">
        <v>897</v>
      </c>
      <c r="F1526" s="154" t="s">
        <v>3969</v>
      </c>
      <c r="G1526" s="156">
        <v>0.0</v>
      </c>
      <c r="H1526" s="154" t="s">
        <v>3970</v>
      </c>
      <c r="I1526" s="154">
        <v>9.71552222427E11</v>
      </c>
      <c r="J1526" s="156">
        <v>0.0</v>
      </c>
      <c r="K1526" s="154" t="s">
        <v>301</v>
      </c>
    </row>
    <row r="1527">
      <c r="A1527" s="154" t="s">
        <v>3967</v>
      </c>
      <c r="B1527" s="155"/>
      <c r="C1527" s="154" t="s">
        <v>3968</v>
      </c>
      <c r="D1527" s="155"/>
      <c r="E1527" s="155"/>
      <c r="F1527" s="154" t="s">
        <v>3969</v>
      </c>
      <c r="G1527" s="156">
        <v>0.0</v>
      </c>
      <c r="H1527" s="154" t="s">
        <v>3970</v>
      </c>
      <c r="I1527" s="154">
        <v>9.71552222427E11</v>
      </c>
      <c r="J1527" s="156">
        <v>0.0</v>
      </c>
      <c r="K1527" s="154" t="s">
        <v>301</v>
      </c>
    </row>
    <row r="1528">
      <c r="A1528" s="154" t="s">
        <v>3971</v>
      </c>
      <c r="B1528" s="155"/>
      <c r="C1528" s="154" t="s">
        <v>3972</v>
      </c>
      <c r="D1528" s="155"/>
      <c r="E1528" s="155"/>
      <c r="F1528" s="154" t="s">
        <v>2781</v>
      </c>
      <c r="G1528" s="154">
        <v>4.0</v>
      </c>
      <c r="H1528" s="156">
        <v>0.0</v>
      </c>
      <c r="I1528" s="154" t="s">
        <v>2782</v>
      </c>
      <c r="J1528" s="156">
        <v>0.0</v>
      </c>
      <c r="K1528" s="154" t="s">
        <v>259</v>
      </c>
    </row>
    <row r="1529">
      <c r="A1529" s="154" t="s">
        <v>3971</v>
      </c>
      <c r="B1529" s="154" t="s">
        <v>3972</v>
      </c>
      <c r="C1529" s="155"/>
      <c r="D1529" s="154">
        <v>2.0</v>
      </c>
      <c r="E1529" s="154" t="s">
        <v>897</v>
      </c>
      <c r="F1529" s="154" t="s">
        <v>792</v>
      </c>
      <c r="G1529" s="154" t="s">
        <v>793</v>
      </c>
      <c r="H1529" s="154" t="s">
        <v>794</v>
      </c>
      <c r="I1529" s="156">
        <v>0.0</v>
      </c>
      <c r="J1529" s="156">
        <v>0.0</v>
      </c>
      <c r="K1529" s="156">
        <v>0.0</v>
      </c>
    </row>
    <row r="1530">
      <c r="A1530" s="154" t="s">
        <v>3973</v>
      </c>
      <c r="B1530" s="155"/>
      <c r="C1530" s="154" t="s">
        <v>3974</v>
      </c>
      <c r="D1530" s="155"/>
      <c r="E1530" s="155"/>
      <c r="F1530" s="154" t="s">
        <v>3975</v>
      </c>
      <c r="G1530" s="156">
        <v>0.0</v>
      </c>
      <c r="H1530" s="156">
        <v>0.0</v>
      </c>
      <c r="I1530" s="154">
        <v>9.71505515926E11</v>
      </c>
      <c r="J1530" s="156">
        <v>0.0</v>
      </c>
      <c r="K1530" s="154" t="s">
        <v>206</v>
      </c>
    </row>
    <row r="1531">
      <c r="A1531" s="154" t="s">
        <v>3973</v>
      </c>
      <c r="B1531" s="154" t="s">
        <v>3974</v>
      </c>
      <c r="C1531" s="155"/>
      <c r="D1531" s="154">
        <v>2.0</v>
      </c>
      <c r="E1531" s="154" t="s">
        <v>897</v>
      </c>
      <c r="F1531" s="154" t="s">
        <v>3975</v>
      </c>
      <c r="G1531" s="156">
        <v>0.0</v>
      </c>
      <c r="H1531" s="156">
        <v>0.0</v>
      </c>
      <c r="I1531" s="154">
        <v>9.71505515926E11</v>
      </c>
      <c r="J1531" s="156">
        <v>0.0</v>
      </c>
      <c r="K1531" s="154" t="s">
        <v>206</v>
      </c>
    </row>
    <row r="1532">
      <c r="A1532" s="154" t="s">
        <v>3976</v>
      </c>
      <c r="B1532" s="154" t="s">
        <v>3977</v>
      </c>
      <c r="C1532" s="155"/>
      <c r="D1532" s="154">
        <v>2.0</v>
      </c>
      <c r="E1532" s="154" t="s">
        <v>897</v>
      </c>
      <c r="F1532" s="154" t="s">
        <v>3978</v>
      </c>
      <c r="G1532" s="154">
        <v>0.0</v>
      </c>
      <c r="H1532" s="156">
        <v>0.0</v>
      </c>
      <c r="I1532" s="156">
        <v>0.0</v>
      </c>
      <c r="J1532" s="156">
        <v>0.0</v>
      </c>
      <c r="K1532" s="154" t="s">
        <v>361</v>
      </c>
    </row>
    <row r="1533">
      <c r="A1533" s="154" t="s">
        <v>3976</v>
      </c>
      <c r="B1533" s="155"/>
      <c r="C1533" s="154" t="s">
        <v>3977</v>
      </c>
      <c r="D1533" s="155"/>
      <c r="E1533" s="155"/>
      <c r="F1533" s="154" t="s">
        <v>3978</v>
      </c>
      <c r="G1533" s="154">
        <v>0.0</v>
      </c>
      <c r="H1533" s="156">
        <v>0.0</v>
      </c>
      <c r="I1533" s="156">
        <v>0.0</v>
      </c>
      <c r="J1533" s="156">
        <v>0.0</v>
      </c>
      <c r="K1533" s="154" t="s">
        <v>361</v>
      </c>
    </row>
    <row r="1534">
      <c r="A1534" s="154" t="s">
        <v>3979</v>
      </c>
      <c r="B1534" s="155"/>
      <c r="C1534" s="154" t="s">
        <v>3980</v>
      </c>
      <c r="D1534" s="155"/>
      <c r="E1534" s="155"/>
      <c r="F1534" s="154" t="s">
        <v>3981</v>
      </c>
      <c r="G1534" s="154">
        <v>4.3537186E7</v>
      </c>
      <c r="H1534" s="156">
        <v>0.0</v>
      </c>
      <c r="I1534" s="156">
        <v>0.0</v>
      </c>
      <c r="J1534" s="156">
        <v>0.0</v>
      </c>
      <c r="K1534" s="154" t="s">
        <v>361</v>
      </c>
    </row>
    <row r="1535">
      <c r="A1535" s="154" t="s">
        <v>3979</v>
      </c>
      <c r="B1535" s="154" t="s">
        <v>3980</v>
      </c>
      <c r="C1535" s="155"/>
      <c r="D1535" s="154">
        <v>2.0</v>
      </c>
      <c r="E1535" s="154" t="s">
        <v>897</v>
      </c>
      <c r="F1535" s="154" t="s">
        <v>3981</v>
      </c>
      <c r="G1535" s="154">
        <v>4.3537186E7</v>
      </c>
      <c r="H1535" s="156">
        <v>0.0</v>
      </c>
      <c r="I1535" s="156">
        <v>0.0</v>
      </c>
      <c r="J1535" s="156">
        <v>0.0</v>
      </c>
      <c r="K1535" s="154" t="s">
        <v>361</v>
      </c>
    </row>
    <row r="1536">
      <c r="A1536" s="154" t="s">
        <v>3982</v>
      </c>
      <c r="B1536" s="154" t="s">
        <v>3983</v>
      </c>
      <c r="C1536" s="155"/>
      <c r="D1536" s="154">
        <v>2.0</v>
      </c>
      <c r="E1536" s="154" t="s">
        <v>897</v>
      </c>
      <c r="F1536" s="154" t="s">
        <v>3984</v>
      </c>
      <c r="G1536" s="154">
        <v>4.0</v>
      </c>
      <c r="H1536" s="156">
        <v>0.0</v>
      </c>
      <c r="I1536" s="154">
        <v>5.07707666E8</v>
      </c>
      <c r="J1536" s="156">
        <v>0.0</v>
      </c>
      <c r="K1536" s="154" t="s">
        <v>914</v>
      </c>
    </row>
    <row r="1537">
      <c r="A1537" s="154" t="s">
        <v>3982</v>
      </c>
      <c r="B1537" s="155"/>
      <c r="C1537" s="154" t="s">
        <v>3983</v>
      </c>
      <c r="D1537" s="155"/>
      <c r="E1537" s="155"/>
      <c r="F1537" s="154" t="s">
        <v>3984</v>
      </c>
      <c r="G1537" s="154">
        <v>4.0</v>
      </c>
      <c r="H1537" s="156">
        <v>0.0</v>
      </c>
      <c r="I1537" s="154">
        <v>5.07707666E8</v>
      </c>
      <c r="J1537" s="156">
        <v>0.0</v>
      </c>
      <c r="K1537" s="154" t="s">
        <v>914</v>
      </c>
    </row>
    <row r="1538">
      <c r="A1538" s="154" t="s">
        <v>3985</v>
      </c>
      <c r="B1538" s="154" t="s">
        <v>3986</v>
      </c>
      <c r="C1538" s="155"/>
      <c r="D1538" s="154">
        <v>2.0</v>
      </c>
      <c r="E1538" s="154" t="s">
        <v>897</v>
      </c>
      <c r="F1538" s="154" t="s">
        <v>3987</v>
      </c>
      <c r="G1538" s="154">
        <v>5.02819676E8</v>
      </c>
      <c r="H1538" s="156">
        <v>0.0</v>
      </c>
      <c r="I1538" s="154">
        <v>5.02819676E8</v>
      </c>
      <c r="J1538" s="156">
        <v>0.0</v>
      </c>
      <c r="K1538" s="154" t="s">
        <v>197</v>
      </c>
    </row>
    <row r="1539">
      <c r="A1539" s="154" t="s">
        <v>3985</v>
      </c>
      <c r="B1539" s="155"/>
      <c r="C1539" s="154" t="s">
        <v>3986</v>
      </c>
      <c r="D1539" s="155"/>
      <c r="E1539" s="155"/>
      <c r="F1539" s="154" t="s">
        <v>3987</v>
      </c>
      <c r="G1539" s="154">
        <v>5.02819676E8</v>
      </c>
      <c r="H1539" s="156">
        <v>0.0</v>
      </c>
      <c r="I1539" s="154">
        <v>5.02819676E8</v>
      </c>
      <c r="J1539" s="156">
        <v>0.0</v>
      </c>
      <c r="K1539" s="154" t="s">
        <v>197</v>
      </c>
    </row>
    <row r="1540">
      <c r="A1540" s="154" t="s">
        <v>3988</v>
      </c>
      <c r="B1540" s="154" t="s">
        <v>3989</v>
      </c>
      <c r="C1540" s="155"/>
      <c r="D1540" s="154">
        <v>2.0</v>
      </c>
      <c r="E1540" s="154" t="s">
        <v>897</v>
      </c>
      <c r="F1540" s="154" t="s">
        <v>3990</v>
      </c>
      <c r="G1540" s="154" t="s">
        <v>809</v>
      </c>
      <c r="H1540" s="156">
        <v>0.0</v>
      </c>
      <c r="I1540" s="154" t="s">
        <v>3991</v>
      </c>
      <c r="J1540" s="154" t="s">
        <v>809</v>
      </c>
      <c r="K1540" s="154" t="s">
        <v>1731</v>
      </c>
    </row>
    <row r="1541">
      <c r="A1541" s="154" t="s">
        <v>3988</v>
      </c>
      <c r="B1541" s="155"/>
      <c r="C1541" s="154" t="s">
        <v>3989</v>
      </c>
      <c r="D1541" s="155"/>
      <c r="E1541" s="155"/>
      <c r="F1541" s="154" t="s">
        <v>3990</v>
      </c>
      <c r="G1541" s="154" t="s">
        <v>809</v>
      </c>
      <c r="H1541" s="156">
        <v>0.0</v>
      </c>
      <c r="I1541" s="154" t="s">
        <v>3991</v>
      </c>
      <c r="J1541" s="154" t="s">
        <v>809</v>
      </c>
      <c r="K1541" s="154" t="s">
        <v>1731</v>
      </c>
    </row>
    <row r="1542">
      <c r="A1542" s="154" t="s">
        <v>3992</v>
      </c>
      <c r="B1542" s="154" t="s">
        <v>3993</v>
      </c>
      <c r="C1542" s="155"/>
      <c r="D1542" s="154">
        <v>2.0</v>
      </c>
      <c r="E1542" s="154" t="s">
        <v>897</v>
      </c>
      <c r="F1542" s="154" t="s">
        <v>828</v>
      </c>
      <c r="G1542" s="154" t="s">
        <v>823</v>
      </c>
      <c r="H1542" s="154" t="s">
        <v>824</v>
      </c>
      <c r="I1542" s="154" t="s">
        <v>825</v>
      </c>
      <c r="J1542" s="154" t="s">
        <v>809</v>
      </c>
      <c r="K1542" s="154" t="s">
        <v>776</v>
      </c>
    </row>
    <row r="1543">
      <c r="A1543" s="154" t="s">
        <v>3992</v>
      </c>
      <c r="B1543" s="155"/>
      <c r="C1543" s="154" t="s">
        <v>3993</v>
      </c>
      <c r="D1543" s="155"/>
      <c r="E1543" s="155"/>
      <c r="F1543" s="154" t="s">
        <v>828</v>
      </c>
      <c r="G1543" s="154" t="s">
        <v>823</v>
      </c>
      <c r="H1543" s="154" t="s">
        <v>824</v>
      </c>
      <c r="I1543" s="154" t="s">
        <v>825</v>
      </c>
      <c r="J1543" s="154" t="s">
        <v>809</v>
      </c>
      <c r="K1543" s="154" t="s">
        <v>776</v>
      </c>
    </row>
    <row r="1544">
      <c r="A1544" s="154" t="s">
        <v>3994</v>
      </c>
      <c r="B1544" s="155"/>
      <c r="C1544" s="154" t="s">
        <v>3995</v>
      </c>
      <c r="D1544" s="155"/>
      <c r="E1544" s="155"/>
      <c r="F1544" s="154" t="s">
        <v>3996</v>
      </c>
      <c r="G1544" s="156">
        <v>0.0</v>
      </c>
      <c r="H1544" s="154" t="s">
        <v>3997</v>
      </c>
      <c r="I1544" s="154" t="s">
        <v>3998</v>
      </c>
      <c r="J1544" s="156">
        <v>0.0</v>
      </c>
      <c r="K1544" s="154" t="s">
        <v>361</v>
      </c>
    </row>
    <row r="1545">
      <c r="A1545" s="154" t="s">
        <v>3994</v>
      </c>
      <c r="B1545" s="154" t="s">
        <v>3995</v>
      </c>
      <c r="C1545" s="155"/>
      <c r="D1545" s="154">
        <v>2.0</v>
      </c>
      <c r="E1545" s="154" t="s">
        <v>897</v>
      </c>
      <c r="F1545" s="154" t="s">
        <v>3996</v>
      </c>
      <c r="G1545" s="156">
        <v>0.0</v>
      </c>
      <c r="H1545" s="154" t="s">
        <v>3997</v>
      </c>
      <c r="I1545" s="154" t="s">
        <v>3998</v>
      </c>
      <c r="J1545" s="156">
        <v>0.0</v>
      </c>
      <c r="K1545" s="154" t="s">
        <v>361</v>
      </c>
    </row>
    <row r="1546">
      <c r="A1546" s="154" t="s">
        <v>3999</v>
      </c>
      <c r="B1546" s="154" t="s">
        <v>4000</v>
      </c>
      <c r="C1546" s="155"/>
      <c r="D1546" s="154">
        <v>2.0</v>
      </c>
      <c r="E1546" s="154" t="s">
        <v>897</v>
      </c>
      <c r="F1546" s="154" t="s">
        <v>792</v>
      </c>
      <c r="G1546" s="154" t="s">
        <v>793</v>
      </c>
      <c r="H1546" s="154" t="s">
        <v>794</v>
      </c>
      <c r="I1546" s="156">
        <v>0.0</v>
      </c>
      <c r="J1546" s="156">
        <v>0.0</v>
      </c>
      <c r="K1546" s="156">
        <v>0.0</v>
      </c>
    </row>
    <row r="1547">
      <c r="A1547" s="154" t="s">
        <v>3999</v>
      </c>
      <c r="B1547" s="155"/>
      <c r="C1547" s="154" t="s">
        <v>4000</v>
      </c>
      <c r="D1547" s="155"/>
      <c r="E1547" s="155"/>
      <c r="F1547" s="154" t="s">
        <v>792</v>
      </c>
      <c r="G1547" s="154" t="s">
        <v>793</v>
      </c>
      <c r="H1547" s="154" t="s">
        <v>794</v>
      </c>
      <c r="I1547" s="156">
        <v>0.0</v>
      </c>
      <c r="J1547" s="156">
        <v>0.0</v>
      </c>
      <c r="K1547" s="156">
        <v>0.0</v>
      </c>
    </row>
    <row r="1548">
      <c r="A1548" s="154" t="s">
        <v>4001</v>
      </c>
      <c r="B1548" s="155"/>
      <c r="C1548" s="154" t="s">
        <v>4002</v>
      </c>
      <c r="D1548" s="155"/>
      <c r="E1548" s="155"/>
      <c r="F1548" s="154" t="s">
        <v>4003</v>
      </c>
      <c r="G1548" s="156">
        <v>0.0</v>
      </c>
      <c r="H1548" s="154" t="s">
        <v>4004</v>
      </c>
      <c r="I1548" s="154">
        <v>5.06324604E8</v>
      </c>
      <c r="J1548" s="156">
        <v>0.0</v>
      </c>
      <c r="K1548" s="154" t="s">
        <v>361</v>
      </c>
    </row>
    <row r="1549">
      <c r="A1549" s="154" t="s">
        <v>4001</v>
      </c>
      <c r="B1549" s="154" t="s">
        <v>4002</v>
      </c>
      <c r="C1549" s="155"/>
      <c r="D1549" s="154">
        <v>2.0</v>
      </c>
      <c r="E1549" s="154" t="s">
        <v>897</v>
      </c>
      <c r="F1549" s="154" t="s">
        <v>4003</v>
      </c>
      <c r="G1549" s="156">
        <v>0.0</v>
      </c>
      <c r="H1549" s="154" t="s">
        <v>4004</v>
      </c>
      <c r="I1549" s="154">
        <v>5.06324604E8</v>
      </c>
      <c r="J1549" s="156">
        <v>0.0</v>
      </c>
      <c r="K1549" s="154" t="s">
        <v>361</v>
      </c>
    </row>
    <row r="1550">
      <c r="A1550" s="154" t="s">
        <v>4005</v>
      </c>
      <c r="B1550" s="155"/>
      <c r="C1550" s="154" t="s">
        <v>4006</v>
      </c>
      <c r="D1550" s="155"/>
      <c r="E1550" s="155"/>
      <c r="F1550" s="154" t="s">
        <v>4007</v>
      </c>
      <c r="G1550" s="154">
        <v>4.2255501E7</v>
      </c>
      <c r="H1550" s="156">
        <v>0.0</v>
      </c>
      <c r="I1550" s="154">
        <v>5.06587163E8</v>
      </c>
      <c r="J1550" s="156">
        <v>0.0</v>
      </c>
      <c r="K1550" s="154" t="s">
        <v>361</v>
      </c>
    </row>
    <row r="1551">
      <c r="A1551" s="154" t="s">
        <v>4005</v>
      </c>
      <c r="B1551" s="154" t="s">
        <v>4006</v>
      </c>
      <c r="C1551" s="155"/>
      <c r="D1551" s="154">
        <v>2.0</v>
      </c>
      <c r="E1551" s="154" t="s">
        <v>897</v>
      </c>
      <c r="F1551" s="154" t="s">
        <v>4007</v>
      </c>
      <c r="G1551" s="154">
        <v>4.2255501E7</v>
      </c>
      <c r="H1551" s="156">
        <v>0.0</v>
      </c>
      <c r="I1551" s="154">
        <v>5.06587163E8</v>
      </c>
      <c r="J1551" s="156">
        <v>0.0</v>
      </c>
      <c r="K1551" s="154" t="s">
        <v>361</v>
      </c>
    </row>
    <row r="1552">
      <c r="A1552" s="154" t="s">
        <v>4008</v>
      </c>
      <c r="B1552" s="154" t="s">
        <v>4009</v>
      </c>
      <c r="C1552" s="155"/>
      <c r="D1552" s="154">
        <v>2.0</v>
      </c>
      <c r="E1552" s="154" t="s">
        <v>897</v>
      </c>
      <c r="F1552" s="154" t="s">
        <v>4010</v>
      </c>
      <c r="G1552" s="156">
        <v>0.0</v>
      </c>
      <c r="H1552" s="156">
        <v>0.0</v>
      </c>
      <c r="I1552" s="154" t="s">
        <v>4011</v>
      </c>
      <c r="J1552" s="154" t="s">
        <v>4012</v>
      </c>
      <c r="K1552" s="154" t="s">
        <v>206</v>
      </c>
    </row>
    <row r="1553">
      <c r="A1553" s="154" t="s">
        <v>4008</v>
      </c>
      <c r="B1553" s="155"/>
      <c r="C1553" s="154" t="s">
        <v>4009</v>
      </c>
      <c r="D1553" s="155"/>
      <c r="E1553" s="155"/>
      <c r="F1553" s="154" t="s">
        <v>4010</v>
      </c>
      <c r="G1553" s="156">
        <v>0.0</v>
      </c>
      <c r="H1553" s="156">
        <v>0.0</v>
      </c>
      <c r="I1553" s="154" t="s">
        <v>4011</v>
      </c>
      <c r="J1553" s="154" t="s">
        <v>4012</v>
      </c>
      <c r="K1553" s="154" t="s">
        <v>206</v>
      </c>
    </row>
    <row r="1554">
      <c r="A1554" s="154" t="s">
        <v>4013</v>
      </c>
      <c r="B1554" s="154" t="s">
        <v>4014</v>
      </c>
      <c r="C1554" s="155"/>
      <c r="D1554" s="154">
        <v>2.0</v>
      </c>
      <c r="E1554" s="154" t="s">
        <v>897</v>
      </c>
      <c r="F1554" s="154" t="s">
        <v>4015</v>
      </c>
      <c r="G1554" s="156">
        <v>0.0</v>
      </c>
      <c r="H1554" s="156">
        <v>0.0</v>
      </c>
      <c r="I1554" s="154" t="s">
        <v>4016</v>
      </c>
      <c r="J1554" s="156">
        <v>0.0</v>
      </c>
      <c r="K1554" s="154" t="s">
        <v>846</v>
      </c>
    </row>
    <row r="1555">
      <c r="A1555" s="154" t="s">
        <v>4013</v>
      </c>
      <c r="B1555" s="155"/>
      <c r="C1555" s="154" t="s">
        <v>4014</v>
      </c>
      <c r="D1555" s="155"/>
      <c r="E1555" s="155"/>
      <c r="F1555" s="154" t="s">
        <v>4015</v>
      </c>
      <c r="G1555" s="156">
        <v>0.0</v>
      </c>
      <c r="H1555" s="156">
        <v>0.0</v>
      </c>
      <c r="I1555" s="154" t="s">
        <v>4016</v>
      </c>
      <c r="J1555" s="156">
        <v>0.0</v>
      </c>
      <c r="K1555" s="154" t="s">
        <v>846</v>
      </c>
    </row>
    <row r="1556">
      <c r="A1556" s="154" t="s">
        <v>4017</v>
      </c>
      <c r="B1556" s="155"/>
      <c r="C1556" s="154" t="s">
        <v>4018</v>
      </c>
      <c r="D1556" s="155"/>
      <c r="E1556" s="155"/>
      <c r="F1556" s="154" t="s">
        <v>4019</v>
      </c>
      <c r="G1556" s="154">
        <v>9.6614648037E10</v>
      </c>
      <c r="H1556" s="154" t="s">
        <v>4020</v>
      </c>
      <c r="I1556" s="154">
        <v>5.04781595E8</v>
      </c>
      <c r="J1556" s="156">
        <v>0.0</v>
      </c>
      <c r="K1556" s="154" t="s">
        <v>197</v>
      </c>
    </row>
    <row r="1557">
      <c r="A1557" s="154" t="s">
        <v>4017</v>
      </c>
      <c r="B1557" s="154" t="s">
        <v>4018</v>
      </c>
      <c r="C1557" s="155"/>
      <c r="D1557" s="154">
        <v>2.0</v>
      </c>
      <c r="E1557" s="154" t="s">
        <v>897</v>
      </c>
      <c r="F1557" s="154" t="s">
        <v>4019</v>
      </c>
      <c r="G1557" s="154">
        <v>9.6614648037E10</v>
      </c>
      <c r="H1557" s="154" t="s">
        <v>4020</v>
      </c>
      <c r="I1557" s="154">
        <v>5.04781595E8</v>
      </c>
      <c r="J1557" s="156">
        <v>0.0</v>
      </c>
      <c r="K1557" s="154" t="s">
        <v>197</v>
      </c>
    </row>
    <row r="1558">
      <c r="A1558" s="154" t="s">
        <v>4021</v>
      </c>
      <c r="B1558" s="154" t="s">
        <v>4022</v>
      </c>
      <c r="C1558" s="155"/>
      <c r="D1558" s="154">
        <v>2.0</v>
      </c>
      <c r="E1558" s="154" t="s">
        <v>897</v>
      </c>
      <c r="F1558" s="154" t="s">
        <v>4023</v>
      </c>
      <c r="G1558" s="156">
        <v>0.0</v>
      </c>
      <c r="H1558" s="156">
        <v>0.0</v>
      </c>
      <c r="I1558" s="154" t="s">
        <v>4024</v>
      </c>
      <c r="J1558" s="154" t="s">
        <v>4025</v>
      </c>
      <c r="K1558" s="154" t="s">
        <v>301</v>
      </c>
    </row>
    <row r="1559">
      <c r="A1559" s="154" t="s">
        <v>4021</v>
      </c>
      <c r="B1559" s="155"/>
      <c r="C1559" s="154" t="s">
        <v>4022</v>
      </c>
      <c r="D1559" s="155"/>
      <c r="E1559" s="155"/>
      <c r="F1559" s="154" t="s">
        <v>4023</v>
      </c>
      <c r="G1559" s="156">
        <v>0.0</v>
      </c>
      <c r="H1559" s="156">
        <v>0.0</v>
      </c>
      <c r="I1559" s="154" t="s">
        <v>4024</v>
      </c>
      <c r="J1559" s="154" t="s">
        <v>4025</v>
      </c>
      <c r="K1559" s="154" t="s">
        <v>301</v>
      </c>
    </row>
    <row r="1560">
      <c r="A1560" s="154" t="s">
        <v>4026</v>
      </c>
      <c r="B1560" s="154" t="s">
        <v>4027</v>
      </c>
      <c r="C1560" s="155"/>
      <c r="D1560" s="154">
        <v>2.0</v>
      </c>
      <c r="E1560" s="154" t="s">
        <v>897</v>
      </c>
      <c r="F1560" s="154" t="s">
        <v>4028</v>
      </c>
      <c r="G1560" s="154" t="s">
        <v>4029</v>
      </c>
      <c r="H1560" s="156">
        <v>0.0</v>
      </c>
      <c r="I1560" s="154">
        <v>5.06458435E8</v>
      </c>
      <c r="J1560" s="156">
        <v>0.0</v>
      </c>
      <c r="K1560" s="154" t="s">
        <v>361</v>
      </c>
    </row>
    <row r="1561">
      <c r="A1561" s="154" t="s">
        <v>4026</v>
      </c>
      <c r="B1561" s="155"/>
      <c r="C1561" s="154" t="s">
        <v>4027</v>
      </c>
      <c r="D1561" s="155"/>
      <c r="E1561" s="155"/>
      <c r="F1561" s="154" t="s">
        <v>4030</v>
      </c>
      <c r="G1561" s="154" t="s">
        <v>4029</v>
      </c>
      <c r="H1561" s="156">
        <v>0.0</v>
      </c>
      <c r="I1561" s="154">
        <v>9.71506458435E11</v>
      </c>
      <c r="J1561" s="156">
        <v>0.0</v>
      </c>
      <c r="K1561" s="154" t="s">
        <v>361</v>
      </c>
    </row>
    <row r="1562">
      <c r="A1562" s="154" t="s">
        <v>4031</v>
      </c>
      <c r="B1562" s="154" t="s">
        <v>4032</v>
      </c>
      <c r="D1562" s="154">
        <v>2.0</v>
      </c>
      <c r="E1562" s="154" t="s">
        <v>761</v>
      </c>
      <c r="F1562" s="154" t="s">
        <v>4033</v>
      </c>
      <c r="G1562" s="156">
        <v>0.0</v>
      </c>
      <c r="H1562" s="156">
        <v>0.0</v>
      </c>
      <c r="I1562" s="154">
        <v>9.71506241284E11</v>
      </c>
      <c r="J1562" s="156">
        <v>0.0</v>
      </c>
      <c r="K1562" s="154" t="s">
        <v>361</v>
      </c>
    </row>
    <row r="1563">
      <c r="A1563" s="154" t="s">
        <v>4031</v>
      </c>
      <c r="B1563" s="155"/>
      <c r="C1563" s="154" t="s">
        <v>4032</v>
      </c>
      <c r="D1563" s="155"/>
      <c r="E1563" s="155"/>
      <c r="F1563" s="154" t="s">
        <v>4033</v>
      </c>
      <c r="G1563" s="156">
        <v>0.0</v>
      </c>
      <c r="H1563" s="156">
        <v>0.0</v>
      </c>
      <c r="I1563" s="154">
        <v>9.71506241284E11</v>
      </c>
      <c r="J1563" s="156">
        <v>0.0</v>
      </c>
      <c r="K1563" s="154" t="s">
        <v>361</v>
      </c>
    </row>
    <row r="1564">
      <c r="A1564" s="154" t="s">
        <v>4034</v>
      </c>
      <c r="B1564" s="155"/>
      <c r="C1564" s="154" t="s">
        <v>4035</v>
      </c>
      <c r="D1564" s="155"/>
      <c r="E1564" s="155"/>
      <c r="F1564" s="154" t="s">
        <v>4036</v>
      </c>
      <c r="G1564" s="156">
        <v>0.0</v>
      </c>
      <c r="H1564" s="156">
        <v>0.0</v>
      </c>
      <c r="I1564" s="154" t="s">
        <v>4037</v>
      </c>
      <c r="J1564" s="154" t="s">
        <v>4038</v>
      </c>
      <c r="K1564" s="154" t="s">
        <v>240</v>
      </c>
    </row>
    <row r="1565">
      <c r="A1565" s="154" t="s">
        <v>4034</v>
      </c>
      <c r="B1565" s="154" t="s">
        <v>4035</v>
      </c>
      <c r="D1565" s="154">
        <v>2.0</v>
      </c>
      <c r="E1565" s="154" t="s">
        <v>761</v>
      </c>
      <c r="F1565" s="154" t="s">
        <v>4036</v>
      </c>
      <c r="G1565" s="156">
        <v>0.0</v>
      </c>
      <c r="H1565" s="156">
        <v>0.0</v>
      </c>
      <c r="I1565" s="154" t="s">
        <v>4037</v>
      </c>
      <c r="J1565" s="154" t="s">
        <v>4038</v>
      </c>
      <c r="K1565" s="154" t="s">
        <v>240</v>
      </c>
    </row>
    <row r="1566">
      <c r="A1566" s="154" t="s">
        <v>4039</v>
      </c>
      <c r="B1566" s="154" t="s">
        <v>4040</v>
      </c>
      <c r="D1566" s="154">
        <v>2.0</v>
      </c>
      <c r="E1566" s="154" t="s">
        <v>761</v>
      </c>
      <c r="F1566" s="154" t="s">
        <v>4041</v>
      </c>
      <c r="G1566" s="154">
        <v>4.3494444E7</v>
      </c>
      <c r="H1566" s="154" t="s">
        <v>4042</v>
      </c>
      <c r="I1566" s="154">
        <v>9.71504952597E11</v>
      </c>
      <c r="J1566" s="156">
        <v>0.0</v>
      </c>
      <c r="K1566" s="154" t="s">
        <v>939</v>
      </c>
    </row>
    <row r="1567">
      <c r="A1567" s="154" t="s">
        <v>4039</v>
      </c>
      <c r="B1567" s="155"/>
      <c r="C1567" s="154" t="s">
        <v>4040</v>
      </c>
      <c r="D1567" s="155"/>
      <c r="E1567" s="155"/>
      <c r="F1567" s="154" t="s">
        <v>4041</v>
      </c>
      <c r="G1567" s="154">
        <v>4.3494444E7</v>
      </c>
      <c r="H1567" s="154" t="s">
        <v>4042</v>
      </c>
      <c r="I1567" s="154">
        <v>9.71504952597E11</v>
      </c>
      <c r="J1567" s="156">
        <v>0.0</v>
      </c>
      <c r="K1567" s="154" t="s">
        <v>939</v>
      </c>
    </row>
    <row r="1568">
      <c r="A1568" s="154" t="s">
        <v>4043</v>
      </c>
      <c r="B1568" s="154" t="s">
        <v>4044</v>
      </c>
      <c r="D1568" s="154">
        <v>2.0</v>
      </c>
      <c r="E1568" s="154" t="s">
        <v>761</v>
      </c>
      <c r="F1568" s="154" t="s">
        <v>4045</v>
      </c>
      <c r="G1568" s="154" t="s">
        <v>4046</v>
      </c>
      <c r="H1568" s="154" t="s">
        <v>4047</v>
      </c>
      <c r="I1568" s="154" t="s">
        <v>4048</v>
      </c>
      <c r="J1568" s="156">
        <v>0.0</v>
      </c>
      <c r="K1568" s="154" t="s">
        <v>259</v>
      </c>
    </row>
    <row r="1569">
      <c r="A1569" s="154" t="s">
        <v>4043</v>
      </c>
      <c r="B1569" s="155"/>
      <c r="C1569" s="154" t="s">
        <v>4044</v>
      </c>
      <c r="D1569" s="155"/>
      <c r="E1569" s="155"/>
      <c r="F1569" s="154" t="s">
        <v>4049</v>
      </c>
      <c r="G1569" s="156">
        <v>0.0</v>
      </c>
      <c r="H1569" s="156">
        <v>0.0</v>
      </c>
      <c r="I1569" s="154" t="s">
        <v>4050</v>
      </c>
      <c r="J1569" s="156">
        <v>0.0</v>
      </c>
      <c r="K1569" s="154" t="s">
        <v>259</v>
      </c>
    </row>
    <row r="1570">
      <c r="A1570" s="154" t="s">
        <v>4051</v>
      </c>
      <c r="B1570" s="155"/>
      <c r="C1570" s="154" t="s">
        <v>4052</v>
      </c>
      <c r="D1570" s="155"/>
      <c r="E1570" s="155"/>
      <c r="F1570" s="154" t="s">
        <v>4053</v>
      </c>
      <c r="G1570" s="154">
        <v>0.0</v>
      </c>
      <c r="H1570" s="156">
        <v>0.0</v>
      </c>
      <c r="I1570" s="154">
        <v>9.71506548583E11</v>
      </c>
      <c r="J1570" s="156">
        <v>0.0</v>
      </c>
      <c r="K1570" s="154" t="s">
        <v>3814</v>
      </c>
    </row>
    <row r="1571">
      <c r="A1571" s="154" t="s">
        <v>4051</v>
      </c>
      <c r="B1571" s="154" t="s">
        <v>4052</v>
      </c>
      <c r="D1571" s="154">
        <v>2.0</v>
      </c>
      <c r="E1571" s="154" t="s">
        <v>761</v>
      </c>
      <c r="F1571" s="154" t="s">
        <v>4054</v>
      </c>
      <c r="G1571" s="156">
        <v>0.0</v>
      </c>
      <c r="H1571" s="156">
        <v>0.0</v>
      </c>
      <c r="I1571" s="154">
        <v>9.71554164268E11</v>
      </c>
      <c r="J1571" s="156">
        <v>0.0</v>
      </c>
      <c r="K1571" s="154" t="s">
        <v>3814</v>
      </c>
    </row>
    <row r="1572">
      <c r="A1572" s="154" t="s">
        <v>4055</v>
      </c>
      <c r="B1572" s="155"/>
      <c r="C1572" s="154" t="s">
        <v>4056</v>
      </c>
      <c r="D1572" s="155"/>
      <c r="E1572" s="155"/>
      <c r="F1572" s="154" t="s">
        <v>4057</v>
      </c>
      <c r="G1572" s="154">
        <v>0.0</v>
      </c>
      <c r="H1572" s="156">
        <v>0.0</v>
      </c>
      <c r="I1572" s="154">
        <v>9.71502110522E11</v>
      </c>
      <c r="J1572" s="156">
        <v>0.0</v>
      </c>
      <c r="K1572" s="154" t="s">
        <v>259</v>
      </c>
    </row>
    <row r="1573">
      <c r="A1573" s="154" t="s">
        <v>4055</v>
      </c>
      <c r="B1573" s="154" t="s">
        <v>4056</v>
      </c>
      <c r="D1573" s="154">
        <v>2.0</v>
      </c>
      <c r="E1573" s="154" t="s">
        <v>761</v>
      </c>
      <c r="F1573" s="154" t="s">
        <v>4057</v>
      </c>
      <c r="G1573" s="154">
        <v>0.0</v>
      </c>
      <c r="H1573" s="156">
        <v>0.0</v>
      </c>
      <c r="I1573" s="154">
        <v>9.71502110522E11</v>
      </c>
      <c r="J1573" s="156">
        <v>0.0</v>
      </c>
      <c r="K1573" s="154" t="s">
        <v>259</v>
      </c>
    </row>
    <row r="1574">
      <c r="A1574" s="154" t="s">
        <v>4058</v>
      </c>
      <c r="B1574" s="155"/>
      <c r="C1574" s="154" t="s">
        <v>4059</v>
      </c>
      <c r="D1574" s="155"/>
      <c r="E1574" s="155"/>
      <c r="F1574" s="154" t="s">
        <v>4060</v>
      </c>
      <c r="G1574" s="154">
        <v>4.3688164E7</v>
      </c>
      <c r="H1574" s="154" t="s">
        <v>4061</v>
      </c>
      <c r="I1574" s="154">
        <v>9.71502131003E11</v>
      </c>
      <c r="J1574" s="156">
        <v>0.0</v>
      </c>
      <c r="K1574" s="154" t="s">
        <v>259</v>
      </c>
    </row>
    <row r="1575">
      <c r="A1575" s="154" t="s">
        <v>4058</v>
      </c>
      <c r="B1575" s="154" t="s">
        <v>4059</v>
      </c>
      <c r="D1575" s="154">
        <v>2.0</v>
      </c>
      <c r="E1575" s="154" t="s">
        <v>761</v>
      </c>
      <c r="F1575" s="154" t="s">
        <v>4060</v>
      </c>
      <c r="G1575" s="154">
        <v>4.3688164E7</v>
      </c>
      <c r="H1575" s="154" t="s">
        <v>4061</v>
      </c>
      <c r="I1575" s="154">
        <v>9.71502131003E11</v>
      </c>
      <c r="J1575" s="156">
        <v>0.0</v>
      </c>
      <c r="K1575" s="154" t="s">
        <v>259</v>
      </c>
    </row>
    <row r="1576">
      <c r="A1576" s="154" t="s">
        <v>4062</v>
      </c>
      <c r="B1576" s="154" t="s">
        <v>4063</v>
      </c>
      <c r="D1576" s="154">
        <v>2.0</v>
      </c>
      <c r="E1576" s="154" t="s">
        <v>761</v>
      </c>
      <c r="F1576" s="154" t="s">
        <v>4064</v>
      </c>
      <c r="G1576" s="154">
        <v>2.6969111E7</v>
      </c>
      <c r="H1576" s="156">
        <v>0.0</v>
      </c>
      <c r="I1576" s="154">
        <v>5.06675209E8</v>
      </c>
      <c r="J1576" s="156">
        <v>0.0</v>
      </c>
      <c r="K1576" s="154" t="s">
        <v>361</v>
      </c>
    </row>
    <row r="1577">
      <c r="A1577" s="154" t="s">
        <v>4062</v>
      </c>
      <c r="B1577" s="155"/>
      <c r="C1577" s="154" t="s">
        <v>4063</v>
      </c>
      <c r="D1577" s="155"/>
      <c r="E1577" s="155"/>
      <c r="F1577" s="154" t="s">
        <v>4064</v>
      </c>
      <c r="G1577" s="154">
        <v>2.6969111E7</v>
      </c>
      <c r="H1577" s="156">
        <v>0.0</v>
      </c>
      <c r="I1577" s="154">
        <v>5.06675209E8</v>
      </c>
      <c r="J1577" s="156">
        <v>0.0</v>
      </c>
      <c r="K1577" s="154" t="s">
        <v>361</v>
      </c>
    </row>
    <row r="1578">
      <c r="A1578" s="154" t="s">
        <v>4065</v>
      </c>
      <c r="B1578" s="154" t="s">
        <v>4066</v>
      </c>
      <c r="D1578" s="154">
        <v>2.0</v>
      </c>
      <c r="E1578" s="154" t="s">
        <v>761</v>
      </c>
      <c r="F1578" s="154" t="s">
        <v>4067</v>
      </c>
      <c r="G1578" s="156">
        <v>0.0</v>
      </c>
      <c r="H1578" s="156">
        <v>0.0</v>
      </c>
      <c r="I1578" s="154">
        <v>9.71501433165E11</v>
      </c>
      <c r="J1578" s="156">
        <v>0.0</v>
      </c>
      <c r="K1578" s="154" t="s">
        <v>301</v>
      </c>
    </row>
    <row r="1579">
      <c r="A1579" s="154" t="s">
        <v>4065</v>
      </c>
      <c r="B1579" s="155"/>
      <c r="C1579" s="154" t="s">
        <v>4066</v>
      </c>
      <c r="D1579" s="155"/>
      <c r="E1579" s="155"/>
      <c r="F1579" s="154" t="s">
        <v>4067</v>
      </c>
      <c r="G1579" s="156">
        <v>0.0</v>
      </c>
      <c r="H1579" s="156">
        <v>0.0</v>
      </c>
      <c r="I1579" s="154">
        <v>9.71501433165E11</v>
      </c>
      <c r="J1579" s="156">
        <v>0.0</v>
      </c>
      <c r="K1579" s="154" t="s">
        <v>301</v>
      </c>
    </row>
    <row r="1580">
      <c r="A1580" s="154" t="s">
        <v>4068</v>
      </c>
      <c r="B1580" s="154" t="s">
        <v>4069</v>
      </c>
      <c r="D1580" s="154">
        <v>2.0</v>
      </c>
      <c r="E1580" s="154" t="s">
        <v>761</v>
      </c>
      <c r="F1580" s="154" t="s">
        <v>4070</v>
      </c>
      <c r="G1580" s="156">
        <v>0.0</v>
      </c>
      <c r="H1580" s="156">
        <v>0.0</v>
      </c>
      <c r="I1580" s="154" t="s">
        <v>4071</v>
      </c>
      <c r="J1580" s="156">
        <v>0.0</v>
      </c>
      <c r="K1580" s="154" t="s">
        <v>361</v>
      </c>
    </row>
    <row r="1581">
      <c r="A1581" s="154" t="s">
        <v>4068</v>
      </c>
      <c r="B1581" s="155"/>
      <c r="C1581" s="154" t="s">
        <v>4069</v>
      </c>
      <c r="D1581" s="155"/>
      <c r="E1581" s="155"/>
      <c r="F1581" s="154" t="s">
        <v>4070</v>
      </c>
      <c r="G1581" s="156">
        <v>0.0</v>
      </c>
      <c r="H1581" s="156">
        <v>0.0</v>
      </c>
      <c r="I1581" s="154" t="s">
        <v>4071</v>
      </c>
      <c r="J1581" s="156">
        <v>0.0</v>
      </c>
      <c r="K1581" s="154" t="s">
        <v>361</v>
      </c>
    </row>
    <row r="1582">
      <c r="A1582" s="154" t="s">
        <v>4072</v>
      </c>
      <c r="B1582" s="155"/>
      <c r="C1582" s="154" t="s">
        <v>4073</v>
      </c>
      <c r="D1582" s="155"/>
      <c r="E1582" s="155"/>
      <c r="F1582" s="154" t="s">
        <v>4074</v>
      </c>
      <c r="G1582" s="156">
        <v>0.0</v>
      </c>
      <c r="H1582" s="154" t="s">
        <v>4075</v>
      </c>
      <c r="I1582" s="154" t="s">
        <v>4076</v>
      </c>
      <c r="J1582" s="156">
        <v>0.0</v>
      </c>
      <c r="K1582" s="154" t="s">
        <v>939</v>
      </c>
    </row>
    <row r="1583">
      <c r="A1583" s="154" t="s">
        <v>4072</v>
      </c>
      <c r="B1583" s="154" t="s">
        <v>4073</v>
      </c>
      <c r="D1583" s="154">
        <v>2.0</v>
      </c>
      <c r="E1583" s="154" t="s">
        <v>761</v>
      </c>
      <c r="F1583" s="154" t="s">
        <v>4074</v>
      </c>
      <c r="G1583" s="156">
        <v>0.0</v>
      </c>
      <c r="H1583" s="154" t="s">
        <v>4075</v>
      </c>
      <c r="I1583" s="154" t="s">
        <v>4076</v>
      </c>
      <c r="J1583" s="156">
        <v>0.0</v>
      </c>
      <c r="K1583" s="154" t="s">
        <v>939</v>
      </c>
    </row>
    <row r="1584">
      <c r="A1584" s="154" t="s">
        <v>4077</v>
      </c>
      <c r="B1584" s="155"/>
      <c r="C1584" s="154" t="s">
        <v>4078</v>
      </c>
      <c r="D1584" s="155"/>
      <c r="E1584" s="155"/>
      <c r="F1584" s="154" t="s">
        <v>4079</v>
      </c>
      <c r="G1584" s="154">
        <v>4.3622292E7</v>
      </c>
      <c r="H1584" s="156">
        <v>0.0</v>
      </c>
      <c r="I1584" s="156">
        <v>0.0</v>
      </c>
      <c r="J1584" s="156">
        <v>0.0</v>
      </c>
      <c r="K1584" s="154" t="s">
        <v>197</v>
      </c>
    </row>
    <row r="1585">
      <c r="A1585" s="154" t="s">
        <v>4077</v>
      </c>
      <c r="B1585" s="154" t="s">
        <v>4078</v>
      </c>
      <c r="D1585" s="154">
        <v>2.0</v>
      </c>
      <c r="E1585" s="154" t="s">
        <v>761</v>
      </c>
      <c r="F1585" s="154" t="s">
        <v>3429</v>
      </c>
      <c r="G1585" s="154">
        <v>9.71042821E11</v>
      </c>
      <c r="H1585" s="154" t="s">
        <v>2022</v>
      </c>
      <c r="I1585" s="156">
        <v>0.0</v>
      </c>
      <c r="J1585" s="156">
        <v>0.0</v>
      </c>
      <c r="K1585" s="156">
        <v>0.0</v>
      </c>
    </row>
    <row r="1586">
      <c r="A1586" s="154" t="s">
        <v>4080</v>
      </c>
      <c r="B1586" s="155"/>
      <c r="C1586" s="154" t="s">
        <v>4081</v>
      </c>
      <c r="D1586" s="155"/>
      <c r="E1586" s="155"/>
      <c r="F1586" s="154" t="s">
        <v>4082</v>
      </c>
      <c r="G1586" s="156">
        <v>0.0</v>
      </c>
      <c r="H1586" s="154" t="s">
        <v>4083</v>
      </c>
      <c r="I1586" s="154" t="s">
        <v>4084</v>
      </c>
      <c r="J1586" s="154" t="s">
        <v>4085</v>
      </c>
      <c r="K1586" s="154" t="s">
        <v>259</v>
      </c>
    </row>
    <row r="1587">
      <c r="A1587" s="154" t="s">
        <v>4080</v>
      </c>
      <c r="B1587" s="154" t="s">
        <v>4081</v>
      </c>
      <c r="D1587" s="154">
        <v>2.0</v>
      </c>
      <c r="E1587" s="154" t="s">
        <v>761</v>
      </c>
      <c r="F1587" s="154" t="s">
        <v>4086</v>
      </c>
      <c r="G1587" s="156">
        <v>0.0</v>
      </c>
      <c r="H1587" s="154" t="s">
        <v>4087</v>
      </c>
      <c r="I1587" s="154" t="s">
        <v>4088</v>
      </c>
      <c r="J1587" s="154" t="s">
        <v>4089</v>
      </c>
      <c r="K1587" s="154" t="s">
        <v>259</v>
      </c>
    </row>
    <row r="1588">
      <c r="A1588" s="154" t="s">
        <v>4090</v>
      </c>
      <c r="B1588" s="154" t="s">
        <v>4091</v>
      </c>
      <c r="D1588" s="154">
        <v>2.0</v>
      </c>
      <c r="E1588" s="154" t="s">
        <v>761</v>
      </c>
      <c r="F1588" s="154" t="s">
        <v>4092</v>
      </c>
      <c r="G1588" s="156">
        <v>0.0</v>
      </c>
      <c r="H1588" s="156">
        <v>0.0</v>
      </c>
      <c r="I1588" s="154" t="s">
        <v>4093</v>
      </c>
      <c r="J1588" s="154" t="s">
        <v>4094</v>
      </c>
      <c r="K1588" s="154" t="s">
        <v>914</v>
      </c>
    </row>
    <row r="1589">
      <c r="A1589" s="154" t="s">
        <v>4090</v>
      </c>
      <c r="B1589" s="155"/>
      <c r="C1589" s="154" t="s">
        <v>4091</v>
      </c>
      <c r="D1589" s="155"/>
      <c r="E1589" s="155"/>
      <c r="F1589" s="154" t="s">
        <v>4092</v>
      </c>
      <c r="G1589" s="156">
        <v>0.0</v>
      </c>
      <c r="H1589" s="156">
        <v>0.0</v>
      </c>
      <c r="I1589" s="154" t="s">
        <v>4093</v>
      </c>
      <c r="J1589" s="154" t="s">
        <v>4094</v>
      </c>
      <c r="K1589" s="154" t="s">
        <v>914</v>
      </c>
    </row>
    <row r="1590">
      <c r="A1590" s="154" t="s">
        <v>4095</v>
      </c>
      <c r="B1590" s="155"/>
      <c r="C1590" s="154" t="s">
        <v>4096</v>
      </c>
      <c r="D1590" s="155"/>
      <c r="E1590" s="155"/>
      <c r="F1590" s="154" t="s">
        <v>4097</v>
      </c>
      <c r="G1590" s="156">
        <v>0.0</v>
      </c>
      <c r="H1590" s="154" t="s">
        <v>4098</v>
      </c>
      <c r="I1590" s="154">
        <v>5.06993457E8</v>
      </c>
      <c r="J1590" s="156">
        <v>0.0</v>
      </c>
      <c r="K1590" s="154" t="s">
        <v>846</v>
      </c>
    </row>
    <row r="1591">
      <c r="A1591" s="154" t="s">
        <v>4095</v>
      </c>
      <c r="B1591" s="154" t="s">
        <v>4096</v>
      </c>
      <c r="D1591" s="154">
        <v>2.0</v>
      </c>
      <c r="E1591" s="154" t="s">
        <v>761</v>
      </c>
      <c r="F1591" s="154" t="s">
        <v>4097</v>
      </c>
      <c r="G1591" s="156">
        <v>0.0</v>
      </c>
      <c r="H1591" s="154" t="s">
        <v>4098</v>
      </c>
      <c r="I1591" s="154">
        <v>5.06993457E8</v>
      </c>
      <c r="J1591" s="156">
        <v>0.0</v>
      </c>
      <c r="K1591" s="154" t="s">
        <v>846</v>
      </c>
    </row>
    <row r="1592">
      <c r="A1592" s="154" t="s">
        <v>4099</v>
      </c>
      <c r="B1592" s="155"/>
      <c r="C1592" s="154" t="s">
        <v>4100</v>
      </c>
      <c r="D1592" s="155"/>
      <c r="E1592" s="155"/>
      <c r="F1592" s="154" t="s">
        <v>4101</v>
      </c>
      <c r="G1592" s="156">
        <v>0.0</v>
      </c>
      <c r="H1592" s="156">
        <v>0.0</v>
      </c>
      <c r="I1592" s="154" t="s">
        <v>4102</v>
      </c>
      <c r="J1592" s="154" t="s">
        <v>4103</v>
      </c>
      <c r="K1592" s="154" t="s">
        <v>1891</v>
      </c>
    </row>
    <row r="1593">
      <c r="A1593" s="154" t="s">
        <v>4099</v>
      </c>
      <c r="B1593" s="154" t="s">
        <v>4100</v>
      </c>
      <c r="D1593" s="154">
        <v>2.0</v>
      </c>
      <c r="E1593" s="154" t="s">
        <v>761</v>
      </c>
      <c r="F1593" s="154" t="s">
        <v>4101</v>
      </c>
      <c r="G1593" s="156">
        <v>0.0</v>
      </c>
      <c r="H1593" s="156">
        <v>0.0</v>
      </c>
      <c r="I1593" s="154" t="s">
        <v>4102</v>
      </c>
      <c r="J1593" s="154" t="s">
        <v>4103</v>
      </c>
      <c r="K1593" s="154" t="s">
        <v>1891</v>
      </c>
    </row>
    <row r="1594">
      <c r="A1594" s="154" t="s">
        <v>4104</v>
      </c>
      <c r="B1594" s="154" t="s">
        <v>4105</v>
      </c>
      <c r="D1594" s="154">
        <v>2.0</v>
      </c>
      <c r="E1594" s="154" t="s">
        <v>761</v>
      </c>
      <c r="F1594" s="154" t="s">
        <v>4106</v>
      </c>
      <c r="G1594" s="154">
        <v>5.52230499E8</v>
      </c>
      <c r="H1594" s="156">
        <v>0.0</v>
      </c>
      <c r="I1594" s="156">
        <v>0.0</v>
      </c>
      <c r="J1594" s="156">
        <v>0.0</v>
      </c>
      <c r="K1594" s="154" t="s">
        <v>1408</v>
      </c>
    </row>
    <row r="1595">
      <c r="A1595" s="154" t="s">
        <v>4104</v>
      </c>
      <c r="B1595" s="155"/>
      <c r="C1595" s="154" t="s">
        <v>4105</v>
      </c>
      <c r="D1595" s="155"/>
      <c r="E1595" s="155"/>
      <c r="F1595" s="154" t="s">
        <v>4106</v>
      </c>
      <c r="G1595" s="154">
        <v>5.52230499E8</v>
      </c>
      <c r="H1595" s="156">
        <v>0.0</v>
      </c>
      <c r="I1595" s="156">
        <v>0.0</v>
      </c>
      <c r="J1595" s="156">
        <v>0.0</v>
      </c>
      <c r="K1595" s="154" t="s">
        <v>1408</v>
      </c>
    </row>
    <row r="1596">
      <c r="A1596" s="154" t="s">
        <v>4107</v>
      </c>
      <c r="B1596" s="154" t="s">
        <v>4108</v>
      </c>
      <c r="D1596" s="154">
        <v>2.0</v>
      </c>
      <c r="E1596" s="154" t="s">
        <v>761</v>
      </c>
      <c r="F1596" s="154" t="s">
        <v>4109</v>
      </c>
      <c r="G1596" s="156">
        <v>0.0</v>
      </c>
      <c r="H1596" s="154" t="s">
        <v>4110</v>
      </c>
      <c r="I1596" s="154" t="s">
        <v>4111</v>
      </c>
      <c r="J1596" s="156">
        <v>0.0</v>
      </c>
      <c r="K1596" s="154" t="s">
        <v>361</v>
      </c>
    </row>
    <row r="1597">
      <c r="A1597" s="154" t="s">
        <v>4107</v>
      </c>
      <c r="B1597" s="155"/>
      <c r="C1597" s="154" t="s">
        <v>4108</v>
      </c>
      <c r="D1597" s="155"/>
      <c r="E1597" s="155"/>
      <c r="F1597" s="154" t="s">
        <v>4109</v>
      </c>
      <c r="G1597" s="156">
        <v>0.0</v>
      </c>
      <c r="H1597" s="154" t="s">
        <v>4110</v>
      </c>
      <c r="I1597" s="154" t="s">
        <v>4111</v>
      </c>
      <c r="J1597" s="156">
        <v>0.0</v>
      </c>
      <c r="K1597" s="154" t="s">
        <v>361</v>
      </c>
    </row>
    <row r="1598">
      <c r="A1598" s="154" t="s">
        <v>4112</v>
      </c>
      <c r="B1598" s="154" t="s">
        <v>4113</v>
      </c>
      <c r="C1598" s="155"/>
      <c r="D1598" s="154">
        <v>2.0</v>
      </c>
      <c r="E1598" s="154" t="s">
        <v>897</v>
      </c>
      <c r="F1598" s="154" t="s">
        <v>4114</v>
      </c>
      <c r="G1598" s="154">
        <v>4.3397244E7</v>
      </c>
      <c r="H1598" s="156">
        <v>0.0</v>
      </c>
      <c r="I1598" s="154">
        <v>9.71509125668E11</v>
      </c>
      <c r="J1598" s="156">
        <v>0.0</v>
      </c>
      <c r="K1598" s="154" t="s">
        <v>1069</v>
      </c>
    </row>
    <row r="1599">
      <c r="A1599" s="154" t="s">
        <v>4112</v>
      </c>
      <c r="B1599" s="155"/>
      <c r="C1599" s="154" t="s">
        <v>4113</v>
      </c>
      <c r="D1599" s="155"/>
      <c r="E1599" s="155"/>
      <c r="F1599" s="154" t="s">
        <v>4115</v>
      </c>
      <c r="G1599" s="154">
        <v>4.3911111E7</v>
      </c>
      <c r="H1599" s="156">
        <v>0.0</v>
      </c>
      <c r="I1599" s="154">
        <v>9.71509125668E11</v>
      </c>
      <c r="J1599" s="156">
        <v>0.0</v>
      </c>
      <c r="K1599" s="154" t="s">
        <v>1069</v>
      </c>
    </row>
    <row r="1600">
      <c r="A1600" s="154" t="s">
        <v>4116</v>
      </c>
      <c r="B1600" s="154" t="s">
        <v>4117</v>
      </c>
      <c r="C1600" s="155"/>
      <c r="D1600" s="154">
        <v>2.0</v>
      </c>
      <c r="E1600" s="154" t="s">
        <v>897</v>
      </c>
      <c r="F1600" s="154" t="s">
        <v>4118</v>
      </c>
      <c r="G1600" s="154">
        <v>0.0</v>
      </c>
      <c r="H1600" s="156">
        <v>0.0</v>
      </c>
      <c r="I1600" s="156">
        <v>0.0</v>
      </c>
      <c r="J1600" s="156">
        <v>0.0</v>
      </c>
      <c r="K1600" s="154" t="s">
        <v>361</v>
      </c>
    </row>
    <row r="1601">
      <c r="A1601" s="154" t="s">
        <v>4116</v>
      </c>
      <c r="B1601" s="155"/>
      <c r="C1601" s="154" t="s">
        <v>4117</v>
      </c>
      <c r="D1601" s="155"/>
      <c r="E1601" s="155"/>
      <c r="F1601" s="154" t="s">
        <v>4119</v>
      </c>
      <c r="G1601" s="154">
        <v>0.0</v>
      </c>
      <c r="H1601" s="156">
        <v>0.0</v>
      </c>
      <c r="I1601" s="156">
        <v>0.0</v>
      </c>
      <c r="J1601" s="156">
        <v>0.0</v>
      </c>
      <c r="K1601" s="154" t="s">
        <v>361</v>
      </c>
    </row>
    <row r="1602">
      <c r="A1602" s="154" t="s">
        <v>4120</v>
      </c>
      <c r="B1602" s="154" t="s">
        <v>4121</v>
      </c>
      <c r="C1602" s="155"/>
      <c r="D1602" s="154">
        <v>2.0</v>
      </c>
      <c r="E1602" s="154" t="s">
        <v>897</v>
      </c>
      <c r="F1602" s="154" t="s">
        <v>4122</v>
      </c>
      <c r="G1602" s="154" t="s">
        <v>4123</v>
      </c>
      <c r="H1602" s="156">
        <v>0.0</v>
      </c>
      <c r="I1602" s="154" t="s">
        <v>4124</v>
      </c>
      <c r="J1602" s="154" t="s">
        <v>4125</v>
      </c>
      <c r="K1602" s="154" t="s">
        <v>197</v>
      </c>
    </row>
    <row r="1603">
      <c r="A1603" s="154" t="s">
        <v>4120</v>
      </c>
      <c r="B1603" s="155"/>
      <c r="C1603" s="154" t="s">
        <v>4121</v>
      </c>
      <c r="D1603" s="155"/>
      <c r="E1603" s="155"/>
      <c r="F1603" s="154" t="s">
        <v>4122</v>
      </c>
      <c r="G1603" s="154" t="s">
        <v>4123</v>
      </c>
      <c r="H1603" s="156">
        <v>0.0</v>
      </c>
      <c r="I1603" s="154" t="s">
        <v>4124</v>
      </c>
      <c r="J1603" s="154" t="s">
        <v>4125</v>
      </c>
      <c r="K1603" s="154" t="s">
        <v>197</v>
      </c>
    </row>
    <row r="1604">
      <c r="A1604" s="154" t="s">
        <v>4126</v>
      </c>
      <c r="B1604" s="155"/>
      <c r="C1604" s="154" t="s">
        <v>4127</v>
      </c>
      <c r="D1604" s="155"/>
      <c r="E1604" s="155"/>
      <c r="F1604" s="154" t="s">
        <v>4128</v>
      </c>
      <c r="G1604" s="156">
        <v>0.0</v>
      </c>
      <c r="H1604" s="154" t="s">
        <v>3858</v>
      </c>
      <c r="I1604" s="154" t="s">
        <v>3356</v>
      </c>
      <c r="J1604" s="154" t="s">
        <v>4129</v>
      </c>
      <c r="K1604" s="154" t="s">
        <v>341</v>
      </c>
    </row>
    <row r="1605">
      <c r="A1605" s="154" t="s">
        <v>4126</v>
      </c>
      <c r="B1605" s="154" t="s">
        <v>4127</v>
      </c>
      <c r="C1605" s="155"/>
      <c r="D1605" s="154">
        <v>2.0</v>
      </c>
      <c r="E1605" s="154" t="s">
        <v>897</v>
      </c>
      <c r="F1605" s="154" t="s">
        <v>1619</v>
      </c>
      <c r="G1605" s="154">
        <v>4.3903333E7</v>
      </c>
      <c r="H1605" s="154" t="s">
        <v>1620</v>
      </c>
      <c r="I1605" s="156">
        <v>0.0</v>
      </c>
      <c r="J1605" s="156">
        <v>0.0</v>
      </c>
      <c r="K1605" s="156">
        <v>0.0</v>
      </c>
    </row>
    <row r="1606">
      <c r="A1606" s="154" t="s">
        <v>4130</v>
      </c>
      <c r="B1606" s="154" t="s">
        <v>4131</v>
      </c>
      <c r="C1606" s="155"/>
      <c r="D1606" s="154">
        <v>2.0</v>
      </c>
      <c r="E1606" s="154" t="s">
        <v>897</v>
      </c>
      <c r="F1606" s="154" t="s">
        <v>3304</v>
      </c>
      <c r="G1606" s="154" t="s">
        <v>3305</v>
      </c>
      <c r="H1606" s="154" t="s">
        <v>3306</v>
      </c>
      <c r="I1606" s="154" t="s">
        <v>3307</v>
      </c>
      <c r="J1606" s="154" t="s">
        <v>3308</v>
      </c>
      <c r="K1606" s="154" t="s">
        <v>361</v>
      </c>
    </row>
    <row r="1607">
      <c r="A1607" s="154" t="s">
        <v>4130</v>
      </c>
      <c r="B1607" s="155"/>
      <c r="C1607" s="154" t="s">
        <v>4131</v>
      </c>
      <c r="D1607" s="155"/>
      <c r="E1607" s="155"/>
      <c r="F1607" s="154" t="s">
        <v>3304</v>
      </c>
      <c r="G1607" s="154" t="s">
        <v>3305</v>
      </c>
      <c r="H1607" s="154" t="s">
        <v>3306</v>
      </c>
      <c r="I1607" s="154" t="s">
        <v>3307</v>
      </c>
      <c r="J1607" s="154" t="s">
        <v>3308</v>
      </c>
      <c r="K1607" s="154" t="s">
        <v>361</v>
      </c>
    </row>
    <row r="1608">
      <c r="A1608" s="154" t="s">
        <v>4132</v>
      </c>
      <c r="B1608" s="155"/>
      <c r="C1608" s="154" t="s">
        <v>4133</v>
      </c>
      <c r="D1608" s="155"/>
      <c r="E1608" s="155"/>
      <c r="F1608" s="154" t="s">
        <v>4134</v>
      </c>
      <c r="G1608" s="154">
        <v>0.0</v>
      </c>
      <c r="H1608" s="156">
        <v>0.0</v>
      </c>
      <c r="I1608" s="154">
        <v>9.71506114529E11</v>
      </c>
      <c r="J1608" s="156">
        <v>0.0</v>
      </c>
      <c r="K1608" s="154" t="s">
        <v>760</v>
      </c>
    </row>
    <row r="1609">
      <c r="A1609" s="154" t="s">
        <v>4132</v>
      </c>
      <c r="B1609" s="154" t="s">
        <v>4133</v>
      </c>
      <c r="C1609" s="155"/>
      <c r="D1609" s="154">
        <v>2.0</v>
      </c>
      <c r="E1609" s="154" t="s">
        <v>897</v>
      </c>
      <c r="F1609" s="154" t="s">
        <v>4134</v>
      </c>
      <c r="G1609" s="154">
        <v>0.0</v>
      </c>
      <c r="H1609" s="156">
        <v>0.0</v>
      </c>
      <c r="I1609" s="154">
        <v>9.71506114529E11</v>
      </c>
      <c r="J1609" s="156">
        <v>0.0</v>
      </c>
      <c r="K1609" s="154" t="s">
        <v>760</v>
      </c>
    </row>
    <row r="1610">
      <c r="A1610" s="154" t="s">
        <v>4135</v>
      </c>
      <c r="B1610" s="155"/>
      <c r="C1610" s="154" t="s">
        <v>4136</v>
      </c>
      <c r="D1610" s="155"/>
      <c r="E1610" s="155"/>
      <c r="F1610" s="154" t="s">
        <v>4137</v>
      </c>
      <c r="G1610" s="156">
        <v>0.0</v>
      </c>
      <c r="H1610" s="154" t="s">
        <v>4138</v>
      </c>
      <c r="I1610" s="154" t="s">
        <v>4139</v>
      </c>
      <c r="J1610" s="156">
        <v>0.0</v>
      </c>
      <c r="K1610" s="154" t="s">
        <v>240</v>
      </c>
    </row>
    <row r="1611">
      <c r="A1611" s="154" t="s">
        <v>4135</v>
      </c>
      <c r="B1611" s="154" t="s">
        <v>4136</v>
      </c>
      <c r="C1611" s="155"/>
      <c r="D1611" s="154">
        <v>2.0</v>
      </c>
      <c r="E1611" s="154" t="s">
        <v>897</v>
      </c>
      <c r="F1611" s="154" t="s">
        <v>4137</v>
      </c>
      <c r="G1611" s="156">
        <v>0.0</v>
      </c>
      <c r="H1611" s="154" t="s">
        <v>4138</v>
      </c>
      <c r="I1611" s="154" t="s">
        <v>4139</v>
      </c>
      <c r="J1611" s="156">
        <v>0.0</v>
      </c>
      <c r="K1611" s="154" t="s">
        <v>240</v>
      </c>
    </row>
    <row r="1612">
      <c r="A1612" s="154" t="s">
        <v>4140</v>
      </c>
      <c r="B1612" s="154" t="s">
        <v>4141</v>
      </c>
      <c r="C1612" s="155"/>
      <c r="D1612" s="154">
        <v>2.0</v>
      </c>
      <c r="E1612" s="154" t="s">
        <v>897</v>
      </c>
      <c r="F1612" s="154" t="s">
        <v>4142</v>
      </c>
      <c r="G1612" s="156">
        <v>0.0</v>
      </c>
      <c r="H1612" s="154" t="s">
        <v>4143</v>
      </c>
      <c r="I1612" s="154" t="s">
        <v>4144</v>
      </c>
      <c r="J1612" s="154" t="s">
        <v>4145</v>
      </c>
      <c r="K1612" s="154" t="s">
        <v>361</v>
      </c>
    </row>
    <row r="1613">
      <c r="A1613" s="154" t="s">
        <v>4140</v>
      </c>
      <c r="B1613" s="155"/>
      <c r="C1613" s="154" t="s">
        <v>4141</v>
      </c>
      <c r="D1613" s="155"/>
      <c r="E1613" s="155"/>
      <c r="F1613" s="154" t="s">
        <v>4146</v>
      </c>
      <c r="G1613" s="156">
        <v>0.0</v>
      </c>
      <c r="H1613" s="154" t="s">
        <v>4143</v>
      </c>
      <c r="I1613" s="154" t="s">
        <v>4147</v>
      </c>
      <c r="J1613" s="154" t="s">
        <v>4148</v>
      </c>
      <c r="K1613" s="154" t="s">
        <v>361</v>
      </c>
    </row>
    <row r="1614">
      <c r="A1614" s="154" t="s">
        <v>4149</v>
      </c>
      <c r="B1614" s="155"/>
      <c r="C1614" s="154" t="s">
        <v>4150</v>
      </c>
      <c r="D1614" s="155"/>
      <c r="E1614" s="155"/>
      <c r="F1614" s="154" t="s">
        <v>4151</v>
      </c>
      <c r="G1614" s="156">
        <v>0.0</v>
      </c>
      <c r="H1614" s="154" t="s">
        <v>1838</v>
      </c>
      <c r="I1614" s="154" t="s">
        <v>4152</v>
      </c>
      <c r="J1614" s="156">
        <v>0.0</v>
      </c>
      <c r="K1614" s="154" t="s">
        <v>361</v>
      </c>
    </row>
    <row r="1615">
      <c r="A1615" s="154" t="s">
        <v>4149</v>
      </c>
      <c r="B1615" s="154" t="s">
        <v>4150</v>
      </c>
      <c r="C1615" s="155"/>
      <c r="D1615" s="154">
        <v>2.0</v>
      </c>
      <c r="E1615" s="154" t="s">
        <v>897</v>
      </c>
      <c r="F1615" s="154" t="s">
        <v>4151</v>
      </c>
      <c r="G1615" s="156">
        <v>0.0</v>
      </c>
      <c r="H1615" s="154" t="s">
        <v>1838</v>
      </c>
      <c r="I1615" s="154" t="s">
        <v>4152</v>
      </c>
      <c r="J1615" s="156">
        <v>0.0</v>
      </c>
      <c r="K1615" s="154" t="s">
        <v>361</v>
      </c>
    </row>
    <row r="1616">
      <c r="A1616" s="154" t="s">
        <v>4153</v>
      </c>
      <c r="B1616" s="154" t="s">
        <v>4154</v>
      </c>
      <c r="C1616" s="155"/>
      <c r="D1616" s="154">
        <v>2.0</v>
      </c>
      <c r="E1616" s="154" t="s">
        <v>897</v>
      </c>
      <c r="F1616" s="154" t="s">
        <v>4155</v>
      </c>
      <c r="G1616" s="156">
        <v>0.0</v>
      </c>
      <c r="H1616" s="154" t="s">
        <v>4156</v>
      </c>
      <c r="I1616" s="154" t="s">
        <v>4157</v>
      </c>
      <c r="J1616" s="156">
        <v>0.0</v>
      </c>
      <c r="K1616" s="154" t="s">
        <v>760</v>
      </c>
    </row>
    <row r="1617">
      <c r="A1617" s="154" t="s">
        <v>4153</v>
      </c>
      <c r="B1617" s="155"/>
      <c r="C1617" s="154" t="s">
        <v>4154</v>
      </c>
      <c r="D1617" s="155"/>
      <c r="E1617" s="155"/>
      <c r="F1617" s="154" t="s">
        <v>4155</v>
      </c>
      <c r="G1617" s="156">
        <v>0.0</v>
      </c>
      <c r="H1617" s="154" t="s">
        <v>4156</v>
      </c>
      <c r="I1617" s="154" t="s">
        <v>4157</v>
      </c>
      <c r="J1617" s="156">
        <v>0.0</v>
      </c>
      <c r="K1617" s="154" t="s">
        <v>760</v>
      </c>
    </row>
    <row r="1618">
      <c r="A1618" s="154" t="s">
        <v>4158</v>
      </c>
      <c r="B1618" s="155"/>
      <c r="C1618" s="154" t="s">
        <v>4159</v>
      </c>
      <c r="D1618" s="155"/>
      <c r="E1618" s="155"/>
      <c r="F1618" s="154" t="s">
        <v>4160</v>
      </c>
      <c r="G1618" s="154" t="s">
        <v>4161</v>
      </c>
      <c r="H1618" s="154" t="s">
        <v>4162</v>
      </c>
      <c r="I1618" s="154" t="s">
        <v>4163</v>
      </c>
      <c r="J1618" s="156">
        <v>0.0</v>
      </c>
      <c r="K1618" s="154" t="s">
        <v>914</v>
      </c>
    </row>
    <row r="1619">
      <c r="A1619" s="154" t="s">
        <v>4158</v>
      </c>
      <c r="B1619" s="154" t="s">
        <v>4159</v>
      </c>
      <c r="C1619" s="155"/>
      <c r="D1619" s="154">
        <v>2.0</v>
      </c>
      <c r="E1619" s="154" t="s">
        <v>897</v>
      </c>
      <c r="F1619" s="154" t="s">
        <v>4160</v>
      </c>
      <c r="G1619" s="154" t="s">
        <v>4161</v>
      </c>
      <c r="H1619" s="154" t="s">
        <v>4162</v>
      </c>
      <c r="I1619" s="154" t="s">
        <v>4163</v>
      </c>
      <c r="J1619" s="156">
        <v>0.0</v>
      </c>
      <c r="K1619" s="154" t="s">
        <v>914</v>
      </c>
    </row>
    <row r="1620">
      <c r="A1620" s="154" t="s">
        <v>4164</v>
      </c>
      <c r="B1620" s="154" t="s">
        <v>4165</v>
      </c>
      <c r="C1620" s="155"/>
      <c r="D1620" s="154">
        <v>2.0</v>
      </c>
      <c r="E1620" s="154" t="s">
        <v>897</v>
      </c>
      <c r="F1620" s="154" t="s">
        <v>4166</v>
      </c>
      <c r="G1620" s="156">
        <v>0.0</v>
      </c>
      <c r="H1620" s="154" t="s">
        <v>3913</v>
      </c>
      <c r="I1620" s="154" t="s">
        <v>4167</v>
      </c>
      <c r="J1620" s="156">
        <v>0.0</v>
      </c>
      <c r="K1620" s="154" t="s">
        <v>197</v>
      </c>
    </row>
    <row r="1621">
      <c r="A1621" s="154" t="s">
        <v>4164</v>
      </c>
      <c r="B1621" s="155"/>
      <c r="C1621" s="154" t="s">
        <v>4165</v>
      </c>
      <c r="D1621" s="155"/>
      <c r="E1621" s="155"/>
      <c r="F1621" s="154" t="s">
        <v>4166</v>
      </c>
      <c r="G1621" s="156">
        <v>0.0</v>
      </c>
      <c r="H1621" s="154" t="s">
        <v>3913</v>
      </c>
      <c r="I1621" s="154" t="s">
        <v>4167</v>
      </c>
      <c r="J1621" s="156">
        <v>0.0</v>
      </c>
      <c r="K1621" s="154" t="s">
        <v>197</v>
      </c>
    </row>
    <row r="1622">
      <c r="A1622" s="154" t="s">
        <v>4168</v>
      </c>
      <c r="B1622" s="155"/>
      <c r="C1622" s="154" t="s">
        <v>4169</v>
      </c>
      <c r="D1622" s="155"/>
      <c r="E1622" s="155"/>
      <c r="F1622" s="154" t="s">
        <v>4170</v>
      </c>
      <c r="G1622" s="156">
        <v>0.0</v>
      </c>
      <c r="H1622" s="154" t="s">
        <v>4171</v>
      </c>
      <c r="I1622" s="154" t="s">
        <v>4172</v>
      </c>
      <c r="J1622" s="156">
        <v>0.0</v>
      </c>
      <c r="K1622" s="154" t="s">
        <v>4173</v>
      </c>
    </row>
    <row r="1623">
      <c r="A1623" s="154" t="s">
        <v>4168</v>
      </c>
      <c r="B1623" s="154" t="s">
        <v>4169</v>
      </c>
      <c r="C1623" s="155"/>
      <c r="D1623" s="154">
        <v>2.0</v>
      </c>
      <c r="E1623" s="154" t="s">
        <v>897</v>
      </c>
      <c r="F1623" s="154" t="s">
        <v>4170</v>
      </c>
      <c r="G1623" s="156">
        <v>0.0</v>
      </c>
      <c r="H1623" s="154" t="s">
        <v>4171</v>
      </c>
      <c r="I1623" s="154" t="s">
        <v>4172</v>
      </c>
      <c r="J1623" s="156">
        <v>0.0</v>
      </c>
      <c r="K1623" s="154" t="s">
        <v>4173</v>
      </c>
    </row>
    <row r="1624">
      <c r="A1624" s="154" t="s">
        <v>4174</v>
      </c>
      <c r="B1624" s="154" t="s">
        <v>4175</v>
      </c>
      <c r="C1624" s="155"/>
      <c r="D1624" s="154">
        <v>2.0</v>
      </c>
      <c r="E1624" s="154" t="s">
        <v>897</v>
      </c>
      <c r="F1624" s="154" t="s">
        <v>4176</v>
      </c>
      <c r="G1624" s="154">
        <v>0.0</v>
      </c>
      <c r="H1624" s="156">
        <v>0.0</v>
      </c>
      <c r="I1624" s="154" t="s">
        <v>4177</v>
      </c>
      <c r="J1624" s="156">
        <v>0.0</v>
      </c>
      <c r="K1624" s="154" t="s">
        <v>259</v>
      </c>
    </row>
    <row r="1625">
      <c r="A1625" s="154" t="s">
        <v>4174</v>
      </c>
      <c r="B1625" s="155"/>
      <c r="C1625" s="154" t="s">
        <v>4175</v>
      </c>
      <c r="D1625" s="155"/>
      <c r="E1625" s="155"/>
      <c r="F1625" s="154" t="s">
        <v>4178</v>
      </c>
      <c r="G1625" s="154">
        <v>0.0</v>
      </c>
      <c r="H1625" s="156">
        <v>0.0</v>
      </c>
      <c r="I1625" s="154">
        <v>0.0</v>
      </c>
      <c r="J1625" s="156">
        <v>0.0</v>
      </c>
      <c r="K1625" s="154" t="s">
        <v>259</v>
      </c>
    </row>
    <row r="1626">
      <c r="A1626" s="154" t="s">
        <v>4179</v>
      </c>
      <c r="B1626" s="155"/>
      <c r="C1626" s="154" t="s">
        <v>4180</v>
      </c>
      <c r="D1626" s="155"/>
      <c r="E1626" s="155"/>
      <c r="F1626" s="154" t="s">
        <v>4181</v>
      </c>
      <c r="G1626" s="156">
        <v>0.0</v>
      </c>
      <c r="H1626" s="156">
        <v>0.0</v>
      </c>
      <c r="I1626" s="154">
        <v>5.04843948E8</v>
      </c>
      <c r="J1626" s="156">
        <v>0.0</v>
      </c>
      <c r="K1626" s="154" t="s">
        <v>760</v>
      </c>
    </row>
    <row r="1627">
      <c r="A1627" s="154" t="s">
        <v>4179</v>
      </c>
      <c r="B1627" s="154" t="s">
        <v>4180</v>
      </c>
      <c r="C1627" s="155"/>
      <c r="D1627" s="154">
        <v>2.0</v>
      </c>
      <c r="E1627" s="154" t="s">
        <v>897</v>
      </c>
      <c r="F1627" s="154" t="s">
        <v>4181</v>
      </c>
      <c r="G1627" s="156">
        <v>0.0</v>
      </c>
      <c r="H1627" s="156">
        <v>0.0</v>
      </c>
      <c r="I1627" s="154">
        <v>5.04843948E8</v>
      </c>
      <c r="J1627" s="156">
        <v>0.0</v>
      </c>
      <c r="K1627" s="154" t="s">
        <v>760</v>
      </c>
    </row>
    <row r="1628">
      <c r="A1628" s="154" t="s">
        <v>4182</v>
      </c>
      <c r="B1628" s="154" t="s">
        <v>4183</v>
      </c>
      <c r="C1628" s="155"/>
      <c r="D1628" s="154">
        <v>2.0</v>
      </c>
      <c r="E1628" s="154" t="s">
        <v>897</v>
      </c>
      <c r="F1628" s="154" t="s">
        <v>4184</v>
      </c>
      <c r="G1628" s="156">
        <v>0.0</v>
      </c>
      <c r="H1628" s="156">
        <v>0.0</v>
      </c>
      <c r="I1628" s="154" t="s">
        <v>853</v>
      </c>
      <c r="J1628" s="154" t="s">
        <v>809</v>
      </c>
      <c r="K1628" s="154" t="s">
        <v>361</v>
      </c>
    </row>
    <row r="1629">
      <c r="A1629" s="154" t="s">
        <v>4182</v>
      </c>
      <c r="B1629" s="155"/>
      <c r="C1629" s="154" t="s">
        <v>4183</v>
      </c>
      <c r="D1629" s="155"/>
      <c r="E1629" s="155"/>
      <c r="F1629" s="154" t="s">
        <v>4184</v>
      </c>
      <c r="G1629" s="156">
        <v>0.0</v>
      </c>
      <c r="H1629" s="156">
        <v>0.0</v>
      </c>
      <c r="I1629" s="154" t="s">
        <v>853</v>
      </c>
      <c r="J1629" s="154" t="s">
        <v>809</v>
      </c>
      <c r="K1629" s="154" t="s">
        <v>361</v>
      </c>
    </row>
    <row r="1630">
      <c r="A1630" s="154" t="s">
        <v>4185</v>
      </c>
      <c r="B1630" s="155"/>
      <c r="C1630" s="154" t="s">
        <v>4186</v>
      </c>
      <c r="D1630" s="155"/>
      <c r="E1630" s="155"/>
      <c r="F1630" s="154" t="s">
        <v>4187</v>
      </c>
      <c r="G1630" s="156">
        <v>0.0</v>
      </c>
      <c r="H1630" s="156">
        <v>0.0</v>
      </c>
      <c r="I1630" s="154" t="s">
        <v>959</v>
      </c>
      <c r="J1630" s="154" t="s">
        <v>4188</v>
      </c>
      <c r="K1630" s="154" t="s">
        <v>760</v>
      </c>
    </row>
    <row r="1631">
      <c r="A1631" s="154" t="s">
        <v>4185</v>
      </c>
      <c r="B1631" s="154" t="s">
        <v>4186</v>
      </c>
      <c r="C1631" s="155"/>
      <c r="D1631" s="154">
        <v>2.0</v>
      </c>
      <c r="E1631" s="154" t="s">
        <v>897</v>
      </c>
      <c r="F1631" s="154" t="s">
        <v>4187</v>
      </c>
      <c r="G1631" s="156">
        <v>0.0</v>
      </c>
      <c r="H1631" s="156">
        <v>0.0</v>
      </c>
      <c r="I1631" s="154" t="s">
        <v>959</v>
      </c>
      <c r="J1631" s="154" t="s">
        <v>4188</v>
      </c>
      <c r="K1631" s="154" t="s">
        <v>760</v>
      </c>
    </row>
    <row r="1632">
      <c r="A1632" s="154" t="s">
        <v>4189</v>
      </c>
      <c r="B1632" s="154" t="s">
        <v>4190</v>
      </c>
      <c r="C1632" s="155"/>
      <c r="D1632" s="154">
        <v>2.0</v>
      </c>
      <c r="E1632" s="154" t="s">
        <v>897</v>
      </c>
      <c r="F1632" s="154" t="s">
        <v>4191</v>
      </c>
      <c r="G1632" s="154">
        <v>5.62633182E8</v>
      </c>
      <c r="H1632" s="156">
        <v>0.0</v>
      </c>
      <c r="I1632" s="156">
        <v>0.0</v>
      </c>
      <c r="J1632" s="156">
        <v>0.0</v>
      </c>
      <c r="K1632" s="156">
        <v>0.0</v>
      </c>
    </row>
    <row r="1633">
      <c r="A1633" s="154" t="s">
        <v>4189</v>
      </c>
      <c r="B1633" s="155"/>
      <c r="C1633" s="154" t="s">
        <v>4190</v>
      </c>
      <c r="D1633" s="155"/>
      <c r="E1633" s="155"/>
      <c r="F1633" s="154" t="s">
        <v>4191</v>
      </c>
      <c r="G1633" s="154">
        <v>5.62633182E8</v>
      </c>
      <c r="H1633" s="156">
        <v>0.0</v>
      </c>
      <c r="I1633" s="156">
        <v>0.0</v>
      </c>
      <c r="J1633" s="156">
        <v>0.0</v>
      </c>
      <c r="K1633" s="156">
        <v>0.0</v>
      </c>
    </row>
    <row r="1634">
      <c r="A1634" s="154" t="s">
        <v>4192</v>
      </c>
      <c r="B1634" s="155"/>
      <c r="C1634" s="154" t="s">
        <v>4193</v>
      </c>
      <c r="D1634" s="155"/>
      <c r="E1634" s="155"/>
      <c r="F1634" s="154" t="s">
        <v>4194</v>
      </c>
      <c r="G1634" s="156">
        <v>0.0</v>
      </c>
      <c r="H1634" s="154" t="s">
        <v>4195</v>
      </c>
      <c r="I1634" s="154" t="s">
        <v>4196</v>
      </c>
      <c r="J1634" s="154" t="s">
        <v>4197</v>
      </c>
      <c r="K1634" s="154" t="s">
        <v>259</v>
      </c>
    </row>
    <row r="1635">
      <c r="A1635" s="154" t="s">
        <v>4192</v>
      </c>
      <c r="B1635" s="154" t="s">
        <v>4193</v>
      </c>
      <c r="C1635" s="155"/>
      <c r="D1635" s="154">
        <v>2.0</v>
      </c>
      <c r="E1635" s="154" t="s">
        <v>897</v>
      </c>
      <c r="F1635" s="154" t="s">
        <v>4194</v>
      </c>
      <c r="G1635" s="156">
        <v>0.0</v>
      </c>
      <c r="H1635" s="154" t="s">
        <v>4195</v>
      </c>
      <c r="I1635" s="154" t="s">
        <v>4196</v>
      </c>
      <c r="J1635" s="154" t="s">
        <v>4197</v>
      </c>
      <c r="K1635" s="154" t="s">
        <v>259</v>
      </c>
    </row>
    <row r="1636">
      <c r="A1636" s="154" t="s">
        <v>4198</v>
      </c>
      <c r="B1636" s="154" t="s">
        <v>4199</v>
      </c>
      <c r="C1636" s="155"/>
      <c r="D1636" s="154">
        <v>2.0</v>
      </c>
      <c r="E1636" s="154" t="s">
        <v>897</v>
      </c>
      <c r="F1636" s="154" t="s">
        <v>1619</v>
      </c>
      <c r="G1636" s="154">
        <v>4.3903333E7</v>
      </c>
      <c r="H1636" s="154" t="s">
        <v>1620</v>
      </c>
      <c r="I1636" s="156">
        <v>0.0</v>
      </c>
      <c r="J1636" s="156">
        <v>0.0</v>
      </c>
      <c r="K1636" s="156">
        <v>0.0</v>
      </c>
    </row>
    <row r="1637">
      <c r="A1637" s="154" t="s">
        <v>4198</v>
      </c>
      <c r="B1637" s="155"/>
      <c r="C1637" s="154" t="s">
        <v>4199</v>
      </c>
      <c r="D1637" s="155"/>
      <c r="E1637" s="155"/>
      <c r="F1637" s="154" t="s">
        <v>1619</v>
      </c>
      <c r="G1637" s="154">
        <v>4.3903333E7</v>
      </c>
      <c r="H1637" s="154" t="s">
        <v>1620</v>
      </c>
      <c r="I1637" s="156">
        <v>0.0</v>
      </c>
      <c r="J1637" s="156">
        <v>0.0</v>
      </c>
      <c r="K1637" s="156">
        <v>0.0</v>
      </c>
    </row>
    <row r="1638">
      <c r="A1638" s="154" t="s">
        <v>4200</v>
      </c>
      <c r="B1638" s="154" t="s">
        <v>4201</v>
      </c>
      <c r="C1638" s="155"/>
      <c r="D1638" s="154">
        <v>2.0</v>
      </c>
      <c r="E1638" s="154" t="s">
        <v>897</v>
      </c>
      <c r="F1638" s="154" t="s">
        <v>4202</v>
      </c>
      <c r="G1638" s="156">
        <v>0.0</v>
      </c>
      <c r="H1638" s="156">
        <v>0.0</v>
      </c>
      <c r="I1638" s="154">
        <v>50.0</v>
      </c>
      <c r="J1638" s="156">
        <v>0.0</v>
      </c>
      <c r="K1638" s="154" t="s">
        <v>259</v>
      </c>
    </row>
    <row r="1639">
      <c r="A1639" s="154" t="s">
        <v>4200</v>
      </c>
      <c r="B1639" s="155"/>
      <c r="C1639" s="154" t="s">
        <v>4201</v>
      </c>
      <c r="D1639" s="155"/>
      <c r="E1639" s="155"/>
      <c r="F1639" s="154" t="s">
        <v>4202</v>
      </c>
      <c r="G1639" s="156">
        <v>0.0</v>
      </c>
      <c r="H1639" s="156">
        <v>0.0</v>
      </c>
      <c r="I1639" s="154">
        <v>50.0</v>
      </c>
      <c r="J1639" s="156">
        <v>0.0</v>
      </c>
      <c r="K1639" s="154" t="s">
        <v>259</v>
      </c>
    </row>
    <row r="1640">
      <c r="A1640" s="154" t="s">
        <v>4203</v>
      </c>
      <c r="B1640" s="154" t="s">
        <v>4204</v>
      </c>
      <c r="C1640" s="155"/>
      <c r="D1640" s="154">
        <v>2.0</v>
      </c>
      <c r="E1640" s="154" t="s">
        <v>897</v>
      </c>
      <c r="F1640" s="154" t="s">
        <v>4205</v>
      </c>
      <c r="G1640" s="156">
        <v>0.0</v>
      </c>
      <c r="H1640" s="154" t="s">
        <v>4206</v>
      </c>
      <c r="I1640" s="154" t="s">
        <v>4207</v>
      </c>
      <c r="J1640" s="154" t="s">
        <v>4208</v>
      </c>
      <c r="K1640" s="154" t="s">
        <v>1891</v>
      </c>
    </row>
    <row r="1641">
      <c r="A1641" s="154" t="s">
        <v>4203</v>
      </c>
      <c r="B1641" s="155"/>
      <c r="C1641" s="154" t="s">
        <v>4204</v>
      </c>
      <c r="D1641" s="155"/>
      <c r="E1641" s="155"/>
      <c r="F1641" s="154" t="s">
        <v>4205</v>
      </c>
      <c r="G1641" s="156">
        <v>0.0</v>
      </c>
      <c r="H1641" s="154" t="s">
        <v>4206</v>
      </c>
      <c r="I1641" s="154" t="s">
        <v>4207</v>
      </c>
      <c r="J1641" s="154" t="s">
        <v>4208</v>
      </c>
      <c r="K1641" s="154" t="s">
        <v>1891</v>
      </c>
    </row>
    <row r="1642">
      <c r="A1642" s="154" t="s">
        <v>4209</v>
      </c>
      <c r="B1642" s="155"/>
      <c r="C1642" s="154" t="s">
        <v>4210</v>
      </c>
      <c r="D1642" s="155"/>
      <c r="E1642" s="155"/>
      <c r="F1642" s="154" t="s">
        <v>4211</v>
      </c>
      <c r="G1642" s="156">
        <v>0.0</v>
      </c>
      <c r="H1642" s="156">
        <v>0.0</v>
      </c>
      <c r="I1642" s="154" t="s">
        <v>4212</v>
      </c>
      <c r="J1642" s="154" t="s">
        <v>4213</v>
      </c>
      <c r="K1642" s="154" t="s">
        <v>197</v>
      </c>
    </row>
    <row r="1643">
      <c r="A1643" s="154" t="s">
        <v>4209</v>
      </c>
      <c r="B1643" s="154" t="s">
        <v>4210</v>
      </c>
      <c r="C1643" s="155"/>
      <c r="D1643" s="154">
        <v>2.0</v>
      </c>
      <c r="E1643" s="154" t="s">
        <v>897</v>
      </c>
      <c r="F1643" s="154" t="s">
        <v>4211</v>
      </c>
      <c r="G1643" s="156">
        <v>0.0</v>
      </c>
      <c r="H1643" s="156">
        <v>0.0</v>
      </c>
      <c r="I1643" s="154" t="s">
        <v>4212</v>
      </c>
      <c r="J1643" s="154" t="s">
        <v>4213</v>
      </c>
      <c r="K1643" s="154" t="s">
        <v>197</v>
      </c>
    </row>
    <row r="1644">
      <c r="A1644" s="154" t="s">
        <v>4214</v>
      </c>
      <c r="B1644" s="155"/>
      <c r="C1644" s="154" t="s">
        <v>4215</v>
      </c>
      <c r="D1644" s="155"/>
      <c r="E1644" s="155"/>
      <c r="F1644" s="154" t="s">
        <v>4216</v>
      </c>
      <c r="G1644" s="156">
        <v>0.0</v>
      </c>
      <c r="H1644" s="156">
        <v>0.0</v>
      </c>
      <c r="I1644" s="154" t="s">
        <v>3356</v>
      </c>
      <c r="J1644" s="156">
        <v>0.0</v>
      </c>
      <c r="K1644" s="154" t="s">
        <v>1814</v>
      </c>
    </row>
    <row r="1645">
      <c r="A1645" s="154" t="s">
        <v>4214</v>
      </c>
      <c r="B1645" s="154" t="s">
        <v>4215</v>
      </c>
      <c r="C1645" s="155"/>
      <c r="D1645" s="154">
        <v>2.0</v>
      </c>
      <c r="E1645" s="154" t="s">
        <v>897</v>
      </c>
      <c r="F1645" s="154" t="s">
        <v>4217</v>
      </c>
      <c r="G1645" s="156">
        <v>0.0</v>
      </c>
      <c r="H1645" s="156">
        <v>0.0</v>
      </c>
      <c r="I1645" s="154" t="s">
        <v>4218</v>
      </c>
      <c r="J1645" s="156">
        <v>0.0</v>
      </c>
      <c r="K1645" s="154" t="s">
        <v>1814</v>
      </c>
    </row>
    <row r="1646">
      <c r="A1646" s="154" t="s">
        <v>4219</v>
      </c>
      <c r="B1646" s="155"/>
      <c r="C1646" s="154" t="s">
        <v>4220</v>
      </c>
      <c r="D1646" s="155"/>
      <c r="E1646" s="155"/>
      <c r="F1646" s="154" t="s">
        <v>4221</v>
      </c>
      <c r="G1646" s="156">
        <v>0.0</v>
      </c>
      <c r="H1646" s="154" t="s">
        <v>4222</v>
      </c>
      <c r="I1646" s="154">
        <v>9.715078518E11</v>
      </c>
      <c r="J1646" s="156">
        <v>0.0</v>
      </c>
      <c r="K1646" s="154" t="s">
        <v>361</v>
      </c>
    </row>
    <row r="1647">
      <c r="A1647" s="154" t="s">
        <v>4219</v>
      </c>
      <c r="B1647" s="154" t="s">
        <v>4220</v>
      </c>
      <c r="C1647" s="155"/>
      <c r="D1647" s="154">
        <v>2.0</v>
      </c>
      <c r="E1647" s="154" t="s">
        <v>897</v>
      </c>
      <c r="F1647" s="154" t="s">
        <v>4221</v>
      </c>
      <c r="G1647" s="156">
        <v>0.0</v>
      </c>
      <c r="H1647" s="154" t="s">
        <v>4222</v>
      </c>
      <c r="I1647" s="154">
        <v>9.715078518E11</v>
      </c>
      <c r="J1647" s="156">
        <v>0.0</v>
      </c>
      <c r="K1647" s="154" t="s">
        <v>361</v>
      </c>
    </row>
    <row r="1648">
      <c r="A1648" s="154" t="s">
        <v>4223</v>
      </c>
      <c r="B1648" s="155"/>
      <c r="C1648" s="154" t="s">
        <v>4224</v>
      </c>
      <c r="D1648" s="155"/>
      <c r="E1648" s="155"/>
      <c r="F1648" s="154" t="s">
        <v>4225</v>
      </c>
      <c r="G1648" s="154">
        <v>5.61026115E8</v>
      </c>
      <c r="H1648" s="156">
        <v>0.0</v>
      </c>
      <c r="I1648" s="154">
        <v>5.61026115E8</v>
      </c>
      <c r="J1648" s="156">
        <v>0.0</v>
      </c>
      <c r="K1648" s="154" t="s">
        <v>361</v>
      </c>
    </row>
    <row r="1649">
      <c r="A1649" s="154" t="s">
        <v>4223</v>
      </c>
      <c r="B1649" s="154" t="s">
        <v>4224</v>
      </c>
      <c r="C1649" s="155"/>
      <c r="D1649" s="154">
        <v>2.0</v>
      </c>
      <c r="E1649" s="154" t="s">
        <v>897</v>
      </c>
      <c r="F1649" s="154" t="s">
        <v>2947</v>
      </c>
      <c r="G1649" s="154">
        <v>4.0</v>
      </c>
      <c r="H1649" s="154" t="s">
        <v>2948</v>
      </c>
      <c r="I1649" s="156">
        <v>0.0</v>
      </c>
      <c r="J1649" s="156">
        <v>0.0</v>
      </c>
      <c r="K1649" s="156">
        <v>0.0</v>
      </c>
    </row>
    <row r="1650">
      <c r="A1650" s="154" t="s">
        <v>4226</v>
      </c>
      <c r="B1650" s="155"/>
      <c r="C1650" s="154" t="s">
        <v>4227</v>
      </c>
      <c r="D1650" s="155"/>
      <c r="E1650" s="155"/>
      <c r="F1650" s="154" t="s">
        <v>4228</v>
      </c>
      <c r="G1650" s="154">
        <v>971.0</v>
      </c>
      <c r="H1650" s="154" t="s">
        <v>4229</v>
      </c>
      <c r="I1650" s="154" t="s">
        <v>4230</v>
      </c>
      <c r="J1650" s="154" t="s">
        <v>4231</v>
      </c>
      <c r="K1650" s="154" t="s">
        <v>846</v>
      </c>
    </row>
    <row r="1651">
      <c r="A1651" s="154" t="s">
        <v>4226</v>
      </c>
      <c r="B1651" s="154" t="s">
        <v>4227</v>
      </c>
      <c r="C1651" s="155"/>
      <c r="D1651" s="154">
        <v>2.0</v>
      </c>
      <c r="E1651" s="154" t="s">
        <v>897</v>
      </c>
      <c r="F1651" s="154" t="s">
        <v>4228</v>
      </c>
      <c r="G1651" s="154">
        <v>971.0</v>
      </c>
      <c r="H1651" s="154" t="s">
        <v>4229</v>
      </c>
      <c r="I1651" s="154" t="s">
        <v>4230</v>
      </c>
      <c r="J1651" s="154" t="s">
        <v>4231</v>
      </c>
      <c r="K1651" s="154" t="s">
        <v>846</v>
      </c>
    </row>
    <row r="1652">
      <c r="A1652" s="154" t="s">
        <v>4232</v>
      </c>
      <c r="B1652" s="155"/>
      <c r="C1652" s="154" t="s">
        <v>4233</v>
      </c>
      <c r="D1652" s="155"/>
      <c r="E1652" s="155"/>
      <c r="F1652" s="154" t="s">
        <v>4234</v>
      </c>
      <c r="G1652" s="154" t="s">
        <v>3350</v>
      </c>
      <c r="H1652" s="154" t="s">
        <v>4235</v>
      </c>
      <c r="I1652" s="154" t="s">
        <v>3349</v>
      </c>
      <c r="J1652" s="154" t="s">
        <v>3350</v>
      </c>
      <c r="K1652" s="154" t="s">
        <v>760</v>
      </c>
    </row>
    <row r="1653">
      <c r="A1653" s="154" t="s">
        <v>4232</v>
      </c>
      <c r="B1653" s="154" t="s">
        <v>4233</v>
      </c>
      <c r="C1653" s="155"/>
      <c r="D1653" s="154">
        <v>2.0</v>
      </c>
      <c r="E1653" s="154" t="s">
        <v>897</v>
      </c>
      <c r="F1653" s="154" t="s">
        <v>4234</v>
      </c>
      <c r="G1653" s="154" t="s">
        <v>3350</v>
      </c>
      <c r="H1653" s="154" t="s">
        <v>4235</v>
      </c>
      <c r="I1653" s="154" t="s">
        <v>3349</v>
      </c>
      <c r="J1653" s="154" t="s">
        <v>3350</v>
      </c>
      <c r="K1653" s="154" t="s">
        <v>760</v>
      </c>
    </row>
    <row r="1654">
      <c r="A1654" s="154" t="s">
        <v>4236</v>
      </c>
      <c r="B1654" s="154" t="s">
        <v>4237</v>
      </c>
      <c r="C1654" s="155"/>
      <c r="D1654" s="154">
        <v>2.0</v>
      </c>
      <c r="E1654" s="154" t="s">
        <v>897</v>
      </c>
      <c r="F1654" s="154" t="s">
        <v>4238</v>
      </c>
      <c r="G1654" s="154">
        <v>5.59348818E8</v>
      </c>
      <c r="H1654" s="156">
        <v>0.0</v>
      </c>
      <c r="I1654" s="156">
        <v>0.0</v>
      </c>
      <c r="J1654" s="156">
        <v>0.0</v>
      </c>
      <c r="K1654" s="156">
        <v>0.0</v>
      </c>
    </row>
    <row r="1655">
      <c r="A1655" s="154" t="s">
        <v>4236</v>
      </c>
      <c r="B1655" s="155"/>
      <c r="C1655" s="154" t="s">
        <v>4237</v>
      </c>
      <c r="D1655" s="155"/>
      <c r="E1655" s="155"/>
      <c r="F1655" s="154" t="s">
        <v>4238</v>
      </c>
      <c r="G1655" s="154">
        <v>5.59348818E8</v>
      </c>
      <c r="H1655" s="156">
        <v>0.0</v>
      </c>
      <c r="I1655" s="156">
        <v>0.0</v>
      </c>
      <c r="J1655" s="156">
        <v>0.0</v>
      </c>
      <c r="K1655" s="156">
        <v>0.0</v>
      </c>
    </row>
    <row r="1656">
      <c r="A1656" s="154" t="s">
        <v>4239</v>
      </c>
      <c r="B1656" s="154" t="s">
        <v>4240</v>
      </c>
      <c r="C1656" s="155"/>
      <c r="D1656" s="154">
        <v>2.0</v>
      </c>
      <c r="E1656" s="154" t="s">
        <v>897</v>
      </c>
      <c r="F1656" s="154" t="s">
        <v>4241</v>
      </c>
      <c r="G1656" s="154">
        <v>5.27874259E8</v>
      </c>
      <c r="H1656" s="154" t="s">
        <v>1563</v>
      </c>
      <c r="I1656" s="156">
        <v>0.0</v>
      </c>
      <c r="J1656" s="156">
        <v>0.0</v>
      </c>
      <c r="K1656" s="156">
        <v>0.0</v>
      </c>
    </row>
    <row r="1657">
      <c r="A1657" s="154" t="s">
        <v>4239</v>
      </c>
      <c r="B1657" s="155"/>
      <c r="C1657" s="154" t="s">
        <v>4240</v>
      </c>
      <c r="D1657" s="155"/>
      <c r="E1657" s="155"/>
      <c r="F1657" s="154" t="s">
        <v>4241</v>
      </c>
      <c r="G1657" s="154">
        <v>5.27874259E8</v>
      </c>
      <c r="H1657" s="154" t="s">
        <v>1563</v>
      </c>
      <c r="I1657" s="156">
        <v>0.0</v>
      </c>
      <c r="J1657" s="156">
        <v>0.0</v>
      </c>
      <c r="K1657" s="156">
        <v>0.0</v>
      </c>
    </row>
    <row r="1658">
      <c r="A1658" s="154" t="s">
        <v>4242</v>
      </c>
      <c r="B1658" s="154" t="s">
        <v>4243</v>
      </c>
      <c r="C1658" s="155"/>
      <c r="D1658" s="154">
        <v>2.0</v>
      </c>
      <c r="E1658" s="154" t="s">
        <v>897</v>
      </c>
      <c r="F1658" s="154" t="s">
        <v>4244</v>
      </c>
      <c r="G1658" s="154">
        <v>0.0</v>
      </c>
      <c r="H1658" s="156">
        <v>0.0</v>
      </c>
      <c r="I1658" s="154">
        <v>9.71505545281E11</v>
      </c>
      <c r="J1658" s="156">
        <v>0.0</v>
      </c>
      <c r="K1658" s="154" t="s">
        <v>760</v>
      </c>
    </row>
    <row r="1659">
      <c r="A1659" s="154" t="s">
        <v>4242</v>
      </c>
      <c r="B1659" s="155"/>
      <c r="C1659" s="154" t="s">
        <v>4243</v>
      </c>
      <c r="D1659" s="155"/>
      <c r="E1659" s="155"/>
      <c r="F1659" s="154" t="s">
        <v>4244</v>
      </c>
      <c r="G1659" s="154">
        <v>0.0</v>
      </c>
      <c r="H1659" s="156">
        <v>0.0</v>
      </c>
      <c r="I1659" s="154">
        <v>9.71505545281E11</v>
      </c>
      <c r="J1659" s="156">
        <v>0.0</v>
      </c>
      <c r="K1659" s="154" t="s">
        <v>760</v>
      </c>
    </row>
    <row r="1660">
      <c r="A1660" s="154" t="s">
        <v>4245</v>
      </c>
      <c r="B1660" s="154" t="s">
        <v>4246</v>
      </c>
      <c r="C1660" s="155"/>
      <c r="D1660" s="154">
        <v>2.0</v>
      </c>
      <c r="E1660" s="154" t="s">
        <v>897</v>
      </c>
      <c r="F1660" s="154" t="s">
        <v>1619</v>
      </c>
      <c r="G1660" s="154">
        <v>4.3903333E7</v>
      </c>
      <c r="H1660" s="154" t="s">
        <v>1620</v>
      </c>
      <c r="I1660" s="156">
        <v>0.0</v>
      </c>
      <c r="J1660" s="156">
        <v>0.0</v>
      </c>
      <c r="K1660" s="156">
        <v>0.0</v>
      </c>
    </row>
    <row r="1661">
      <c r="A1661" s="154" t="s">
        <v>4245</v>
      </c>
      <c r="B1661" s="155"/>
      <c r="C1661" s="154" t="s">
        <v>4246</v>
      </c>
      <c r="D1661" s="155"/>
      <c r="E1661" s="155"/>
      <c r="F1661" s="154" t="s">
        <v>4247</v>
      </c>
      <c r="G1661" s="156">
        <v>0.0</v>
      </c>
      <c r="H1661" s="156">
        <v>0.0</v>
      </c>
      <c r="I1661" s="154">
        <v>9.715665374E11</v>
      </c>
      <c r="J1661" s="156">
        <v>0.0</v>
      </c>
      <c r="K1661" s="154" t="s">
        <v>361</v>
      </c>
    </row>
    <row r="1662">
      <c r="A1662" s="154" t="s">
        <v>4248</v>
      </c>
      <c r="B1662" s="154" t="s">
        <v>4249</v>
      </c>
      <c r="C1662" s="155"/>
      <c r="D1662" s="154">
        <v>2.0</v>
      </c>
      <c r="E1662" s="154" t="s">
        <v>897</v>
      </c>
      <c r="F1662" s="154" t="s">
        <v>4250</v>
      </c>
      <c r="G1662" s="156">
        <v>0.0</v>
      </c>
      <c r="H1662" s="156">
        <v>0.0</v>
      </c>
      <c r="I1662" s="154" t="s">
        <v>853</v>
      </c>
      <c r="J1662" s="154" t="s">
        <v>1133</v>
      </c>
      <c r="K1662" s="154" t="s">
        <v>197</v>
      </c>
    </row>
    <row r="1663">
      <c r="A1663" s="154" t="s">
        <v>4248</v>
      </c>
      <c r="B1663" s="155"/>
      <c r="C1663" s="154" t="s">
        <v>4249</v>
      </c>
      <c r="D1663" s="155"/>
      <c r="E1663" s="155"/>
      <c r="F1663" s="154" t="s">
        <v>4250</v>
      </c>
      <c r="G1663" s="156">
        <v>0.0</v>
      </c>
      <c r="H1663" s="156">
        <v>0.0</v>
      </c>
      <c r="I1663" s="154" t="s">
        <v>853</v>
      </c>
      <c r="J1663" s="154" t="s">
        <v>1133</v>
      </c>
      <c r="K1663" s="154" t="s">
        <v>197</v>
      </c>
    </row>
    <row r="1664">
      <c r="A1664" s="154" t="s">
        <v>4251</v>
      </c>
      <c r="B1664" s="154" t="s">
        <v>4252</v>
      </c>
      <c r="C1664" s="155"/>
      <c r="D1664" s="154">
        <v>2.0</v>
      </c>
      <c r="E1664" s="154" t="s">
        <v>897</v>
      </c>
      <c r="F1664" s="154" t="s">
        <v>4194</v>
      </c>
      <c r="G1664" s="156">
        <v>0.0</v>
      </c>
      <c r="H1664" s="154" t="s">
        <v>4195</v>
      </c>
      <c r="I1664" s="154" t="s">
        <v>4196</v>
      </c>
      <c r="J1664" s="154" t="s">
        <v>4197</v>
      </c>
      <c r="K1664" s="154" t="s">
        <v>259</v>
      </c>
    </row>
    <row r="1665">
      <c r="A1665" s="154" t="s">
        <v>4251</v>
      </c>
      <c r="B1665" s="155"/>
      <c r="C1665" s="154" t="s">
        <v>4252</v>
      </c>
      <c r="D1665" s="155"/>
      <c r="E1665" s="155"/>
      <c r="F1665" s="154" t="s">
        <v>4194</v>
      </c>
      <c r="G1665" s="156">
        <v>0.0</v>
      </c>
      <c r="H1665" s="154" t="s">
        <v>4195</v>
      </c>
      <c r="I1665" s="154" t="s">
        <v>4196</v>
      </c>
      <c r="J1665" s="154" t="s">
        <v>4197</v>
      </c>
      <c r="K1665" s="154" t="s">
        <v>259</v>
      </c>
    </row>
    <row r="1666">
      <c r="A1666" s="154" t="s">
        <v>4253</v>
      </c>
      <c r="B1666" s="154" t="s">
        <v>4254</v>
      </c>
      <c r="C1666" s="155"/>
      <c r="D1666" s="154">
        <v>2.0</v>
      </c>
      <c r="E1666" s="154" t="s">
        <v>897</v>
      </c>
      <c r="F1666" s="154" t="s">
        <v>4255</v>
      </c>
      <c r="G1666" s="156">
        <v>0.0</v>
      </c>
      <c r="H1666" s="156">
        <v>0.0</v>
      </c>
      <c r="I1666" s="154" t="s">
        <v>4256</v>
      </c>
      <c r="J1666" s="154" t="s">
        <v>4257</v>
      </c>
      <c r="K1666" s="154" t="s">
        <v>361</v>
      </c>
    </row>
    <row r="1667">
      <c r="A1667" s="154" t="s">
        <v>4253</v>
      </c>
      <c r="B1667" s="155"/>
      <c r="C1667" s="154" t="s">
        <v>4254</v>
      </c>
      <c r="D1667" s="155"/>
      <c r="E1667" s="155"/>
      <c r="F1667" s="154" t="s">
        <v>4255</v>
      </c>
      <c r="G1667" s="156">
        <v>0.0</v>
      </c>
      <c r="H1667" s="156">
        <v>0.0</v>
      </c>
      <c r="I1667" s="154" t="s">
        <v>4256</v>
      </c>
      <c r="J1667" s="154" t="s">
        <v>4257</v>
      </c>
      <c r="K1667" s="154" t="s">
        <v>361</v>
      </c>
    </row>
    <row r="1668">
      <c r="A1668" s="154" t="s">
        <v>4258</v>
      </c>
      <c r="B1668" s="154" t="s">
        <v>4259</v>
      </c>
      <c r="C1668" s="155"/>
      <c r="D1668" s="154">
        <v>2.0</v>
      </c>
      <c r="E1668" s="154" t="s">
        <v>897</v>
      </c>
      <c r="F1668" s="154" t="s">
        <v>4260</v>
      </c>
      <c r="G1668" s="156">
        <v>0.0</v>
      </c>
      <c r="H1668" s="154" t="s">
        <v>4261</v>
      </c>
      <c r="I1668" s="154" t="s">
        <v>4262</v>
      </c>
      <c r="J1668" s="156">
        <v>0.0</v>
      </c>
      <c r="K1668" s="154" t="s">
        <v>1196</v>
      </c>
    </row>
    <row r="1669">
      <c r="A1669" s="154" t="s">
        <v>4258</v>
      </c>
      <c r="B1669" s="155"/>
      <c r="C1669" s="154" t="s">
        <v>4259</v>
      </c>
      <c r="D1669" s="155"/>
      <c r="E1669" s="155"/>
      <c r="F1669" s="154" t="s">
        <v>4260</v>
      </c>
      <c r="G1669" s="156">
        <v>0.0</v>
      </c>
      <c r="H1669" s="154" t="s">
        <v>4261</v>
      </c>
      <c r="I1669" s="154" t="s">
        <v>4262</v>
      </c>
      <c r="J1669" s="156">
        <v>0.0</v>
      </c>
      <c r="K1669" s="154" t="s">
        <v>1196</v>
      </c>
    </row>
    <row r="1670">
      <c r="A1670" s="154" t="s">
        <v>4263</v>
      </c>
      <c r="B1670" s="154" t="s">
        <v>4264</v>
      </c>
      <c r="C1670" s="155"/>
      <c r="D1670" s="154">
        <v>2.0</v>
      </c>
      <c r="E1670" s="154" t="s">
        <v>897</v>
      </c>
      <c r="F1670" s="154" t="s">
        <v>4265</v>
      </c>
      <c r="G1670" s="154">
        <v>5.61780722E8</v>
      </c>
      <c r="H1670" s="156">
        <v>0.0</v>
      </c>
      <c r="I1670" s="156">
        <v>0.0</v>
      </c>
      <c r="J1670" s="156">
        <v>0.0</v>
      </c>
      <c r="K1670" s="154" t="s">
        <v>760</v>
      </c>
    </row>
    <row r="1671">
      <c r="A1671" s="154" t="s">
        <v>4263</v>
      </c>
      <c r="B1671" s="155"/>
      <c r="C1671" s="154" t="s">
        <v>4264</v>
      </c>
      <c r="D1671" s="155"/>
      <c r="E1671" s="155"/>
      <c r="F1671" s="154" t="s">
        <v>4265</v>
      </c>
      <c r="G1671" s="154">
        <v>5.61780722E8</v>
      </c>
      <c r="H1671" s="156">
        <v>0.0</v>
      </c>
      <c r="I1671" s="156">
        <v>0.0</v>
      </c>
      <c r="J1671" s="156">
        <v>0.0</v>
      </c>
      <c r="K1671" s="154" t="s">
        <v>760</v>
      </c>
    </row>
    <row r="1672">
      <c r="A1672" s="154" t="s">
        <v>4266</v>
      </c>
      <c r="B1672" s="154" t="s">
        <v>4267</v>
      </c>
      <c r="C1672" s="155"/>
      <c r="D1672" s="154">
        <v>2.0</v>
      </c>
      <c r="E1672" s="154" t="s">
        <v>897</v>
      </c>
      <c r="F1672" s="154" t="s">
        <v>4268</v>
      </c>
      <c r="G1672" s="156">
        <v>0.0</v>
      </c>
      <c r="H1672" s="154" t="s">
        <v>4269</v>
      </c>
      <c r="I1672" s="154" t="s">
        <v>4270</v>
      </c>
      <c r="J1672" s="154" t="s">
        <v>809</v>
      </c>
      <c r="K1672" s="154" t="s">
        <v>361</v>
      </c>
    </row>
    <row r="1673">
      <c r="A1673" s="154" t="s">
        <v>4266</v>
      </c>
      <c r="B1673" s="155"/>
      <c r="C1673" s="154" t="s">
        <v>4267</v>
      </c>
      <c r="D1673" s="155"/>
      <c r="E1673" s="155"/>
      <c r="F1673" s="154" t="s">
        <v>4268</v>
      </c>
      <c r="G1673" s="156">
        <v>0.0</v>
      </c>
      <c r="H1673" s="154" t="s">
        <v>4269</v>
      </c>
      <c r="I1673" s="154" t="s">
        <v>4270</v>
      </c>
      <c r="J1673" s="154" t="s">
        <v>809</v>
      </c>
      <c r="K1673" s="154" t="s">
        <v>361</v>
      </c>
    </row>
    <row r="1674">
      <c r="A1674" s="154" t="s">
        <v>4271</v>
      </c>
      <c r="B1674" s="154" t="s">
        <v>4272</v>
      </c>
      <c r="C1674" s="155"/>
      <c r="D1674" s="154">
        <v>2.0</v>
      </c>
      <c r="E1674" s="154" t="s">
        <v>897</v>
      </c>
      <c r="F1674" s="154" t="s">
        <v>4273</v>
      </c>
      <c r="G1674" s="156">
        <v>0.0</v>
      </c>
      <c r="H1674" s="156">
        <v>0.0</v>
      </c>
      <c r="I1674" s="154">
        <v>9.71505579825E11</v>
      </c>
      <c r="J1674" s="156">
        <v>0.0</v>
      </c>
      <c r="K1674" s="154" t="s">
        <v>361</v>
      </c>
    </row>
    <row r="1675">
      <c r="A1675" s="154" t="s">
        <v>4271</v>
      </c>
      <c r="B1675" s="155"/>
      <c r="C1675" s="154" t="s">
        <v>4272</v>
      </c>
      <c r="D1675" s="155"/>
      <c r="E1675" s="155"/>
      <c r="F1675" s="154" t="s">
        <v>4273</v>
      </c>
      <c r="G1675" s="156">
        <v>0.0</v>
      </c>
      <c r="H1675" s="156">
        <v>0.0</v>
      </c>
      <c r="I1675" s="154">
        <v>9.71505579825E11</v>
      </c>
      <c r="J1675" s="156">
        <v>0.0</v>
      </c>
      <c r="K1675" s="154" t="s">
        <v>361</v>
      </c>
    </row>
    <row r="1676">
      <c r="A1676" s="154" t="s">
        <v>4274</v>
      </c>
      <c r="B1676" s="155"/>
      <c r="C1676" s="154" t="s">
        <v>4275</v>
      </c>
      <c r="D1676" s="155"/>
      <c r="E1676" s="155"/>
      <c r="F1676" s="154" t="s">
        <v>4276</v>
      </c>
      <c r="G1676" s="156">
        <v>0.0</v>
      </c>
      <c r="H1676" s="154" t="s">
        <v>3156</v>
      </c>
      <c r="I1676" s="154" t="s">
        <v>4277</v>
      </c>
      <c r="J1676" s="154" t="s">
        <v>4278</v>
      </c>
      <c r="K1676" s="154" t="s">
        <v>361</v>
      </c>
    </row>
    <row r="1677">
      <c r="A1677" s="154" t="s">
        <v>4274</v>
      </c>
      <c r="B1677" s="154" t="s">
        <v>4275</v>
      </c>
      <c r="C1677" s="155"/>
      <c r="D1677" s="154">
        <v>2.0</v>
      </c>
      <c r="E1677" s="154" t="s">
        <v>897</v>
      </c>
      <c r="F1677" s="154" t="s">
        <v>4276</v>
      </c>
      <c r="G1677" s="156">
        <v>0.0</v>
      </c>
      <c r="H1677" s="154" t="s">
        <v>3156</v>
      </c>
      <c r="I1677" s="154" t="s">
        <v>4277</v>
      </c>
      <c r="J1677" s="154" t="s">
        <v>4278</v>
      </c>
      <c r="K1677" s="154" t="s">
        <v>361</v>
      </c>
    </row>
    <row r="1678">
      <c r="A1678" s="154" t="s">
        <v>4279</v>
      </c>
      <c r="B1678" s="154" t="s">
        <v>4280</v>
      </c>
      <c r="C1678" s="155"/>
      <c r="D1678" s="154">
        <v>2.0</v>
      </c>
      <c r="E1678" s="154" t="s">
        <v>897</v>
      </c>
      <c r="F1678" s="154" t="s">
        <v>4276</v>
      </c>
      <c r="G1678" s="156">
        <v>0.0</v>
      </c>
      <c r="H1678" s="154" t="s">
        <v>3156</v>
      </c>
      <c r="I1678" s="154" t="s">
        <v>4277</v>
      </c>
      <c r="J1678" s="154" t="s">
        <v>4278</v>
      </c>
      <c r="K1678" s="154" t="s">
        <v>361</v>
      </c>
    </row>
    <row r="1679">
      <c r="A1679" s="154" t="s">
        <v>4279</v>
      </c>
      <c r="B1679" s="155"/>
      <c r="C1679" s="154" t="s">
        <v>4280</v>
      </c>
      <c r="D1679" s="155"/>
      <c r="E1679" s="155"/>
      <c r="F1679" s="154" t="s">
        <v>4276</v>
      </c>
      <c r="G1679" s="156">
        <v>0.0</v>
      </c>
      <c r="H1679" s="154" t="s">
        <v>3156</v>
      </c>
      <c r="I1679" s="154" t="s">
        <v>4277</v>
      </c>
      <c r="J1679" s="154" t="s">
        <v>4278</v>
      </c>
      <c r="K1679" s="154" t="s">
        <v>361</v>
      </c>
    </row>
    <row r="1680">
      <c r="A1680" s="154" t="s">
        <v>4281</v>
      </c>
      <c r="B1680" s="154" t="s">
        <v>4282</v>
      </c>
      <c r="C1680" s="155"/>
      <c r="D1680" s="154">
        <v>2.0</v>
      </c>
      <c r="E1680" s="154" t="s">
        <v>897</v>
      </c>
      <c r="F1680" s="154" t="s">
        <v>4283</v>
      </c>
      <c r="G1680" s="154">
        <v>4.34729E7</v>
      </c>
      <c r="H1680" s="156">
        <v>0.0</v>
      </c>
      <c r="I1680" s="154">
        <v>9.71506254352E11</v>
      </c>
      <c r="J1680" s="156">
        <v>0.0</v>
      </c>
      <c r="K1680" s="154" t="s">
        <v>197</v>
      </c>
    </row>
    <row r="1681">
      <c r="A1681" s="154" t="s">
        <v>4281</v>
      </c>
      <c r="B1681" s="155"/>
      <c r="C1681" s="154" t="s">
        <v>4282</v>
      </c>
      <c r="D1681" s="155"/>
      <c r="E1681" s="155"/>
      <c r="F1681" s="154" t="s">
        <v>4284</v>
      </c>
      <c r="G1681" s="154">
        <v>4.34729E7</v>
      </c>
      <c r="H1681" s="156">
        <v>0.0</v>
      </c>
      <c r="I1681" s="154">
        <v>9.71506254352E11</v>
      </c>
      <c r="J1681" s="156">
        <v>0.0</v>
      </c>
      <c r="K1681" s="154" t="s">
        <v>197</v>
      </c>
    </row>
    <row r="1682">
      <c r="A1682" s="154" t="s">
        <v>4285</v>
      </c>
      <c r="B1682" s="155"/>
      <c r="C1682" s="154" t="s">
        <v>4286</v>
      </c>
      <c r="D1682" s="155"/>
      <c r="E1682" s="155"/>
      <c r="F1682" s="154" t="s">
        <v>1157</v>
      </c>
      <c r="G1682" s="154" t="s">
        <v>1158</v>
      </c>
      <c r="H1682" s="154" t="s">
        <v>1159</v>
      </c>
      <c r="I1682" s="156">
        <v>0.0</v>
      </c>
      <c r="J1682" s="156">
        <v>0.0</v>
      </c>
      <c r="K1682" s="156">
        <v>0.0</v>
      </c>
    </row>
    <row r="1683">
      <c r="A1683" s="154" t="s">
        <v>4285</v>
      </c>
      <c r="B1683" s="154" t="s">
        <v>4286</v>
      </c>
      <c r="C1683" s="155"/>
      <c r="D1683" s="154">
        <v>2.0</v>
      </c>
      <c r="E1683" s="154" t="s">
        <v>897</v>
      </c>
      <c r="F1683" s="154" t="s">
        <v>4287</v>
      </c>
      <c r="G1683" s="154">
        <v>4.3528544E7</v>
      </c>
      <c r="H1683" s="156">
        <v>0.0</v>
      </c>
      <c r="I1683" s="154">
        <v>5.03528544E8</v>
      </c>
      <c r="J1683" s="156">
        <v>0.0</v>
      </c>
      <c r="K1683" s="154" t="s">
        <v>361</v>
      </c>
    </row>
    <row r="1684">
      <c r="A1684" s="154" t="s">
        <v>4288</v>
      </c>
      <c r="B1684" s="155"/>
      <c r="C1684" s="154" t="s">
        <v>4289</v>
      </c>
      <c r="D1684" s="155"/>
      <c r="E1684" s="155"/>
      <c r="F1684" s="154" t="s">
        <v>4290</v>
      </c>
      <c r="G1684" s="154" t="s">
        <v>4291</v>
      </c>
      <c r="H1684" s="154" t="s">
        <v>4292</v>
      </c>
      <c r="I1684" s="154" t="s">
        <v>4293</v>
      </c>
      <c r="J1684" s="156">
        <v>0.0</v>
      </c>
      <c r="K1684" s="154" t="s">
        <v>301</v>
      </c>
    </row>
    <row r="1685">
      <c r="A1685" s="154" t="s">
        <v>4288</v>
      </c>
      <c r="B1685" s="154" t="s">
        <v>4289</v>
      </c>
      <c r="C1685" s="155"/>
      <c r="D1685" s="154">
        <v>2.0</v>
      </c>
      <c r="E1685" s="154" t="s">
        <v>897</v>
      </c>
      <c r="F1685" s="154" t="s">
        <v>4290</v>
      </c>
      <c r="G1685" s="154" t="s">
        <v>4291</v>
      </c>
      <c r="H1685" s="154" t="s">
        <v>4292</v>
      </c>
      <c r="I1685" s="154" t="s">
        <v>4293</v>
      </c>
      <c r="J1685" s="156">
        <v>0.0</v>
      </c>
      <c r="K1685" s="154" t="s">
        <v>301</v>
      </c>
    </row>
    <row r="1686">
      <c r="A1686" s="154" t="s">
        <v>4294</v>
      </c>
      <c r="B1686" s="155"/>
      <c r="C1686" s="154" t="s">
        <v>4295</v>
      </c>
      <c r="D1686" s="155"/>
      <c r="E1686" s="155"/>
      <c r="F1686" s="154" t="s">
        <v>3786</v>
      </c>
      <c r="G1686" s="154">
        <v>4.3902282E7</v>
      </c>
      <c r="H1686" s="154" t="s">
        <v>1185</v>
      </c>
      <c r="I1686" s="156">
        <v>0.0</v>
      </c>
      <c r="J1686" s="156">
        <v>0.0</v>
      </c>
      <c r="K1686" s="156">
        <v>0.0</v>
      </c>
    </row>
    <row r="1687">
      <c r="A1687" s="154" t="s">
        <v>4294</v>
      </c>
      <c r="B1687" s="154" t="s">
        <v>4295</v>
      </c>
      <c r="C1687" s="155"/>
      <c r="D1687" s="154">
        <v>2.0</v>
      </c>
      <c r="E1687" s="154" t="s">
        <v>897</v>
      </c>
      <c r="F1687" s="154" t="s">
        <v>4296</v>
      </c>
      <c r="G1687" s="154" t="s">
        <v>809</v>
      </c>
      <c r="H1687" s="154" t="s">
        <v>4297</v>
      </c>
      <c r="I1687" s="154" t="s">
        <v>4298</v>
      </c>
      <c r="J1687" s="154" t="s">
        <v>4299</v>
      </c>
      <c r="K1687" s="154" t="s">
        <v>197</v>
      </c>
    </row>
    <row r="1688">
      <c r="A1688" s="154" t="s">
        <v>4300</v>
      </c>
      <c r="B1688" s="155"/>
      <c r="C1688" s="154" t="s">
        <v>4301</v>
      </c>
      <c r="D1688" s="155"/>
      <c r="E1688" s="155"/>
      <c r="F1688" s="154" t="s">
        <v>4302</v>
      </c>
      <c r="G1688" s="154">
        <v>4.3629342E7</v>
      </c>
      <c r="H1688" s="156">
        <v>0.0</v>
      </c>
      <c r="I1688" s="154">
        <v>9.71506523116E11</v>
      </c>
      <c r="J1688" s="156">
        <v>0.0</v>
      </c>
      <c r="K1688" s="154" t="s">
        <v>361</v>
      </c>
    </row>
    <row r="1689">
      <c r="A1689" s="154" t="s">
        <v>4300</v>
      </c>
      <c r="B1689" s="154" t="s">
        <v>4301</v>
      </c>
      <c r="C1689" s="155"/>
      <c r="D1689" s="154">
        <v>2.0</v>
      </c>
      <c r="E1689" s="154" t="s">
        <v>897</v>
      </c>
      <c r="F1689" s="154" t="s">
        <v>4303</v>
      </c>
      <c r="G1689" s="154">
        <v>0.0</v>
      </c>
      <c r="H1689" s="156">
        <v>0.0</v>
      </c>
      <c r="I1689" s="154">
        <v>9.71506523116E11</v>
      </c>
      <c r="J1689" s="156">
        <v>0.0</v>
      </c>
      <c r="K1689" s="154" t="s">
        <v>361</v>
      </c>
    </row>
    <row r="1690">
      <c r="A1690" s="154" t="s">
        <v>4304</v>
      </c>
      <c r="B1690" s="154" t="s">
        <v>4305</v>
      </c>
      <c r="C1690" s="155"/>
      <c r="D1690" s="154">
        <v>2.0</v>
      </c>
      <c r="E1690" s="154" t="s">
        <v>897</v>
      </c>
      <c r="F1690" s="154" t="s">
        <v>4306</v>
      </c>
      <c r="G1690" s="154">
        <v>0.0</v>
      </c>
      <c r="H1690" s="156">
        <v>0.0</v>
      </c>
      <c r="I1690" s="154">
        <v>0.0</v>
      </c>
      <c r="J1690" s="156">
        <v>0.0</v>
      </c>
      <c r="K1690" s="154" t="s">
        <v>361</v>
      </c>
    </row>
    <row r="1691">
      <c r="A1691" s="154" t="s">
        <v>4304</v>
      </c>
      <c r="B1691" s="155"/>
      <c r="C1691" s="154" t="s">
        <v>4305</v>
      </c>
      <c r="D1691" s="155"/>
      <c r="E1691" s="155"/>
      <c r="F1691" s="154" t="s">
        <v>4307</v>
      </c>
      <c r="G1691" s="154">
        <v>4.3989554E7</v>
      </c>
      <c r="H1691" s="156">
        <v>0.0</v>
      </c>
      <c r="I1691" s="154">
        <v>9.71501898453E11</v>
      </c>
      <c r="J1691" s="156">
        <v>0.0</v>
      </c>
      <c r="K1691" s="154" t="s">
        <v>1059</v>
      </c>
    </row>
    <row r="1692">
      <c r="A1692" s="154" t="s">
        <v>4308</v>
      </c>
      <c r="B1692" s="155"/>
      <c r="C1692" s="154" t="s">
        <v>4309</v>
      </c>
      <c r="D1692" s="155"/>
      <c r="E1692" s="155"/>
      <c r="F1692" s="154" t="s">
        <v>4310</v>
      </c>
      <c r="G1692" s="156">
        <v>0.0</v>
      </c>
      <c r="H1692" s="156">
        <v>0.0</v>
      </c>
      <c r="I1692" s="154">
        <v>1.0</v>
      </c>
      <c r="J1692" s="156">
        <v>0.0</v>
      </c>
      <c r="K1692" s="154" t="s">
        <v>361</v>
      </c>
    </row>
    <row r="1693">
      <c r="A1693" s="154" t="s">
        <v>4308</v>
      </c>
      <c r="B1693" s="154" t="s">
        <v>4309</v>
      </c>
      <c r="C1693" s="155"/>
      <c r="D1693" s="154">
        <v>2.0</v>
      </c>
      <c r="E1693" s="154" t="s">
        <v>897</v>
      </c>
      <c r="F1693" s="154" t="s">
        <v>4311</v>
      </c>
      <c r="G1693" s="156">
        <v>0.0</v>
      </c>
      <c r="H1693" s="156">
        <v>0.0</v>
      </c>
      <c r="I1693" s="154" t="s">
        <v>4312</v>
      </c>
      <c r="J1693" s="156">
        <v>0.0</v>
      </c>
      <c r="K1693" s="154" t="s">
        <v>361</v>
      </c>
    </row>
    <row r="1694">
      <c r="A1694" s="154" t="s">
        <v>4313</v>
      </c>
      <c r="B1694" s="154" t="s">
        <v>4314</v>
      </c>
      <c r="C1694" s="155"/>
      <c r="D1694" s="154">
        <v>2.0</v>
      </c>
      <c r="E1694" s="154" t="s">
        <v>897</v>
      </c>
      <c r="F1694" s="154" t="s">
        <v>4315</v>
      </c>
      <c r="G1694" s="154">
        <v>0.0</v>
      </c>
      <c r="H1694" s="156">
        <v>0.0</v>
      </c>
      <c r="I1694" s="154">
        <v>5.09868686E8</v>
      </c>
      <c r="J1694" s="156">
        <v>0.0</v>
      </c>
      <c r="K1694" s="154" t="s">
        <v>846</v>
      </c>
    </row>
    <row r="1695">
      <c r="A1695" s="154" t="s">
        <v>4313</v>
      </c>
      <c r="B1695" s="155"/>
      <c r="C1695" s="154" t="s">
        <v>4314</v>
      </c>
      <c r="D1695" s="155"/>
      <c r="E1695" s="155"/>
      <c r="F1695" s="154" t="s">
        <v>4315</v>
      </c>
      <c r="G1695" s="154">
        <v>0.0</v>
      </c>
      <c r="H1695" s="156">
        <v>0.0</v>
      </c>
      <c r="I1695" s="154">
        <v>5.09868686E8</v>
      </c>
      <c r="J1695" s="156">
        <v>0.0</v>
      </c>
      <c r="K1695" s="154" t="s">
        <v>846</v>
      </c>
    </row>
    <row r="1696">
      <c r="A1696" s="154" t="s">
        <v>4316</v>
      </c>
      <c r="B1696" s="154" t="s">
        <v>4317</v>
      </c>
      <c r="D1696" s="154">
        <v>2.0</v>
      </c>
      <c r="E1696" s="154" t="s">
        <v>761</v>
      </c>
      <c r="F1696" s="154" t="s">
        <v>4318</v>
      </c>
      <c r="G1696" s="154">
        <v>4.3688808E7</v>
      </c>
      <c r="H1696" s="156">
        <v>0.0</v>
      </c>
      <c r="I1696" s="154">
        <v>5.01585718E8</v>
      </c>
      <c r="J1696" s="156">
        <v>0.0</v>
      </c>
      <c r="K1696" s="154" t="s">
        <v>223</v>
      </c>
    </row>
    <row r="1697">
      <c r="A1697" s="154" t="s">
        <v>4316</v>
      </c>
      <c r="B1697" s="155"/>
      <c r="C1697" s="154" t="s">
        <v>4317</v>
      </c>
      <c r="D1697" s="155"/>
      <c r="E1697" s="155"/>
      <c r="F1697" s="154" t="s">
        <v>4318</v>
      </c>
      <c r="G1697" s="154">
        <v>4.3688808E7</v>
      </c>
      <c r="H1697" s="156">
        <v>0.0</v>
      </c>
      <c r="I1697" s="154">
        <v>5.01585718E8</v>
      </c>
      <c r="J1697" s="156">
        <v>0.0</v>
      </c>
      <c r="K1697" s="154" t="s">
        <v>223</v>
      </c>
    </row>
    <row r="1698">
      <c r="A1698" s="154" t="s">
        <v>4319</v>
      </c>
      <c r="B1698" s="154" t="s">
        <v>4320</v>
      </c>
      <c r="D1698" s="154">
        <v>2.0</v>
      </c>
      <c r="E1698" s="154" t="s">
        <v>761</v>
      </c>
      <c r="F1698" s="154" t="s">
        <v>4321</v>
      </c>
      <c r="G1698" s="154">
        <v>4.3614003E7</v>
      </c>
      <c r="H1698" s="156">
        <v>0.0</v>
      </c>
      <c r="I1698" s="154">
        <v>9.71506616846E11</v>
      </c>
      <c r="J1698" s="156">
        <v>0.0</v>
      </c>
      <c r="K1698" s="154" t="s">
        <v>1059</v>
      </c>
    </row>
    <row r="1699">
      <c r="A1699" s="154" t="s">
        <v>4319</v>
      </c>
      <c r="B1699" s="155"/>
      <c r="C1699" s="154" t="s">
        <v>4320</v>
      </c>
      <c r="D1699" s="155"/>
      <c r="E1699" s="155"/>
      <c r="F1699" s="154" t="s">
        <v>4321</v>
      </c>
      <c r="G1699" s="154">
        <v>4.3614003E7</v>
      </c>
      <c r="H1699" s="156">
        <v>0.0</v>
      </c>
      <c r="I1699" s="154">
        <v>9.71506616846E11</v>
      </c>
      <c r="J1699" s="156">
        <v>0.0</v>
      </c>
      <c r="K1699" s="154" t="s">
        <v>1059</v>
      </c>
    </row>
    <row r="1700">
      <c r="A1700" s="154" t="s">
        <v>4322</v>
      </c>
      <c r="B1700" s="154" t="s">
        <v>4323</v>
      </c>
      <c r="D1700" s="154">
        <v>2.0</v>
      </c>
      <c r="E1700" s="154" t="s">
        <v>761</v>
      </c>
      <c r="F1700" s="154" t="s">
        <v>4324</v>
      </c>
      <c r="G1700" s="154" t="s">
        <v>4325</v>
      </c>
      <c r="H1700" s="156">
        <v>0.0</v>
      </c>
      <c r="I1700" s="154">
        <v>9.71508810637E11</v>
      </c>
      <c r="J1700" s="156">
        <v>0.0</v>
      </c>
      <c r="K1700" s="154" t="s">
        <v>760</v>
      </c>
    </row>
    <row r="1701">
      <c r="A1701" s="154" t="s">
        <v>4322</v>
      </c>
      <c r="B1701" s="155"/>
      <c r="C1701" s="154" t="s">
        <v>4323</v>
      </c>
      <c r="D1701" s="155"/>
      <c r="E1701" s="155"/>
      <c r="F1701" s="154" t="s">
        <v>4324</v>
      </c>
      <c r="G1701" s="154" t="s">
        <v>4325</v>
      </c>
      <c r="H1701" s="156">
        <v>0.0</v>
      </c>
      <c r="I1701" s="154">
        <v>9.71508810637E11</v>
      </c>
      <c r="J1701" s="156">
        <v>0.0</v>
      </c>
      <c r="K1701" s="154" t="s">
        <v>760</v>
      </c>
    </row>
    <row r="1702">
      <c r="A1702" s="154" t="s">
        <v>4326</v>
      </c>
      <c r="B1702" s="154" t="s">
        <v>4327</v>
      </c>
      <c r="D1702" s="154">
        <v>2.0</v>
      </c>
      <c r="E1702" s="154" t="s">
        <v>761</v>
      </c>
      <c r="F1702" s="154" t="s">
        <v>4328</v>
      </c>
      <c r="G1702" s="154" t="s">
        <v>4329</v>
      </c>
      <c r="H1702" s="154" t="s">
        <v>4330</v>
      </c>
      <c r="I1702" s="154" t="s">
        <v>4331</v>
      </c>
      <c r="J1702" s="154" t="s">
        <v>3823</v>
      </c>
      <c r="K1702" s="154" t="s">
        <v>361</v>
      </c>
    </row>
    <row r="1703">
      <c r="A1703" s="154" t="s">
        <v>4326</v>
      </c>
      <c r="B1703" s="155"/>
      <c r="C1703" s="154" t="s">
        <v>4327</v>
      </c>
      <c r="D1703" s="155"/>
      <c r="E1703" s="155"/>
      <c r="F1703" s="154" t="s">
        <v>4328</v>
      </c>
      <c r="G1703" s="154" t="s">
        <v>4329</v>
      </c>
      <c r="H1703" s="154" t="s">
        <v>4330</v>
      </c>
      <c r="I1703" s="154" t="s">
        <v>4331</v>
      </c>
      <c r="J1703" s="154" t="s">
        <v>3823</v>
      </c>
      <c r="K1703" s="154" t="s">
        <v>361</v>
      </c>
    </row>
    <row r="1704">
      <c r="A1704" s="154" t="s">
        <v>4332</v>
      </c>
      <c r="B1704" s="155"/>
      <c r="C1704" s="154" t="s">
        <v>4333</v>
      </c>
      <c r="D1704" s="155"/>
      <c r="E1704" s="155"/>
      <c r="F1704" s="154" t="s">
        <v>4334</v>
      </c>
      <c r="G1704" s="154">
        <v>5.06542591E8</v>
      </c>
      <c r="H1704" s="156">
        <v>0.0</v>
      </c>
      <c r="I1704" s="154">
        <v>4.8094E7</v>
      </c>
      <c r="J1704" s="156">
        <v>0.0</v>
      </c>
      <c r="K1704" s="154" t="s">
        <v>361</v>
      </c>
    </row>
    <row r="1705">
      <c r="A1705" s="154" t="s">
        <v>4332</v>
      </c>
      <c r="B1705" s="154" t="s">
        <v>4333</v>
      </c>
      <c r="D1705" s="154">
        <v>2.0</v>
      </c>
      <c r="E1705" s="154" t="s">
        <v>761</v>
      </c>
      <c r="F1705" s="154" t="s">
        <v>4334</v>
      </c>
      <c r="G1705" s="154">
        <v>5.06542591E8</v>
      </c>
      <c r="H1705" s="156">
        <v>0.0</v>
      </c>
      <c r="I1705" s="154">
        <v>4.8094E7</v>
      </c>
      <c r="J1705" s="156">
        <v>0.0</v>
      </c>
      <c r="K1705" s="154" t="s">
        <v>361</v>
      </c>
    </row>
    <row r="1706">
      <c r="A1706" s="154" t="s">
        <v>4335</v>
      </c>
      <c r="B1706" s="155"/>
      <c r="C1706" s="154" t="s">
        <v>4336</v>
      </c>
      <c r="D1706" s="155"/>
      <c r="E1706" s="155"/>
      <c r="F1706" s="154" t="s">
        <v>4337</v>
      </c>
      <c r="G1706" s="156">
        <v>0.0</v>
      </c>
      <c r="H1706" s="156">
        <v>0.0</v>
      </c>
      <c r="I1706" s="154">
        <v>5.06569654E8</v>
      </c>
      <c r="J1706" s="156">
        <v>0.0</v>
      </c>
      <c r="K1706" s="154" t="s">
        <v>939</v>
      </c>
    </row>
    <row r="1707">
      <c r="A1707" s="154" t="s">
        <v>4335</v>
      </c>
      <c r="B1707" s="154" t="s">
        <v>4336</v>
      </c>
      <c r="D1707" s="154">
        <v>2.0</v>
      </c>
      <c r="E1707" s="154" t="s">
        <v>761</v>
      </c>
      <c r="F1707" s="154" t="s">
        <v>4337</v>
      </c>
      <c r="G1707" s="156">
        <v>0.0</v>
      </c>
      <c r="H1707" s="156">
        <v>0.0</v>
      </c>
      <c r="I1707" s="154">
        <v>5.06569654E8</v>
      </c>
      <c r="J1707" s="156">
        <v>0.0</v>
      </c>
      <c r="K1707" s="154" t="s">
        <v>939</v>
      </c>
    </row>
    <row r="1708">
      <c r="A1708" s="154" t="s">
        <v>4338</v>
      </c>
      <c r="B1708" s="155"/>
      <c r="C1708" s="154" t="s">
        <v>4339</v>
      </c>
      <c r="D1708" s="155"/>
      <c r="E1708" s="155"/>
      <c r="F1708" s="154" t="s">
        <v>4340</v>
      </c>
      <c r="G1708" s="156">
        <v>0.0</v>
      </c>
      <c r="H1708" s="156">
        <v>0.0</v>
      </c>
      <c r="I1708" s="154" t="s">
        <v>4341</v>
      </c>
      <c r="J1708" s="154" t="s">
        <v>4342</v>
      </c>
      <c r="K1708" s="154" t="s">
        <v>1069</v>
      </c>
    </row>
    <row r="1709">
      <c r="A1709" s="154" t="s">
        <v>4338</v>
      </c>
      <c r="B1709" s="154" t="s">
        <v>4339</v>
      </c>
      <c r="D1709" s="154">
        <v>2.0</v>
      </c>
      <c r="E1709" s="154" t="s">
        <v>761</v>
      </c>
      <c r="F1709" s="154" t="s">
        <v>4343</v>
      </c>
      <c r="G1709" s="156">
        <v>0.0</v>
      </c>
      <c r="H1709" s="156">
        <v>0.0</v>
      </c>
      <c r="I1709" s="154" t="s">
        <v>4341</v>
      </c>
      <c r="J1709" s="154" t="s">
        <v>4342</v>
      </c>
      <c r="K1709" s="154" t="s">
        <v>1069</v>
      </c>
    </row>
    <row r="1710">
      <c r="A1710" s="154" t="s">
        <v>4344</v>
      </c>
      <c r="B1710" s="154" t="s">
        <v>4345</v>
      </c>
      <c r="D1710" s="154">
        <v>2.0</v>
      </c>
      <c r="E1710" s="154" t="s">
        <v>761</v>
      </c>
      <c r="F1710" s="154" t="s">
        <v>4346</v>
      </c>
      <c r="G1710" s="156">
        <v>0.0</v>
      </c>
      <c r="H1710" s="156">
        <v>0.0</v>
      </c>
      <c r="I1710" s="154" t="s">
        <v>4347</v>
      </c>
      <c r="J1710" s="154" t="s">
        <v>809</v>
      </c>
      <c r="K1710" s="154" t="s">
        <v>3322</v>
      </c>
    </row>
    <row r="1711">
      <c r="A1711" s="154" t="s">
        <v>4344</v>
      </c>
      <c r="B1711" s="155"/>
      <c r="C1711" s="154" t="s">
        <v>4345</v>
      </c>
      <c r="D1711" s="155"/>
      <c r="E1711" s="155"/>
      <c r="F1711" s="154" t="s">
        <v>4348</v>
      </c>
      <c r="G1711" s="156">
        <v>0.0</v>
      </c>
      <c r="H1711" s="156">
        <v>0.0</v>
      </c>
      <c r="I1711" s="154" t="s">
        <v>4349</v>
      </c>
      <c r="J1711" s="154" t="s">
        <v>4350</v>
      </c>
      <c r="K1711" s="154" t="s">
        <v>3322</v>
      </c>
    </row>
    <row r="1712">
      <c r="A1712" s="154" t="s">
        <v>4351</v>
      </c>
      <c r="B1712" s="154" t="s">
        <v>4352</v>
      </c>
      <c r="D1712" s="154">
        <v>2.0</v>
      </c>
      <c r="E1712" s="154" t="s">
        <v>761</v>
      </c>
      <c r="F1712" s="154" t="s">
        <v>4353</v>
      </c>
      <c r="G1712" s="156">
        <v>0.0</v>
      </c>
      <c r="H1712" s="154" t="s">
        <v>2192</v>
      </c>
      <c r="I1712" s="154" t="s">
        <v>3356</v>
      </c>
      <c r="J1712" s="156">
        <v>0.0</v>
      </c>
      <c r="K1712" s="154" t="s">
        <v>4354</v>
      </c>
    </row>
    <row r="1713">
      <c r="A1713" s="154" t="s">
        <v>4351</v>
      </c>
      <c r="B1713" s="155"/>
      <c r="C1713" s="154" t="s">
        <v>4352</v>
      </c>
      <c r="D1713" s="155"/>
      <c r="E1713" s="155"/>
      <c r="F1713" s="154" t="s">
        <v>4353</v>
      </c>
      <c r="G1713" s="156">
        <v>0.0</v>
      </c>
      <c r="H1713" s="154" t="s">
        <v>2192</v>
      </c>
      <c r="I1713" s="154" t="s">
        <v>3356</v>
      </c>
      <c r="J1713" s="156">
        <v>0.0</v>
      </c>
      <c r="K1713" s="154" t="s">
        <v>4354</v>
      </c>
    </row>
    <row r="1714">
      <c r="A1714" s="154" t="s">
        <v>4355</v>
      </c>
      <c r="B1714" s="154" t="s">
        <v>4356</v>
      </c>
      <c r="D1714" s="154">
        <v>2.0</v>
      </c>
      <c r="E1714" s="154" t="s">
        <v>761</v>
      </c>
      <c r="F1714" s="154" t="s">
        <v>4357</v>
      </c>
      <c r="G1714" s="156">
        <v>0.0</v>
      </c>
      <c r="H1714" s="154" t="s">
        <v>4358</v>
      </c>
      <c r="I1714" s="154" t="s">
        <v>2383</v>
      </c>
      <c r="J1714" s="154" t="s">
        <v>2384</v>
      </c>
      <c r="K1714" s="154" t="s">
        <v>1537</v>
      </c>
    </row>
    <row r="1715">
      <c r="A1715" s="154" t="s">
        <v>4355</v>
      </c>
      <c r="B1715" s="155"/>
      <c r="C1715" s="154" t="s">
        <v>4356</v>
      </c>
      <c r="D1715" s="155"/>
      <c r="E1715" s="155"/>
      <c r="F1715" s="154" t="s">
        <v>4359</v>
      </c>
      <c r="G1715" s="156">
        <v>0.0</v>
      </c>
      <c r="H1715" s="154" t="s">
        <v>4358</v>
      </c>
      <c r="I1715" s="154" t="s">
        <v>2383</v>
      </c>
      <c r="J1715" s="154" t="s">
        <v>2384</v>
      </c>
      <c r="K1715" s="154" t="s">
        <v>1537</v>
      </c>
    </row>
    <row r="1716">
      <c r="A1716" s="154" t="s">
        <v>4360</v>
      </c>
      <c r="B1716" s="154" t="s">
        <v>4361</v>
      </c>
      <c r="D1716" s="154">
        <v>2.0</v>
      </c>
      <c r="E1716" s="154" t="s">
        <v>761</v>
      </c>
      <c r="F1716" s="154" t="s">
        <v>4362</v>
      </c>
      <c r="G1716" s="156">
        <v>0.0</v>
      </c>
      <c r="H1716" s="156">
        <v>0.0</v>
      </c>
      <c r="I1716" s="154" t="s">
        <v>4363</v>
      </c>
      <c r="J1716" s="154" t="s">
        <v>4364</v>
      </c>
      <c r="K1716" s="154" t="s">
        <v>1461</v>
      </c>
    </row>
    <row r="1717">
      <c r="A1717" s="154" t="s">
        <v>4360</v>
      </c>
      <c r="B1717" s="155"/>
      <c r="C1717" s="154" t="s">
        <v>4361</v>
      </c>
      <c r="D1717" s="155"/>
      <c r="E1717" s="155"/>
      <c r="F1717" s="154" t="s">
        <v>4362</v>
      </c>
      <c r="G1717" s="156">
        <v>0.0</v>
      </c>
      <c r="H1717" s="156">
        <v>0.0</v>
      </c>
      <c r="I1717" s="154" t="s">
        <v>4363</v>
      </c>
      <c r="J1717" s="154" t="s">
        <v>4364</v>
      </c>
      <c r="K1717" s="154" t="s">
        <v>1461</v>
      </c>
    </row>
    <row r="1718">
      <c r="A1718" s="154" t="s">
        <v>4365</v>
      </c>
      <c r="B1718" s="155"/>
      <c r="C1718" s="154" t="s">
        <v>4366</v>
      </c>
      <c r="D1718" s="155"/>
      <c r="E1718" s="155"/>
      <c r="F1718" s="154" t="s">
        <v>4367</v>
      </c>
      <c r="G1718" s="154" t="s">
        <v>4368</v>
      </c>
      <c r="H1718" s="154" t="s">
        <v>4369</v>
      </c>
      <c r="I1718" s="154" t="s">
        <v>4370</v>
      </c>
      <c r="J1718" s="154" t="s">
        <v>4371</v>
      </c>
      <c r="K1718" s="154" t="s">
        <v>2395</v>
      </c>
    </row>
    <row r="1719">
      <c r="A1719" s="154" t="s">
        <v>4365</v>
      </c>
      <c r="B1719" s="154" t="s">
        <v>4366</v>
      </c>
      <c r="D1719" s="154">
        <v>2.0</v>
      </c>
      <c r="E1719" s="154" t="s">
        <v>761</v>
      </c>
      <c r="F1719" s="154" t="s">
        <v>4367</v>
      </c>
      <c r="G1719" s="154" t="s">
        <v>4368</v>
      </c>
      <c r="H1719" s="154" t="s">
        <v>4369</v>
      </c>
      <c r="I1719" s="154" t="s">
        <v>4370</v>
      </c>
      <c r="J1719" s="154" t="s">
        <v>4371</v>
      </c>
      <c r="K1719" s="154" t="s">
        <v>2395</v>
      </c>
    </row>
    <row r="1720">
      <c r="A1720" s="154" t="s">
        <v>4372</v>
      </c>
      <c r="B1720" s="154" t="s">
        <v>4373</v>
      </c>
      <c r="D1720" s="154">
        <v>2.0</v>
      </c>
      <c r="E1720" s="154" t="s">
        <v>761</v>
      </c>
      <c r="F1720" s="154" t="s">
        <v>4374</v>
      </c>
      <c r="G1720" s="154" t="s">
        <v>4375</v>
      </c>
      <c r="H1720" s="154" t="s">
        <v>4376</v>
      </c>
      <c r="I1720" s="154" t="s">
        <v>4377</v>
      </c>
      <c r="J1720" s="156">
        <v>0.0</v>
      </c>
      <c r="K1720" s="154" t="s">
        <v>207</v>
      </c>
    </row>
    <row r="1721">
      <c r="A1721" s="154" t="s">
        <v>4372</v>
      </c>
      <c r="B1721" s="155"/>
      <c r="C1721" s="154" t="s">
        <v>4373</v>
      </c>
      <c r="D1721" s="155"/>
      <c r="E1721" s="155"/>
      <c r="F1721" s="154" t="s">
        <v>4374</v>
      </c>
      <c r="G1721" s="154" t="s">
        <v>4375</v>
      </c>
      <c r="H1721" s="154" t="s">
        <v>4376</v>
      </c>
      <c r="I1721" s="154" t="s">
        <v>4377</v>
      </c>
      <c r="J1721" s="156">
        <v>0.0</v>
      </c>
      <c r="K1721" s="154" t="s">
        <v>207</v>
      </c>
    </row>
    <row r="1722">
      <c r="A1722" s="154" t="s">
        <v>4378</v>
      </c>
      <c r="B1722" s="155"/>
      <c r="C1722" s="154" t="s">
        <v>4379</v>
      </c>
      <c r="D1722" s="155"/>
      <c r="E1722" s="155"/>
      <c r="F1722" s="154" t="s">
        <v>4380</v>
      </c>
      <c r="G1722" s="154" t="s">
        <v>4381</v>
      </c>
      <c r="H1722" s="156">
        <v>0.0</v>
      </c>
      <c r="I1722" s="154">
        <v>5.06561707E8</v>
      </c>
      <c r="J1722" s="156">
        <v>0.0</v>
      </c>
      <c r="K1722" s="154" t="s">
        <v>259</v>
      </c>
    </row>
    <row r="1723">
      <c r="A1723" s="154" t="s">
        <v>4378</v>
      </c>
      <c r="B1723" s="154" t="s">
        <v>4379</v>
      </c>
      <c r="D1723" s="154">
        <v>2.0</v>
      </c>
      <c r="E1723" s="154" t="s">
        <v>761</v>
      </c>
      <c r="F1723" s="154" t="s">
        <v>4380</v>
      </c>
      <c r="G1723" s="154" t="s">
        <v>4381</v>
      </c>
      <c r="H1723" s="156">
        <v>0.0</v>
      </c>
      <c r="I1723" s="154">
        <v>5.06561707E8</v>
      </c>
      <c r="J1723" s="156">
        <v>0.0</v>
      </c>
      <c r="K1723" s="154" t="s">
        <v>259</v>
      </c>
    </row>
    <row r="1724">
      <c r="A1724" s="154" t="s">
        <v>4382</v>
      </c>
      <c r="B1724" s="155"/>
      <c r="C1724" s="154" t="s">
        <v>4383</v>
      </c>
      <c r="D1724" s="155"/>
      <c r="E1724" s="155"/>
      <c r="F1724" s="154" t="s">
        <v>4384</v>
      </c>
      <c r="G1724" s="156">
        <v>0.0</v>
      </c>
      <c r="H1724" s="156">
        <v>0.0</v>
      </c>
      <c r="I1724" s="154">
        <v>5.0794464E8</v>
      </c>
      <c r="J1724" s="156">
        <v>0.0</v>
      </c>
      <c r="K1724" s="154" t="s">
        <v>760</v>
      </c>
    </row>
    <row r="1725">
      <c r="A1725" s="154" t="s">
        <v>4382</v>
      </c>
      <c r="B1725" s="154" t="s">
        <v>4383</v>
      </c>
      <c r="D1725" s="154">
        <v>2.0</v>
      </c>
      <c r="E1725" s="154" t="s">
        <v>761</v>
      </c>
      <c r="F1725" s="154" t="s">
        <v>1157</v>
      </c>
      <c r="G1725" s="154" t="s">
        <v>1158</v>
      </c>
      <c r="H1725" s="154" t="s">
        <v>1159</v>
      </c>
      <c r="I1725" s="156">
        <v>0.0</v>
      </c>
      <c r="J1725" s="156">
        <v>0.0</v>
      </c>
      <c r="K1725" s="156">
        <v>0.0</v>
      </c>
    </row>
    <row r="1726">
      <c r="A1726" s="154" t="s">
        <v>4385</v>
      </c>
      <c r="B1726" s="154" t="s">
        <v>4386</v>
      </c>
      <c r="D1726" s="154">
        <v>2.0</v>
      </c>
      <c r="E1726" s="154" t="s">
        <v>761</v>
      </c>
      <c r="F1726" s="154" t="s">
        <v>4387</v>
      </c>
      <c r="G1726" s="154">
        <v>4.2952662E7</v>
      </c>
      <c r="H1726" s="156">
        <v>0.0</v>
      </c>
      <c r="I1726" s="154">
        <v>5.06436438E8</v>
      </c>
      <c r="J1726" s="156">
        <v>0.0</v>
      </c>
      <c r="K1726" s="154" t="s">
        <v>207</v>
      </c>
    </row>
    <row r="1727">
      <c r="A1727" s="154" t="s">
        <v>4385</v>
      </c>
      <c r="B1727" s="155"/>
      <c r="C1727" s="154" t="s">
        <v>4386</v>
      </c>
      <c r="D1727" s="155"/>
      <c r="E1727" s="155"/>
      <c r="F1727" s="154" t="s">
        <v>4387</v>
      </c>
      <c r="G1727" s="154">
        <v>4.2952662E7</v>
      </c>
      <c r="H1727" s="156">
        <v>0.0</v>
      </c>
      <c r="I1727" s="154">
        <v>5.06436438E8</v>
      </c>
      <c r="J1727" s="156">
        <v>0.0</v>
      </c>
      <c r="K1727" s="154" t="s">
        <v>207</v>
      </c>
    </row>
    <row r="1728">
      <c r="A1728" s="154" t="s">
        <v>4388</v>
      </c>
      <c r="B1728" s="155"/>
      <c r="C1728" s="154" t="s">
        <v>4389</v>
      </c>
      <c r="D1728" s="155"/>
      <c r="E1728" s="155"/>
      <c r="F1728" s="154" t="s">
        <v>4390</v>
      </c>
      <c r="G1728" s="154">
        <v>5.55569707E8</v>
      </c>
      <c r="H1728" s="156">
        <v>0.0</v>
      </c>
      <c r="I1728" s="154">
        <v>5.55569707E8</v>
      </c>
      <c r="J1728" s="156">
        <v>0.0</v>
      </c>
      <c r="K1728" s="154" t="s">
        <v>361</v>
      </c>
    </row>
    <row r="1729">
      <c r="A1729" s="154" t="s">
        <v>4388</v>
      </c>
      <c r="B1729" s="154" t="s">
        <v>4389</v>
      </c>
      <c r="D1729" s="154">
        <v>2.0</v>
      </c>
      <c r="E1729" s="154" t="s">
        <v>761</v>
      </c>
      <c r="F1729" s="154" t="s">
        <v>4390</v>
      </c>
      <c r="G1729" s="154">
        <v>5.55569707E8</v>
      </c>
      <c r="H1729" s="156">
        <v>0.0</v>
      </c>
      <c r="I1729" s="154">
        <v>5.55569707E8</v>
      </c>
      <c r="J1729" s="156">
        <v>0.0</v>
      </c>
      <c r="K1729" s="154" t="s">
        <v>361</v>
      </c>
    </row>
    <row r="1730">
      <c r="A1730" s="154" t="s">
        <v>4391</v>
      </c>
      <c r="B1730" s="155"/>
      <c r="C1730" s="154" t="s">
        <v>4392</v>
      </c>
      <c r="D1730" s="155"/>
      <c r="E1730" s="155"/>
      <c r="F1730" s="154" t="s">
        <v>4393</v>
      </c>
      <c r="G1730" s="156">
        <v>0.0</v>
      </c>
      <c r="H1730" s="156">
        <v>0.0</v>
      </c>
      <c r="I1730" s="154">
        <v>5.04288772E8</v>
      </c>
      <c r="J1730" s="156">
        <v>0.0</v>
      </c>
      <c r="K1730" s="154" t="s">
        <v>776</v>
      </c>
    </row>
    <row r="1731">
      <c r="A1731" s="154" t="s">
        <v>4391</v>
      </c>
      <c r="B1731" s="154" t="s">
        <v>4392</v>
      </c>
      <c r="D1731" s="154">
        <v>2.0</v>
      </c>
      <c r="E1731" s="154" t="s">
        <v>761</v>
      </c>
      <c r="F1731" s="154" t="s">
        <v>4394</v>
      </c>
      <c r="G1731" s="156">
        <v>0.0</v>
      </c>
      <c r="H1731" s="156">
        <v>0.0</v>
      </c>
      <c r="I1731" s="154">
        <v>5.04288772E8</v>
      </c>
      <c r="J1731" s="156">
        <v>0.0</v>
      </c>
      <c r="K1731" s="154" t="s">
        <v>776</v>
      </c>
    </row>
    <row r="1732">
      <c r="A1732" s="154" t="s">
        <v>4395</v>
      </c>
      <c r="B1732" s="154" t="s">
        <v>4396</v>
      </c>
      <c r="D1732" s="154">
        <v>2.0</v>
      </c>
      <c r="E1732" s="154" t="s">
        <v>761</v>
      </c>
      <c r="F1732" s="154" t="s">
        <v>4397</v>
      </c>
      <c r="G1732" s="156">
        <v>0.0</v>
      </c>
      <c r="H1732" s="156">
        <v>0.0</v>
      </c>
      <c r="I1732" s="154">
        <v>5.2989494E8</v>
      </c>
      <c r="J1732" s="156">
        <v>0.0</v>
      </c>
      <c r="K1732" s="154" t="s">
        <v>259</v>
      </c>
    </row>
    <row r="1733">
      <c r="A1733" s="154" t="s">
        <v>4395</v>
      </c>
      <c r="B1733" s="155"/>
      <c r="C1733" s="154" t="s">
        <v>4396</v>
      </c>
      <c r="D1733" s="155"/>
      <c r="E1733" s="155"/>
      <c r="F1733" s="154" t="s">
        <v>4397</v>
      </c>
      <c r="G1733" s="156">
        <v>0.0</v>
      </c>
      <c r="H1733" s="156">
        <v>0.0</v>
      </c>
      <c r="I1733" s="154">
        <v>5.2989494E8</v>
      </c>
      <c r="J1733" s="156">
        <v>0.0</v>
      </c>
      <c r="K1733" s="154" t="s">
        <v>259</v>
      </c>
    </row>
    <row r="1734">
      <c r="A1734" s="154" t="s">
        <v>4398</v>
      </c>
      <c r="B1734" s="155"/>
      <c r="C1734" s="154" t="s">
        <v>4399</v>
      </c>
      <c r="D1734" s="155"/>
      <c r="E1734" s="155"/>
      <c r="F1734" s="154" t="s">
        <v>4400</v>
      </c>
      <c r="G1734" s="156">
        <v>0.0</v>
      </c>
      <c r="H1734" s="156">
        <v>0.0</v>
      </c>
      <c r="I1734" s="154">
        <v>0.0</v>
      </c>
      <c r="J1734" s="156">
        <v>0.0</v>
      </c>
      <c r="K1734" s="154" t="s">
        <v>259</v>
      </c>
    </row>
    <row r="1735">
      <c r="A1735" s="154" t="s">
        <v>4398</v>
      </c>
      <c r="B1735" s="154" t="s">
        <v>4399</v>
      </c>
      <c r="D1735" s="154">
        <v>2.0</v>
      </c>
      <c r="E1735" s="154" t="s">
        <v>761</v>
      </c>
      <c r="F1735" s="154" t="s">
        <v>1157</v>
      </c>
      <c r="G1735" s="154" t="s">
        <v>1158</v>
      </c>
      <c r="H1735" s="154" t="s">
        <v>1159</v>
      </c>
      <c r="I1735" s="156">
        <v>0.0</v>
      </c>
      <c r="J1735" s="156">
        <v>0.0</v>
      </c>
      <c r="K1735" s="156">
        <v>0.0</v>
      </c>
    </row>
    <row r="1736">
      <c r="A1736" s="154" t="s">
        <v>4401</v>
      </c>
      <c r="B1736" s="154" t="s">
        <v>4402</v>
      </c>
      <c r="D1736" s="154">
        <v>2.0</v>
      </c>
      <c r="E1736" s="154" t="s">
        <v>761</v>
      </c>
      <c r="F1736" s="154" t="s">
        <v>4403</v>
      </c>
      <c r="G1736" s="154">
        <v>4.3688808E7</v>
      </c>
      <c r="H1736" s="156">
        <v>0.0</v>
      </c>
      <c r="I1736" s="154">
        <v>5.51517006E8</v>
      </c>
      <c r="J1736" s="156">
        <v>0.0</v>
      </c>
      <c r="K1736" s="154" t="s">
        <v>240</v>
      </c>
    </row>
    <row r="1737">
      <c r="A1737" s="154" t="s">
        <v>4401</v>
      </c>
      <c r="B1737" s="155"/>
      <c r="C1737" s="154" t="s">
        <v>4402</v>
      </c>
      <c r="D1737" s="155"/>
      <c r="E1737" s="155"/>
      <c r="F1737" s="154" t="s">
        <v>4403</v>
      </c>
      <c r="G1737" s="154">
        <v>4.3688808E7</v>
      </c>
      <c r="H1737" s="156">
        <v>0.0</v>
      </c>
      <c r="I1737" s="154">
        <v>5.51517006E8</v>
      </c>
      <c r="J1737" s="156">
        <v>0.0</v>
      </c>
      <c r="K1737" s="154" t="s">
        <v>240</v>
      </c>
    </row>
    <row r="1738">
      <c r="A1738" s="154" t="s">
        <v>4404</v>
      </c>
      <c r="B1738" s="154" t="s">
        <v>4405</v>
      </c>
      <c r="D1738" s="154">
        <v>2.0</v>
      </c>
      <c r="E1738" s="154" t="s">
        <v>761</v>
      </c>
      <c r="F1738" s="154" t="s">
        <v>4406</v>
      </c>
      <c r="G1738" s="156">
        <v>0.0</v>
      </c>
      <c r="H1738" s="156">
        <v>0.0</v>
      </c>
      <c r="I1738" s="154">
        <v>0.0</v>
      </c>
      <c r="J1738" s="156">
        <v>0.0</v>
      </c>
      <c r="K1738" s="154" t="s">
        <v>329</v>
      </c>
    </row>
    <row r="1739">
      <c r="A1739" s="154" t="s">
        <v>4404</v>
      </c>
      <c r="B1739" s="155"/>
      <c r="C1739" s="154" t="s">
        <v>4405</v>
      </c>
      <c r="D1739" s="155"/>
      <c r="E1739" s="155"/>
      <c r="F1739" s="154" t="s">
        <v>4406</v>
      </c>
      <c r="G1739" s="156">
        <v>0.0</v>
      </c>
      <c r="H1739" s="156">
        <v>0.0</v>
      </c>
      <c r="I1739" s="154">
        <v>0.0</v>
      </c>
      <c r="J1739" s="156">
        <v>0.0</v>
      </c>
      <c r="K1739" s="154" t="s">
        <v>329</v>
      </c>
    </row>
    <row r="1740">
      <c r="A1740" s="154" t="s">
        <v>4407</v>
      </c>
      <c r="B1740" s="154" t="s">
        <v>4408</v>
      </c>
      <c r="D1740" s="154">
        <v>2.0</v>
      </c>
      <c r="E1740" s="154" t="s">
        <v>761</v>
      </c>
      <c r="F1740" s="154" t="s">
        <v>3073</v>
      </c>
      <c r="G1740" s="156">
        <v>0.0</v>
      </c>
      <c r="H1740" s="154" t="s">
        <v>3074</v>
      </c>
      <c r="I1740" s="154" t="s">
        <v>3075</v>
      </c>
      <c r="J1740" s="154" t="s">
        <v>3076</v>
      </c>
      <c r="K1740" s="154" t="s">
        <v>207</v>
      </c>
    </row>
    <row r="1741">
      <c r="A1741" s="154" t="s">
        <v>4407</v>
      </c>
      <c r="B1741" s="155"/>
      <c r="C1741" s="154" t="s">
        <v>4408</v>
      </c>
      <c r="D1741" s="155"/>
      <c r="E1741" s="155"/>
      <c r="F1741" s="154" t="s">
        <v>3073</v>
      </c>
      <c r="G1741" s="156">
        <v>0.0</v>
      </c>
      <c r="H1741" s="154" t="s">
        <v>3074</v>
      </c>
      <c r="I1741" s="154" t="s">
        <v>3075</v>
      </c>
      <c r="J1741" s="154" t="s">
        <v>3076</v>
      </c>
      <c r="K1741" s="154" t="s">
        <v>207</v>
      </c>
    </row>
    <row r="1742">
      <c r="A1742" s="154" t="s">
        <v>4409</v>
      </c>
      <c r="B1742" s="154" t="s">
        <v>4410</v>
      </c>
      <c r="D1742" s="154">
        <v>2.0</v>
      </c>
      <c r="E1742" s="154" t="s">
        <v>761</v>
      </c>
      <c r="F1742" s="154" t="s">
        <v>4411</v>
      </c>
      <c r="G1742" s="154">
        <v>4.3911111E7</v>
      </c>
      <c r="H1742" s="156">
        <v>0.0</v>
      </c>
      <c r="I1742" s="156">
        <v>0.0</v>
      </c>
      <c r="J1742" s="156">
        <v>0.0</v>
      </c>
      <c r="K1742" s="154" t="s">
        <v>4412</v>
      </c>
    </row>
    <row r="1743">
      <c r="A1743" s="154" t="s">
        <v>4409</v>
      </c>
      <c r="B1743" s="155"/>
      <c r="C1743" s="154" t="s">
        <v>4410</v>
      </c>
      <c r="D1743" s="155"/>
      <c r="E1743" s="155"/>
      <c r="F1743" s="154" t="s">
        <v>4413</v>
      </c>
      <c r="G1743" s="154">
        <v>6.5432538E7</v>
      </c>
      <c r="H1743" s="156">
        <v>0.0</v>
      </c>
      <c r="I1743" s="154">
        <v>5.67966433E8</v>
      </c>
      <c r="J1743" s="156">
        <v>0.0</v>
      </c>
      <c r="K1743" s="154" t="s">
        <v>301</v>
      </c>
    </row>
    <row r="1744">
      <c r="A1744" s="154" t="s">
        <v>4414</v>
      </c>
      <c r="B1744" s="154" t="s">
        <v>4415</v>
      </c>
      <c r="D1744" s="154">
        <v>2.0</v>
      </c>
      <c r="E1744" s="154" t="s">
        <v>761</v>
      </c>
      <c r="F1744" s="154" t="s">
        <v>921</v>
      </c>
      <c r="G1744" s="154" t="s">
        <v>922</v>
      </c>
      <c r="H1744" s="156">
        <v>0.0</v>
      </c>
      <c r="I1744" s="154">
        <v>9.71504486581E11</v>
      </c>
      <c r="J1744" s="156">
        <v>0.0</v>
      </c>
      <c r="K1744" s="154" t="s">
        <v>923</v>
      </c>
    </row>
    <row r="1745">
      <c r="A1745" s="154" t="s">
        <v>4414</v>
      </c>
      <c r="B1745" s="155"/>
      <c r="C1745" s="154" t="s">
        <v>4415</v>
      </c>
      <c r="D1745" s="155"/>
      <c r="E1745" s="155"/>
      <c r="F1745" s="154" t="s">
        <v>921</v>
      </c>
      <c r="G1745" s="154" t="s">
        <v>922</v>
      </c>
      <c r="H1745" s="156">
        <v>0.0</v>
      </c>
      <c r="I1745" s="154">
        <v>9.71504486581E11</v>
      </c>
      <c r="J1745" s="156">
        <v>0.0</v>
      </c>
      <c r="K1745" s="154" t="s">
        <v>923</v>
      </c>
    </row>
    <row r="1746">
      <c r="A1746" s="154" t="s">
        <v>4416</v>
      </c>
      <c r="B1746" s="155"/>
      <c r="C1746" s="154" t="s">
        <v>4417</v>
      </c>
      <c r="D1746" s="155"/>
      <c r="E1746" s="155"/>
      <c r="F1746" s="154" t="s">
        <v>4418</v>
      </c>
      <c r="G1746" s="156">
        <v>0.0</v>
      </c>
      <c r="H1746" s="156">
        <v>0.0</v>
      </c>
      <c r="I1746" s="154">
        <v>9.7156115659E11</v>
      </c>
      <c r="J1746" s="156">
        <v>0.0</v>
      </c>
      <c r="K1746" s="154" t="s">
        <v>301</v>
      </c>
    </row>
    <row r="1747">
      <c r="A1747" s="154" t="s">
        <v>4416</v>
      </c>
      <c r="B1747" s="154" t="s">
        <v>4417</v>
      </c>
      <c r="D1747" s="154">
        <v>2.0</v>
      </c>
      <c r="E1747" s="154" t="s">
        <v>761</v>
      </c>
      <c r="F1747" s="154" t="s">
        <v>4418</v>
      </c>
      <c r="G1747" s="156">
        <v>0.0</v>
      </c>
      <c r="H1747" s="156">
        <v>0.0</v>
      </c>
      <c r="I1747" s="154">
        <v>9.7156115659E11</v>
      </c>
      <c r="J1747" s="156">
        <v>0.0</v>
      </c>
      <c r="K1747" s="154" t="s">
        <v>301</v>
      </c>
    </row>
    <row r="1748">
      <c r="A1748" s="154" t="s">
        <v>4419</v>
      </c>
      <c r="B1748" s="154" t="s">
        <v>4420</v>
      </c>
      <c r="D1748" s="154">
        <v>2.0</v>
      </c>
      <c r="E1748" s="154" t="s">
        <v>761</v>
      </c>
      <c r="F1748" s="154" t="s">
        <v>4421</v>
      </c>
      <c r="G1748" s="156">
        <v>0.0</v>
      </c>
      <c r="H1748" s="154" t="s">
        <v>4422</v>
      </c>
      <c r="I1748" s="154" t="s">
        <v>4423</v>
      </c>
      <c r="J1748" s="154" t="s">
        <v>4424</v>
      </c>
      <c r="K1748" s="154" t="s">
        <v>361</v>
      </c>
    </row>
    <row r="1749">
      <c r="A1749" s="154" t="s">
        <v>4419</v>
      </c>
      <c r="B1749" s="155"/>
      <c r="C1749" s="154" t="s">
        <v>4420</v>
      </c>
      <c r="D1749" s="155"/>
      <c r="E1749" s="155"/>
      <c r="F1749" s="154" t="s">
        <v>4421</v>
      </c>
      <c r="G1749" s="156">
        <v>0.0</v>
      </c>
      <c r="H1749" s="154" t="s">
        <v>4422</v>
      </c>
      <c r="I1749" s="154" t="s">
        <v>4423</v>
      </c>
      <c r="J1749" s="154" t="s">
        <v>4424</v>
      </c>
      <c r="K1749" s="154" t="s">
        <v>361</v>
      </c>
    </row>
    <row r="1750">
      <c r="A1750" s="154" t="s">
        <v>4425</v>
      </c>
      <c r="B1750" s="154" t="s">
        <v>4426</v>
      </c>
      <c r="D1750" s="154">
        <v>2.0</v>
      </c>
      <c r="E1750" s="154" t="s">
        <v>761</v>
      </c>
      <c r="F1750" s="154" t="s">
        <v>4427</v>
      </c>
      <c r="G1750" s="156">
        <v>0.0</v>
      </c>
      <c r="H1750" s="156">
        <v>0.0</v>
      </c>
      <c r="I1750" s="154">
        <v>5.02812727E8</v>
      </c>
      <c r="J1750" s="156">
        <v>0.0</v>
      </c>
      <c r="K1750" s="154" t="s">
        <v>259</v>
      </c>
    </row>
    <row r="1751">
      <c r="A1751" s="154" t="s">
        <v>4425</v>
      </c>
      <c r="B1751" s="155"/>
      <c r="C1751" s="154" t="s">
        <v>4426</v>
      </c>
      <c r="D1751" s="155"/>
      <c r="E1751" s="155"/>
      <c r="F1751" s="154" t="s">
        <v>4427</v>
      </c>
      <c r="G1751" s="156">
        <v>0.0</v>
      </c>
      <c r="H1751" s="156">
        <v>0.0</v>
      </c>
      <c r="I1751" s="154">
        <v>5.02812727E8</v>
      </c>
      <c r="J1751" s="156">
        <v>0.0</v>
      </c>
      <c r="K1751" s="154" t="s">
        <v>259</v>
      </c>
    </row>
    <row r="1752">
      <c r="A1752" s="154" t="s">
        <v>4428</v>
      </c>
      <c r="B1752" s="154" t="s">
        <v>4429</v>
      </c>
      <c r="D1752" s="154">
        <v>2.0</v>
      </c>
      <c r="E1752" s="154" t="s">
        <v>761</v>
      </c>
      <c r="F1752" s="154" t="s">
        <v>4430</v>
      </c>
      <c r="G1752" s="154" t="s">
        <v>4431</v>
      </c>
      <c r="H1752" s="154" t="s">
        <v>4432</v>
      </c>
      <c r="I1752" s="154" t="s">
        <v>4433</v>
      </c>
      <c r="J1752" s="154" t="s">
        <v>4434</v>
      </c>
      <c r="K1752" s="154" t="s">
        <v>240</v>
      </c>
    </row>
    <row r="1753">
      <c r="A1753" s="154" t="s">
        <v>4428</v>
      </c>
      <c r="B1753" s="155"/>
      <c r="C1753" s="154" t="s">
        <v>4429</v>
      </c>
      <c r="D1753" s="155"/>
      <c r="E1753" s="155"/>
      <c r="F1753" s="154" t="s">
        <v>4430</v>
      </c>
      <c r="G1753" s="154" t="s">
        <v>4431</v>
      </c>
      <c r="H1753" s="154" t="s">
        <v>4432</v>
      </c>
      <c r="I1753" s="154" t="s">
        <v>4433</v>
      </c>
      <c r="J1753" s="154" t="s">
        <v>4434</v>
      </c>
      <c r="K1753" s="154" t="s">
        <v>240</v>
      </c>
    </row>
    <row r="1754">
      <c r="A1754" s="154" t="s">
        <v>4435</v>
      </c>
      <c r="B1754" s="154" t="s">
        <v>4436</v>
      </c>
      <c r="D1754" s="154">
        <v>2.0</v>
      </c>
      <c r="E1754" s="154" t="s">
        <v>761</v>
      </c>
      <c r="F1754" s="154" t="s">
        <v>4437</v>
      </c>
      <c r="G1754" s="154">
        <v>4.2268161E7</v>
      </c>
      <c r="H1754" s="154" t="s">
        <v>4438</v>
      </c>
      <c r="I1754" s="154">
        <v>9.71556300001E11</v>
      </c>
      <c r="J1754" s="156">
        <v>0.0</v>
      </c>
      <c r="K1754" s="154" t="s">
        <v>361</v>
      </c>
    </row>
    <row r="1755">
      <c r="A1755" s="154" t="s">
        <v>4435</v>
      </c>
      <c r="B1755" s="155"/>
      <c r="C1755" s="154" t="s">
        <v>4436</v>
      </c>
      <c r="D1755" s="155"/>
      <c r="E1755" s="155"/>
      <c r="F1755" s="154" t="s">
        <v>4437</v>
      </c>
      <c r="G1755" s="154">
        <v>4.2268161E7</v>
      </c>
      <c r="H1755" s="154" t="s">
        <v>4438</v>
      </c>
      <c r="I1755" s="154">
        <v>9.71556300001E11</v>
      </c>
      <c r="J1755" s="156">
        <v>0.0</v>
      </c>
      <c r="K1755" s="154" t="s">
        <v>361</v>
      </c>
    </row>
    <row r="1756">
      <c r="A1756" s="154" t="s">
        <v>4439</v>
      </c>
      <c r="B1756" s="154" t="s">
        <v>4440</v>
      </c>
      <c r="D1756" s="154">
        <v>2.0</v>
      </c>
      <c r="E1756" s="154" t="s">
        <v>761</v>
      </c>
      <c r="F1756" s="154" t="s">
        <v>4441</v>
      </c>
      <c r="G1756" s="154">
        <v>3956566.0</v>
      </c>
      <c r="H1756" s="156">
        <v>0.0</v>
      </c>
      <c r="I1756" s="154">
        <v>455.0</v>
      </c>
      <c r="J1756" s="156">
        <v>0.0</v>
      </c>
      <c r="K1756" s="154" t="s">
        <v>365</v>
      </c>
    </row>
    <row r="1757">
      <c r="A1757" s="154" t="s">
        <v>4439</v>
      </c>
      <c r="B1757" s="155"/>
      <c r="C1757" s="154" t="s">
        <v>4440</v>
      </c>
      <c r="D1757" s="155"/>
      <c r="E1757" s="155"/>
      <c r="F1757" s="154" t="s">
        <v>4441</v>
      </c>
      <c r="G1757" s="154">
        <v>3956566.0</v>
      </c>
      <c r="H1757" s="156">
        <v>0.0</v>
      </c>
      <c r="I1757" s="154">
        <v>455.0</v>
      </c>
      <c r="J1757" s="156">
        <v>0.0</v>
      </c>
      <c r="K1757" s="154" t="s">
        <v>365</v>
      </c>
    </row>
    <row r="1758">
      <c r="A1758" s="154" t="s">
        <v>4442</v>
      </c>
      <c r="B1758" s="154" t="s">
        <v>4443</v>
      </c>
      <c r="D1758" s="154">
        <v>2.0</v>
      </c>
      <c r="E1758" s="154" t="s">
        <v>761</v>
      </c>
      <c r="F1758" s="154" t="s">
        <v>1619</v>
      </c>
      <c r="G1758" s="154">
        <v>4.3903333E7</v>
      </c>
      <c r="H1758" s="154" t="s">
        <v>1620</v>
      </c>
      <c r="I1758" s="156">
        <v>0.0</v>
      </c>
      <c r="J1758" s="156">
        <v>0.0</v>
      </c>
      <c r="K1758" s="156">
        <v>0.0</v>
      </c>
    </row>
    <row r="1759">
      <c r="A1759" s="154" t="s">
        <v>4442</v>
      </c>
      <c r="B1759" s="155"/>
      <c r="C1759" s="154" t="s">
        <v>4443</v>
      </c>
      <c r="D1759" s="155"/>
      <c r="E1759" s="155"/>
      <c r="F1759" s="154" t="s">
        <v>1619</v>
      </c>
      <c r="G1759" s="154">
        <v>4.3903333E7</v>
      </c>
      <c r="H1759" s="154" t="s">
        <v>1620</v>
      </c>
      <c r="I1759" s="156">
        <v>0.0</v>
      </c>
      <c r="J1759" s="156">
        <v>0.0</v>
      </c>
      <c r="K1759" s="156">
        <v>0.0</v>
      </c>
    </row>
    <row r="1760">
      <c r="A1760" s="154" t="s">
        <v>4444</v>
      </c>
      <c r="B1760" s="155"/>
      <c r="C1760" s="154" t="s">
        <v>4445</v>
      </c>
      <c r="D1760" s="155"/>
      <c r="E1760" s="155"/>
      <c r="F1760" s="154" t="s">
        <v>4446</v>
      </c>
      <c r="G1760" s="154">
        <v>5.05766585E8</v>
      </c>
      <c r="H1760" s="156">
        <v>0.0</v>
      </c>
      <c r="I1760" s="154">
        <v>5.05766585E8</v>
      </c>
      <c r="J1760" s="156">
        <v>0.0</v>
      </c>
      <c r="K1760" s="154" t="s">
        <v>247</v>
      </c>
    </row>
    <row r="1761">
      <c r="A1761" s="154" t="s">
        <v>4444</v>
      </c>
      <c r="B1761" s="154" t="s">
        <v>4445</v>
      </c>
      <c r="D1761" s="154">
        <v>2.0</v>
      </c>
      <c r="E1761" s="154" t="s">
        <v>761</v>
      </c>
      <c r="F1761" s="154" t="s">
        <v>4446</v>
      </c>
      <c r="G1761" s="154">
        <v>5.05766585E8</v>
      </c>
      <c r="H1761" s="156">
        <v>0.0</v>
      </c>
      <c r="I1761" s="154">
        <v>5.05766585E8</v>
      </c>
      <c r="J1761" s="156">
        <v>0.0</v>
      </c>
      <c r="K1761" s="154" t="s">
        <v>247</v>
      </c>
    </row>
    <row r="1762">
      <c r="A1762" s="154" t="s">
        <v>4447</v>
      </c>
      <c r="B1762" s="155"/>
      <c r="C1762" s="154" t="s">
        <v>4448</v>
      </c>
      <c r="D1762" s="155"/>
      <c r="E1762" s="155"/>
      <c r="F1762" s="154" t="s">
        <v>4449</v>
      </c>
      <c r="G1762" s="154">
        <v>4.380118E7</v>
      </c>
      <c r="H1762" s="154" t="s">
        <v>4450</v>
      </c>
      <c r="I1762" s="154">
        <v>9.71506252814E11</v>
      </c>
      <c r="J1762" s="156">
        <v>0.0</v>
      </c>
      <c r="K1762" s="154" t="s">
        <v>240</v>
      </c>
    </row>
    <row r="1763">
      <c r="A1763" s="154" t="s">
        <v>4447</v>
      </c>
      <c r="B1763" s="154" t="s">
        <v>4448</v>
      </c>
      <c r="D1763" s="154">
        <v>2.0</v>
      </c>
      <c r="E1763" s="154" t="s">
        <v>761</v>
      </c>
      <c r="F1763" s="154" t="s">
        <v>4449</v>
      </c>
      <c r="G1763" s="154">
        <v>4.380118E7</v>
      </c>
      <c r="H1763" s="154" t="s">
        <v>4450</v>
      </c>
      <c r="I1763" s="154">
        <v>9.71506252814E11</v>
      </c>
      <c r="J1763" s="156">
        <v>0.0</v>
      </c>
      <c r="K1763" s="154" t="s">
        <v>240</v>
      </c>
    </row>
    <row r="1764">
      <c r="A1764" s="154" t="s">
        <v>4451</v>
      </c>
      <c r="B1764" s="154" t="s">
        <v>4452</v>
      </c>
      <c r="D1764" s="154">
        <v>2.0</v>
      </c>
      <c r="E1764" s="154" t="s">
        <v>761</v>
      </c>
      <c r="F1764" s="154" t="s">
        <v>4453</v>
      </c>
      <c r="G1764" s="154">
        <v>4.3028544E7</v>
      </c>
      <c r="H1764" s="156">
        <v>0.0</v>
      </c>
      <c r="I1764" s="154">
        <v>0.0</v>
      </c>
      <c r="J1764" s="156">
        <v>0.0</v>
      </c>
      <c r="K1764" s="154" t="s">
        <v>301</v>
      </c>
    </row>
    <row r="1765">
      <c r="A1765" s="154" t="s">
        <v>4451</v>
      </c>
      <c r="B1765" s="155"/>
      <c r="C1765" s="154" t="s">
        <v>4452</v>
      </c>
      <c r="D1765" s="155"/>
      <c r="E1765" s="155"/>
      <c r="F1765" s="154" t="s">
        <v>4454</v>
      </c>
      <c r="G1765" s="154">
        <v>4.4236419E7</v>
      </c>
      <c r="H1765" s="156">
        <v>0.0</v>
      </c>
      <c r="I1765" s="154">
        <v>5.51223334E8</v>
      </c>
      <c r="J1765" s="156">
        <v>0.0</v>
      </c>
      <c r="K1765" s="154" t="s">
        <v>301</v>
      </c>
    </row>
    <row r="1766">
      <c r="A1766" s="154" t="s">
        <v>4455</v>
      </c>
      <c r="B1766" s="154" t="s">
        <v>4456</v>
      </c>
      <c r="D1766" s="154">
        <v>2.0</v>
      </c>
      <c r="E1766" s="154" t="s">
        <v>761</v>
      </c>
      <c r="F1766" s="154" t="s">
        <v>3073</v>
      </c>
      <c r="G1766" s="156">
        <v>0.0</v>
      </c>
      <c r="H1766" s="154" t="s">
        <v>3074</v>
      </c>
      <c r="I1766" s="154" t="s">
        <v>3075</v>
      </c>
      <c r="J1766" s="154" t="s">
        <v>3076</v>
      </c>
      <c r="K1766" s="154" t="s">
        <v>207</v>
      </c>
    </row>
    <row r="1767">
      <c r="A1767" s="154" t="s">
        <v>4455</v>
      </c>
      <c r="B1767" s="155"/>
      <c r="C1767" s="154" t="s">
        <v>4456</v>
      </c>
      <c r="D1767" s="155"/>
      <c r="E1767" s="155"/>
      <c r="F1767" s="154" t="s">
        <v>3073</v>
      </c>
      <c r="G1767" s="156">
        <v>0.0</v>
      </c>
      <c r="H1767" s="154" t="s">
        <v>3074</v>
      </c>
      <c r="I1767" s="154" t="s">
        <v>3075</v>
      </c>
      <c r="J1767" s="154" t="s">
        <v>3076</v>
      </c>
      <c r="K1767" s="154" t="s">
        <v>207</v>
      </c>
    </row>
    <row r="1768">
      <c r="A1768" s="154" t="s">
        <v>4457</v>
      </c>
      <c r="B1768" s="154" t="s">
        <v>4458</v>
      </c>
      <c r="D1768" s="154">
        <v>2.0</v>
      </c>
      <c r="E1768" s="154" t="s">
        <v>761</v>
      </c>
      <c r="F1768" s="154" t="s">
        <v>4459</v>
      </c>
      <c r="G1768" s="154">
        <v>971.0</v>
      </c>
      <c r="H1768" s="156">
        <v>0.0</v>
      </c>
      <c r="I1768" s="154" t="s">
        <v>853</v>
      </c>
      <c r="J1768" s="154" t="s">
        <v>809</v>
      </c>
      <c r="K1768" s="154" t="s">
        <v>259</v>
      </c>
    </row>
    <row r="1769">
      <c r="A1769" s="154" t="s">
        <v>4457</v>
      </c>
      <c r="B1769" s="155"/>
      <c r="C1769" s="154" t="s">
        <v>4458</v>
      </c>
      <c r="D1769" s="155"/>
      <c r="E1769" s="155"/>
      <c r="F1769" s="154" t="s">
        <v>4459</v>
      </c>
      <c r="G1769" s="154">
        <v>971.0</v>
      </c>
      <c r="H1769" s="156">
        <v>0.0</v>
      </c>
      <c r="I1769" s="154" t="s">
        <v>853</v>
      </c>
      <c r="J1769" s="154" t="s">
        <v>809</v>
      </c>
      <c r="K1769" s="154" t="s">
        <v>259</v>
      </c>
    </row>
    <row r="1770">
      <c r="A1770" s="154" t="s">
        <v>4460</v>
      </c>
      <c r="B1770" s="155"/>
      <c r="C1770" s="154" t="s">
        <v>4461</v>
      </c>
      <c r="D1770" s="155"/>
      <c r="E1770" s="155"/>
      <c r="F1770" s="154" t="s">
        <v>3073</v>
      </c>
      <c r="G1770" s="156">
        <v>0.0</v>
      </c>
      <c r="H1770" s="154" t="s">
        <v>3074</v>
      </c>
      <c r="I1770" s="154" t="s">
        <v>3075</v>
      </c>
      <c r="J1770" s="154" t="s">
        <v>3076</v>
      </c>
      <c r="K1770" s="154" t="s">
        <v>207</v>
      </c>
    </row>
    <row r="1771">
      <c r="A1771" s="154" t="s">
        <v>4460</v>
      </c>
      <c r="B1771" s="154" t="s">
        <v>4461</v>
      </c>
      <c r="D1771" s="154">
        <v>2.0</v>
      </c>
      <c r="E1771" s="154" t="s">
        <v>761</v>
      </c>
      <c r="F1771" s="154" t="s">
        <v>3073</v>
      </c>
      <c r="G1771" s="156">
        <v>0.0</v>
      </c>
      <c r="H1771" s="154" t="s">
        <v>3074</v>
      </c>
      <c r="I1771" s="154" t="s">
        <v>3075</v>
      </c>
      <c r="J1771" s="154" t="s">
        <v>3076</v>
      </c>
      <c r="K1771" s="154" t="s">
        <v>207</v>
      </c>
    </row>
    <row r="1772">
      <c r="A1772" s="154" t="s">
        <v>4462</v>
      </c>
      <c r="B1772" s="155"/>
      <c r="C1772" s="154" t="s">
        <v>4463</v>
      </c>
      <c r="D1772" s="155"/>
      <c r="E1772" s="155"/>
      <c r="F1772" s="154" t="s">
        <v>4464</v>
      </c>
      <c r="G1772" s="156">
        <v>0.0</v>
      </c>
      <c r="H1772" s="156">
        <v>0.0</v>
      </c>
      <c r="I1772" s="154">
        <v>5.0459519E8</v>
      </c>
      <c r="J1772" s="156">
        <v>0.0</v>
      </c>
      <c r="K1772" s="154" t="s">
        <v>361</v>
      </c>
    </row>
    <row r="1773">
      <c r="A1773" s="154" t="s">
        <v>4462</v>
      </c>
      <c r="B1773" s="154" t="s">
        <v>4463</v>
      </c>
      <c r="D1773" s="154">
        <v>2.0</v>
      </c>
      <c r="E1773" s="154" t="s">
        <v>761</v>
      </c>
      <c r="F1773" s="154" t="s">
        <v>4465</v>
      </c>
      <c r="G1773" s="156">
        <v>0.0</v>
      </c>
      <c r="H1773" s="156">
        <v>0.0</v>
      </c>
      <c r="I1773" s="154">
        <v>5.0459519E8</v>
      </c>
      <c r="J1773" s="156">
        <v>0.0</v>
      </c>
      <c r="K1773" s="154" t="s">
        <v>361</v>
      </c>
    </row>
    <row r="1774">
      <c r="A1774" s="154" t="s">
        <v>4466</v>
      </c>
      <c r="B1774" s="154" t="s">
        <v>4467</v>
      </c>
      <c r="D1774" s="154">
        <v>2.0</v>
      </c>
      <c r="E1774" s="154" t="s">
        <v>761</v>
      </c>
      <c r="F1774" s="154" t="s">
        <v>4468</v>
      </c>
      <c r="G1774" s="156">
        <v>0.0</v>
      </c>
      <c r="H1774" s="156">
        <v>0.0</v>
      </c>
      <c r="I1774" s="154" t="s">
        <v>1194</v>
      </c>
      <c r="J1774" s="154" t="s">
        <v>1195</v>
      </c>
      <c r="K1774" s="154" t="s">
        <v>301</v>
      </c>
    </row>
    <row r="1775">
      <c r="A1775" s="154" t="s">
        <v>4466</v>
      </c>
      <c r="B1775" s="155"/>
      <c r="C1775" s="154" t="s">
        <v>4467</v>
      </c>
      <c r="D1775" s="155"/>
      <c r="E1775" s="155"/>
      <c r="F1775" s="154" t="s">
        <v>4468</v>
      </c>
      <c r="G1775" s="156">
        <v>0.0</v>
      </c>
      <c r="H1775" s="156">
        <v>0.0</v>
      </c>
      <c r="I1775" s="154" t="s">
        <v>1194</v>
      </c>
      <c r="J1775" s="154" t="s">
        <v>1195</v>
      </c>
      <c r="K1775" s="154" t="s">
        <v>301</v>
      </c>
    </row>
    <row r="1776">
      <c r="A1776" s="154" t="s">
        <v>4469</v>
      </c>
      <c r="B1776" s="154" t="s">
        <v>4470</v>
      </c>
      <c r="D1776" s="154">
        <v>2.0</v>
      </c>
      <c r="E1776" s="154" t="s">
        <v>761</v>
      </c>
      <c r="F1776" s="154" t="s">
        <v>4471</v>
      </c>
      <c r="G1776" s="154" t="s">
        <v>4472</v>
      </c>
      <c r="H1776" s="156">
        <v>0.0</v>
      </c>
      <c r="I1776" s="154" t="s">
        <v>4473</v>
      </c>
      <c r="J1776" s="154" t="s">
        <v>4472</v>
      </c>
      <c r="K1776" s="154" t="s">
        <v>361</v>
      </c>
    </row>
    <row r="1777">
      <c r="A1777" s="154" t="s">
        <v>4469</v>
      </c>
      <c r="B1777" s="155"/>
      <c r="C1777" s="154" t="s">
        <v>4470</v>
      </c>
      <c r="D1777" s="155"/>
      <c r="E1777" s="155"/>
      <c r="F1777" s="154" t="s">
        <v>4471</v>
      </c>
      <c r="G1777" s="154" t="s">
        <v>4472</v>
      </c>
      <c r="H1777" s="156">
        <v>0.0</v>
      </c>
      <c r="I1777" s="154" t="s">
        <v>4473</v>
      </c>
      <c r="J1777" s="154" t="s">
        <v>4472</v>
      </c>
      <c r="K1777" s="154" t="s">
        <v>361</v>
      </c>
    </row>
    <row r="1778">
      <c r="A1778" s="154" t="s">
        <v>4474</v>
      </c>
      <c r="B1778" s="154" t="s">
        <v>4475</v>
      </c>
      <c r="D1778" s="154">
        <v>2.0</v>
      </c>
      <c r="E1778" s="154" t="s">
        <v>761</v>
      </c>
      <c r="F1778" s="154" t="s">
        <v>4476</v>
      </c>
      <c r="G1778" s="154">
        <v>5.09221527E8</v>
      </c>
      <c r="H1778" s="156">
        <v>0.0</v>
      </c>
      <c r="I1778" s="156">
        <v>0.0</v>
      </c>
      <c r="J1778" s="156">
        <v>0.0</v>
      </c>
      <c r="K1778" s="154" t="s">
        <v>240</v>
      </c>
    </row>
    <row r="1779">
      <c r="A1779" s="154" t="s">
        <v>4474</v>
      </c>
      <c r="B1779" s="155"/>
      <c r="C1779" s="154" t="s">
        <v>4475</v>
      </c>
      <c r="D1779" s="155"/>
      <c r="E1779" s="155"/>
      <c r="F1779" s="154" t="s">
        <v>4476</v>
      </c>
      <c r="G1779" s="154">
        <v>5.09221527E8</v>
      </c>
      <c r="H1779" s="156">
        <v>0.0</v>
      </c>
      <c r="I1779" s="156">
        <v>0.0</v>
      </c>
      <c r="J1779" s="156">
        <v>0.0</v>
      </c>
      <c r="K1779" s="154" t="s">
        <v>240</v>
      </c>
    </row>
    <row r="1780">
      <c r="A1780" s="154" t="s">
        <v>4477</v>
      </c>
      <c r="B1780" s="154" t="s">
        <v>4478</v>
      </c>
      <c r="D1780" s="154">
        <v>2.0</v>
      </c>
      <c r="E1780" s="154" t="s">
        <v>761</v>
      </c>
      <c r="F1780" s="154" t="s">
        <v>4479</v>
      </c>
      <c r="G1780" s="156">
        <v>0.0</v>
      </c>
      <c r="H1780" s="154" t="s">
        <v>1185</v>
      </c>
      <c r="I1780" s="154" t="s">
        <v>3157</v>
      </c>
      <c r="J1780" s="154" t="s">
        <v>4480</v>
      </c>
      <c r="K1780" s="154" t="s">
        <v>760</v>
      </c>
    </row>
    <row r="1781">
      <c r="A1781" s="154" t="s">
        <v>4477</v>
      </c>
      <c r="B1781" s="155"/>
      <c r="C1781" s="154" t="s">
        <v>4478</v>
      </c>
      <c r="D1781" s="155"/>
      <c r="E1781" s="155"/>
      <c r="F1781" s="154" t="s">
        <v>4479</v>
      </c>
      <c r="G1781" s="156">
        <v>0.0</v>
      </c>
      <c r="H1781" s="154" t="s">
        <v>1185</v>
      </c>
      <c r="I1781" s="154" t="s">
        <v>3157</v>
      </c>
      <c r="J1781" s="154" t="s">
        <v>4480</v>
      </c>
      <c r="K1781" s="154" t="s">
        <v>760</v>
      </c>
    </row>
    <row r="1782">
      <c r="A1782" s="154" t="s">
        <v>4481</v>
      </c>
      <c r="B1782" s="154" t="s">
        <v>4482</v>
      </c>
      <c r="D1782" s="154">
        <v>2.0</v>
      </c>
      <c r="E1782" s="154" t="s">
        <v>761</v>
      </c>
      <c r="F1782" s="154" t="s">
        <v>4483</v>
      </c>
      <c r="G1782" s="156">
        <v>0.0</v>
      </c>
      <c r="H1782" s="156">
        <v>0.0</v>
      </c>
      <c r="I1782" s="154" t="s">
        <v>4484</v>
      </c>
      <c r="J1782" s="154" t="s">
        <v>4485</v>
      </c>
      <c r="K1782" s="154" t="s">
        <v>760</v>
      </c>
    </row>
    <row r="1783">
      <c r="A1783" s="154" t="s">
        <v>4481</v>
      </c>
      <c r="B1783" s="155"/>
      <c r="C1783" s="154" t="s">
        <v>4482</v>
      </c>
      <c r="D1783" s="155"/>
      <c r="E1783" s="155"/>
      <c r="F1783" s="154" t="s">
        <v>4483</v>
      </c>
      <c r="G1783" s="156">
        <v>0.0</v>
      </c>
      <c r="H1783" s="156">
        <v>0.0</v>
      </c>
      <c r="I1783" s="154" t="s">
        <v>4484</v>
      </c>
      <c r="J1783" s="154" t="s">
        <v>4485</v>
      </c>
      <c r="K1783" s="154" t="s">
        <v>760</v>
      </c>
    </row>
    <row r="1784">
      <c r="A1784" s="154" t="s">
        <v>4486</v>
      </c>
      <c r="B1784" s="155"/>
      <c r="C1784" s="154" t="s">
        <v>4487</v>
      </c>
      <c r="D1784" s="155"/>
      <c r="E1784" s="155"/>
      <c r="F1784" s="154" t="s">
        <v>4488</v>
      </c>
      <c r="G1784" s="156">
        <v>0.0</v>
      </c>
      <c r="H1784" s="156">
        <v>0.0</v>
      </c>
      <c r="I1784" s="154" t="s">
        <v>4489</v>
      </c>
      <c r="J1784" s="154" t="s">
        <v>4490</v>
      </c>
      <c r="K1784" s="154" t="s">
        <v>361</v>
      </c>
    </row>
    <row r="1785">
      <c r="A1785" s="154" t="s">
        <v>4486</v>
      </c>
      <c r="B1785" s="154" t="s">
        <v>4487</v>
      </c>
      <c r="D1785" s="154">
        <v>2.0</v>
      </c>
      <c r="E1785" s="154" t="s">
        <v>761</v>
      </c>
      <c r="F1785" s="154" t="s">
        <v>4488</v>
      </c>
      <c r="G1785" s="156">
        <v>0.0</v>
      </c>
      <c r="H1785" s="156">
        <v>0.0</v>
      </c>
      <c r="I1785" s="154" t="s">
        <v>4489</v>
      </c>
      <c r="J1785" s="154" t="s">
        <v>4490</v>
      </c>
      <c r="K1785" s="154" t="s">
        <v>361</v>
      </c>
    </row>
    <row r="1786">
      <c r="A1786" s="154" t="s">
        <v>4491</v>
      </c>
      <c r="B1786" s="154" t="s">
        <v>4492</v>
      </c>
      <c r="D1786" s="154">
        <v>2.0</v>
      </c>
      <c r="E1786" s="154" t="s">
        <v>761</v>
      </c>
      <c r="F1786" s="154" t="s">
        <v>792</v>
      </c>
      <c r="G1786" s="154" t="s">
        <v>793</v>
      </c>
      <c r="H1786" s="154" t="s">
        <v>794</v>
      </c>
      <c r="I1786" s="156">
        <v>0.0</v>
      </c>
      <c r="J1786" s="156">
        <v>0.0</v>
      </c>
      <c r="K1786" s="156">
        <v>0.0</v>
      </c>
    </row>
    <row r="1787">
      <c r="A1787" s="154" t="s">
        <v>4491</v>
      </c>
      <c r="B1787" s="155"/>
      <c r="C1787" s="154" t="s">
        <v>4492</v>
      </c>
      <c r="D1787" s="155"/>
      <c r="E1787" s="155"/>
      <c r="F1787" s="154" t="s">
        <v>792</v>
      </c>
      <c r="G1787" s="154" t="s">
        <v>793</v>
      </c>
      <c r="H1787" s="154" t="s">
        <v>794</v>
      </c>
      <c r="I1787" s="156">
        <v>0.0</v>
      </c>
      <c r="J1787" s="156">
        <v>0.0</v>
      </c>
      <c r="K1787" s="156">
        <v>0.0</v>
      </c>
    </row>
    <row r="1788">
      <c r="A1788" s="154" t="s">
        <v>4493</v>
      </c>
      <c r="B1788" s="155"/>
      <c r="C1788" s="154" t="s">
        <v>4494</v>
      </c>
      <c r="D1788" s="155"/>
      <c r="E1788" s="155"/>
      <c r="F1788" s="154" t="s">
        <v>4495</v>
      </c>
      <c r="G1788" s="154">
        <v>4.8022138E7</v>
      </c>
      <c r="H1788" s="156">
        <v>0.0</v>
      </c>
      <c r="I1788" s="154">
        <v>9.71507343694E11</v>
      </c>
      <c r="J1788" s="156">
        <v>0.0</v>
      </c>
      <c r="K1788" s="154" t="s">
        <v>207</v>
      </c>
    </row>
    <row r="1789">
      <c r="A1789" s="154" t="s">
        <v>4493</v>
      </c>
      <c r="B1789" s="154" t="s">
        <v>4494</v>
      </c>
      <c r="D1789" s="154">
        <v>2.0</v>
      </c>
      <c r="E1789" s="154" t="s">
        <v>761</v>
      </c>
      <c r="F1789" s="154" t="s">
        <v>4495</v>
      </c>
      <c r="G1789" s="154">
        <v>4.8022138E7</v>
      </c>
      <c r="H1789" s="156">
        <v>0.0</v>
      </c>
      <c r="I1789" s="154">
        <v>9.71507343694E11</v>
      </c>
      <c r="J1789" s="156">
        <v>0.0</v>
      </c>
      <c r="K1789" s="154" t="s">
        <v>207</v>
      </c>
    </row>
    <row r="1790">
      <c r="A1790" s="154" t="s">
        <v>4496</v>
      </c>
      <c r="B1790" s="155"/>
      <c r="C1790" s="154" t="s">
        <v>4497</v>
      </c>
      <c r="D1790" s="155"/>
      <c r="E1790" s="155"/>
      <c r="F1790" s="154" t="s">
        <v>4498</v>
      </c>
      <c r="G1790" s="154" t="s">
        <v>4499</v>
      </c>
      <c r="H1790" s="156">
        <v>0.0</v>
      </c>
      <c r="I1790" s="154" t="s">
        <v>4500</v>
      </c>
      <c r="J1790" s="156">
        <v>0.0</v>
      </c>
      <c r="K1790" s="154" t="s">
        <v>776</v>
      </c>
    </row>
    <row r="1791">
      <c r="A1791" s="154" t="s">
        <v>4496</v>
      </c>
      <c r="B1791" s="154" t="s">
        <v>4497</v>
      </c>
      <c r="D1791" s="154">
        <v>2.0</v>
      </c>
      <c r="E1791" s="154" t="s">
        <v>761</v>
      </c>
      <c r="F1791" s="154" t="s">
        <v>4498</v>
      </c>
      <c r="G1791" s="154" t="s">
        <v>4499</v>
      </c>
      <c r="H1791" s="156">
        <v>0.0</v>
      </c>
      <c r="I1791" s="154" t="s">
        <v>4500</v>
      </c>
      <c r="J1791" s="156">
        <v>0.0</v>
      </c>
      <c r="K1791" s="154" t="s">
        <v>776</v>
      </c>
    </row>
    <row r="1792">
      <c r="A1792" s="154" t="s">
        <v>4501</v>
      </c>
      <c r="B1792" s="154" t="s">
        <v>4502</v>
      </c>
      <c r="D1792" s="154">
        <v>2.0</v>
      </c>
      <c r="E1792" s="154" t="s">
        <v>761</v>
      </c>
      <c r="F1792" s="154" t="s">
        <v>4503</v>
      </c>
      <c r="G1792" s="154">
        <v>4.2273548E7</v>
      </c>
      <c r="H1792" s="156">
        <v>0.0</v>
      </c>
      <c r="I1792" s="154">
        <v>9.71506253475E11</v>
      </c>
      <c r="J1792" s="156">
        <v>0.0</v>
      </c>
      <c r="K1792" s="154" t="s">
        <v>4504</v>
      </c>
    </row>
    <row r="1793">
      <c r="A1793" s="154" t="s">
        <v>4501</v>
      </c>
      <c r="B1793" s="155"/>
      <c r="C1793" s="154" t="s">
        <v>4502</v>
      </c>
      <c r="D1793" s="155"/>
      <c r="E1793" s="155"/>
      <c r="F1793" s="154" t="s">
        <v>4503</v>
      </c>
      <c r="G1793" s="154">
        <v>4.2273548E7</v>
      </c>
      <c r="H1793" s="156">
        <v>0.0</v>
      </c>
      <c r="I1793" s="154">
        <v>9.71506253475E11</v>
      </c>
      <c r="J1793" s="156">
        <v>0.0</v>
      </c>
      <c r="K1793" s="154" t="s">
        <v>4504</v>
      </c>
    </row>
    <row r="1794">
      <c r="A1794" s="154" t="s">
        <v>4505</v>
      </c>
      <c r="B1794" s="154" t="s">
        <v>4506</v>
      </c>
      <c r="D1794" s="154">
        <v>2.0</v>
      </c>
      <c r="E1794" s="154" t="s">
        <v>761</v>
      </c>
      <c r="F1794" s="154" t="s">
        <v>4507</v>
      </c>
      <c r="G1794" s="154">
        <v>0.0</v>
      </c>
      <c r="H1794" s="156">
        <v>0.0</v>
      </c>
      <c r="I1794" s="154">
        <v>5.04589919E8</v>
      </c>
      <c r="J1794" s="156">
        <v>0.0</v>
      </c>
      <c r="K1794" s="154" t="s">
        <v>301</v>
      </c>
    </row>
    <row r="1795">
      <c r="A1795" s="154" t="s">
        <v>4505</v>
      </c>
      <c r="B1795" s="155"/>
      <c r="C1795" s="154" t="s">
        <v>4506</v>
      </c>
      <c r="D1795" s="155"/>
      <c r="E1795" s="155"/>
      <c r="F1795" s="154" t="s">
        <v>4507</v>
      </c>
      <c r="G1795" s="154">
        <v>0.0</v>
      </c>
      <c r="H1795" s="156">
        <v>0.0</v>
      </c>
      <c r="I1795" s="154">
        <v>5.04589919E8</v>
      </c>
      <c r="J1795" s="156">
        <v>0.0</v>
      </c>
      <c r="K1795" s="154" t="s">
        <v>301</v>
      </c>
    </row>
    <row r="1796">
      <c r="A1796" s="154" t="s">
        <v>4508</v>
      </c>
      <c r="B1796" s="154" t="s">
        <v>4509</v>
      </c>
      <c r="D1796" s="154">
        <v>2.0</v>
      </c>
      <c r="E1796" s="154" t="s">
        <v>761</v>
      </c>
      <c r="F1796" s="154" t="s">
        <v>3786</v>
      </c>
      <c r="G1796" s="154">
        <v>4.3902282E7</v>
      </c>
      <c r="H1796" s="154" t="s">
        <v>1185</v>
      </c>
      <c r="I1796" s="156">
        <v>0.0</v>
      </c>
      <c r="J1796" s="156">
        <v>0.0</v>
      </c>
      <c r="K1796" s="156">
        <v>0.0</v>
      </c>
    </row>
    <row r="1797">
      <c r="A1797" s="154" t="s">
        <v>4508</v>
      </c>
      <c r="B1797" s="155"/>
      <c r="C1797" s="154" t="s">
        <v>4509</v>
      </c>
      <c r="D1797" s="155"/>
      <c r="E1797" s="155"/>
      <c r="F1797" s="154" t="s">
        <v>3786</v>
      </c>
      <c r="G1797" s="154">
        <v>4.3902282E7</v>
      </c>
      <c r="H1797" s="154" t="s">
        <v>1185</v>
      </c>
      <c r="I1797" s="156">
        <v>0.0</v>
      </c>
      <c r="J1797" s="156">
        <v>0.0</v>
      </c>
      <c r="K1797" s="156">
        <v>0.0</v>
      </c>
    </row>
    <row r="1798">
      <c r="A1798" s="154" t="s">
        <v>4510</v>
      </c>
      <c r="B1798" s="154" t="s">
        <v>4511</v>
      </c>
      <c r="D1798" s="154">
        <v>2.0</v>
      </c>
      <c r="E1798" s="154" t="s">
        <v>761</v>
      </c>
      <c r="F1798" s="154" t="s">
        <v>4512</v>
      </c>
      <c r="G1798" s="156">
        <v>0.0</v>
      </c>
      <c r="H1798" s="156">
        <v>0.0</v>
      </c>
      <c r="I1798" s="154" t="s">
        <v>4513</v>
      </c>
      <c r="J1798" s="154" t="s">
        <v>4514</v>
      </c>
      <c r="K1798" s="154" t="s">
        <v>361</v>
      </c>
    </row>
    <row r="1799">
      <c r="A1799" s="154" t="s">
        <v>4510</v>
      </c>
      <c r="B1799" s="155"/>
      <c r="C1799" s="154" t="s">
        <v>4511</v>
      </c>
      <c r="D1799" s="155"/>
      <c r="E1799" s="155"/>
      <c r="F1799" s="154" t="s">
        <v>4512</v>
      </c>
      <c r="G1799" s="156">
        <v>0.0</v>
      </c>
      <c r="H1799" s="156">
        <v>0.0</v>
      </c>
      <c r="I1799" s="154" t="s">
        <v>4513</v>
      </c>
      <c r="J1799" s="154" t="s">
        <v>4514</v>
      </c>
      <c r="K1799" s="154" t="s">
        <v>361</v>
      </c>
    </row>
    <row r="1800">
      <c r="A1800" s="154" t="s">
        <v>4515</v>
      </c>
      <c r="B1800" s="154" t="s">
        <v>4516</v>
      </c>
      <c r="D1800" s="154">
        <v>2.0</v>
      </c>
      <c r="E1800" s="154" t="s">
        <v>761</v>
      </c>
      <c r="F1800" s="154" t="s">
        <v>4517</v>
      </c>
      <c r="G1800" s="154" t="s">
        <v>4518</v>
      </c>
      <c r="H1800" s="154" t="s">
        <v>1185</v>
      </c>
      <c r="I1800" s="154" t="s">
        <v>4519</v>
      </c>
      <c r="J1800" s="154" t="s">
        <v>4520</v>
      </c>
      <c r="K1800" s="154" t="s">
        <v>776</v>
      </c>
    </row>
    <row r="1801">
      <c r="A1801" s="154" t="s">
        <v>4515</v>
      </c>
      <c r="B1801" s="155"/>
      <c r="C1801" s="154" t="s">
        <v>4516</v>
      </c>
      <c r="D1801" s="155"/>
      <c r="E1801" s="155"/>
      <c r="F1801" s="154" t="s">
        <v>4517</v>
      </c>
      <c r="G1801" s="154" t="s">
        <v>4518</v>
      </c>
      <c r="H1801" s="154" t="s">
        <v>1185</v>
      </c>
      <c r="I1801" s="154" t="s">
        <v>4519</v>
      </c>
      <c r="J1801" s="154" t="s">
        <v>4520</v>
      </c>
      <c r="K1801" s="154" t="s">
        <v>776</v>
      </c>
    </row>
    <row r="1802">
      <c r="A1802" s="154" t="s">
        <v>4521</v>
      </c>
      <c r="B1802" s="155"/>
      <c r="C1802" s="154" t="s">
        <v>4522</v>
      </c>
      <c r="D1802" s="155"/>
      <c r="E1802" s="155"/>
      <c r="F1802" s="154" t="s">
        <v>4523</v>
      </c>
      <c r="G1802" s="154">
        <v>8813000.0</v>
      </c>
      <c r="H1802" s="156">
        <v>0.0</v>
      </c>
      <c r="I1802" s="154">
        <v>5.07350333E8</v>
      </c>
      <c r="J1802" s="156">
        <v>0.0</v>
      </c>
      <c r="K1802" s="154" t="s">
        <v>361</v>
      </c>
    </row>
    <row r="1803">
      <c r="A1803" s="154" t="s">
        <v>4521</v>
      </c>
      <c r="B1803" s="154" t="s">
        <v>4522</v>
      </c>
      <c r="D1803" s="154">
        <v>2.0</v>
      </c>
      <c r="E1803" s="154" t="s">
        <v>761</v>
      </c>
      <c r="F1803" s="154" t="s">
        <v>4523</v>
      </c>
      <c r="G1803" s="154">
        <v>8813000.0</v>
      </c>
      <c r="H1803" s="156">
        <v>0.0</v>
      </c>
      <c r="I1803" s="154">
        <v>5.07350333E8</v>
      </c>
      <c r="J1803" s="156">
        <v>0.0</v>
      </c>
      <c r="K1803" s="154" t="s">
        <v>361</v>
      </c>
    </row>
    <row r="1804">
      <c r="A1804" s="154" t="s">
        <v>4524</v>
      </c>
      <c r="B1804" s="155"/>
      <c r="C1804" s="154" t="s">
        <v>4525</v>
      </c>
      <c r="D1804" s="155"/>
      <c r="E1804" s="155"/>
      <c r="F1804" s="154" t="s">
        <v>4526</v>
      </c>
      <c r="G1804" s="156">
        <v>0.0</v>
      </c>
      <c r="H1804" s="154" t="s">
        <v>4527</v>
      </c>
      <c r="I1804" s="154">
        <v>9.71559213584E11</v>
      </c>
      <c r="J1804" s="156">
        <v>0.0</v>
      </c>
      <c r="K1804" s="154" t="s">
        <v>240</v>
      </c>
    </row>
    <row r="1805">
      <c r="A1805" s="154" t="s">
        <v>4524</v>
      </c>
      <c r="B1805" s="154" t="s">
        <v>4525</v>
      </c>
      <c r="D1805" s="154">
        <v>2.0</v>
      </c>
      <c r="E1805" s="154" t="s">
        <v>761</v>
      </c>
      <c r="F1805" s="154" t="s">
        <v>4526</v>
      </c>
      <c r="G1805" s="156">
        <v>0.0</v>
      </c>
      <c r="H1805" s="154" t="s">
        <v>4527</v>
      </c>
      <c r="I1805" s="154">
        <v>9.71559213584E11</v>
      </c>
      <c r="J1805" s="156">
        <v>0.0</v>
      </c>
      <c r="K1805" s="154" t="s">
        <v>240</v>
      </c>
    </row>
    <row r="1806">
      <c r="A1806" s="154" t="s">
        <v>4528</v>
      </c>
      <c r="B1806" s="155"/>
      <c r="C1806" s="154" t="s">
        <v>4529</v>
      </c>
      <c r="D1806" s="155"/>
      <c r="E1806" s="155"/>
      <c r="F1806" s="154" t="s">
        <v>4530</v>
      </c>
      <c r="G1806" s="156">
        <v>0.0</v>
      </c>
      <c r="H1806" s="156">
        <v>0.0</v>
      </c>
      <c r="I1806" s="154" t="s">
        <v>4531</v>
      </c>
      <c r="J1806" s="156">
        <v>0.0</v>
      </c>
      <c r="K1806" s="154" t="s">
        <v>206</v>
      </c>
    </row>
    <row r="1807">
      <c r="A1807" s="154" t="s">
        <v>4528</v>
      </c>
      <c r="B1807" s="154" t="s">
        <v>4529</v>
      </c>
      <c r="D1807" s="154">
        <v>2.0</v>
      </c>
      <c r="E1807" s="154" t="s">
        <v>761</v>
      </c>
      <c r="F1807" s="154" t="s">
        <v>4530</v>
      </c>
      <c r="G1807" s="156">
        <v>0.0</v>
      </c>
      <c r="H1807" s="156">
        <v>0.0</v>
      </c>
      <c r="I1807" s="154" t="s">
        <v>4531</v>
      </c>
      <c r="J1807" s="156">
        <v>0.0</v>
      </c>
      <c r="K1807" s="154" t="s">
        <v>206</v>
      </c>
    </row>
    <row r="1808">
      <c r="A1808" s="154" t="s">
        <v>4532</v>
      </c>
      <c r="B1808" s="155"/>
      <c r="C1808" s="154" t="s">
        <v>4533</v>
      </c>
      <c r="D1808" s="155"/>
      <c r="E1808" s="155"/>
      <c r="F1808" s="154" t="s">
        <v>4534</v>
      </c>
      <c r="G1808" s="154">
        <v>0.0</v>
      </c>
      <c r="H1808" s="156">
        <v>0.0</v>
      </c>
      <c r="I1808" s="154">
        <v>5.03519662E8</v>
      </c>
      <c r="J1808" s="156">
        <v>0.0</v>
      </c>
      <c r="K1808" s="154" t="s">
        <v>776</v>
      </c>
    </row>
    <row r="1809">
      <c r="A1809" s="154" t="s">
        <v>4532</v>
      </c>
      <c r="B1809" s="154" t="s">
        <v>4533</v>
      </c>
      <c r="D1809" s="154">
        <v>2.0</v>
      </c>
      <c r="E1809" s="154" t="s">
        <v>761</v>
      </c>
      <c r="F1809" s="154" t="s">
        <v>4534</v>
      </c>
      <c r="G1809" s="154">
        <v>0.0</v>
      </c>
      <c r="H1809" s="156">
        <v>0.0</v>
      </c>
      <c r="I1809" s="154">
        <v>5.03519662E8</v>
      </c>
      <c r="J1809" s="156">
        <v>0.0</v>
      </c>
      <c r="K1809" s="154" t="s">
        <v>776</v>
      </c>
    </row>
    <row r="1810">
      <c r="A1810" s="154" t="s">
        <v>4535</v>
      </c>
      <c r="B1810" s="155"/>
      <c r="C1810" s="154" t="s">
        <v>4536</v>
      </c>
      <c r="D1810" s="155"/>
      <c r="E1810" s="155"/>
      <c r="F1810" s="154" t="s">
        <v>4537</v>
      </c>
      <c r="G1810" s="155" t="str">
        <f>+971 50 7189209</f>
        <v>#ERROR!</v>
      </c>
      <c r="H1810" s="156">
        <v>0.0</v>
      </c>
      <c r="I1810" s="156">
        <v>0.0</v>
      </c>
      <c r="J1810" s="156">
        <v>0.0</v>
      </c>
      <c r="K1810" s="156">
        <v>0.0</v>
      </c>
    </row>
    <row r="1811">
      <c r="A1811" s="154" t="s">
        <v>4535</v>
      </c>
      <c r="B1811" s="154" t="s">
        <v>4536</v>
      </c>
      <c r="D1811" s="154">
        <v>2.0</v>
      </c>
      <c r="E1811" s="154" t="s">
        <v>761</v>
      </c>
      <c r="F1811" s="154" t="s">
        <v>4537</v>
      </c>
      <c r="G1811" s="155" t="str">
        <f>+971 50 7189209</f>
        <v>#ERROR!</v>
      </c>
      <c r="H1811" s="156">
        <v>0.0</v>
      </c>
      <c r="I1811" s="156">
        <v>0.0</v>
      </c>
      <c r="J1811" s="156">
        <v>0.0</v>
      </c>
      <c r="K1811" s="156">
        <v>0.0</v>
      </c>
    </row>
    <row r="1812">
      <c r="A1812" s="154" t="s">
        <v>4538</v>
      </c>
      <c r="B1812" s="155"/>
      <c r="C1812" s="154" t="s">
        <v>4539</v>
      </c>
      <c r="D1812" s="155"/>
      <c r="E1812" s="155"/>
      <c r="F1812" s="154" t="s">
        <v>4540</v>
      </c>
      <c r="G1812" s="154">
        <v>9.7142987714E10</v>
      </c>
      <c r="H1812" s="154" t="s">
        <v>4541</v>
      </c>
      <c r="I1812" s="154">
        <v>9.7150271105E11</v>
      </c>
      <c r="J1812" s="156">
        <v>0.0</v>
      </c>
      <c r="K1812" s="154" t="s">
        <v>846</v>
      </c>
    </row>
    <row r="1813">
      <c r="A1813" s="154" t="s">
        <v>4538</v>
      </c>
      <c r="B1813" s="154" t="s">
        <v>4539</v>
      </c>
      <c r="D1813" s="154">
        <v>2.0</v>
      </c>
      <c r="E1813" s="154" t="s">
        <v>761</v>
      </c>
      <c r="F1813" s="154" t="s">
        <v>4540</v>
      </c>
      <c r="G1813" s="154">
        <v>9.7142987714E10</v>
      </c>
      <c r="H1813" s="154" t="s">
        <v>4541</v>
      </c>
      <c r="I1813" s="154">
        <v>9.7150271105E11</v>
      </c>
      <c r="J1813" s="156">
        <v>0.0</v>
      </c>
      <c r="K1813" s="154" t="s">
        <v>846</v>
      </c>
    </row>
    <row r="1814">
      <c r="A1814" s="154" t="s">
        <v>4542</v>
      </c>
      <c r="B1814" s="154" t="s">
        <v>4543</v>
      </c>
      <c r="D1814" s="154">
        <v>2.0</v>
      </c>
      <c r="E1814" s="154" t="s">
        <v>761</v>
      </c>
      <c r="F1814" s="154" t="s">
        <v>4544</v>
      </c>
      <c r="G1814" s="156">
        <v>0.0</v>
      </c>
      <c r="H1814" s="156">
        <v>0.0</v>
      </c>
      <c r="I1814" s="154">
        <v>0.0</v>
      </c>
      <c r="J1814" s="156">
        <v>0.0</v>
      </c>
      <c r="K1814" s="154" t="s">
        <v>760</v>
      </c>
    </row>
    <row r="1815">
      <c r="A1815" s="154" t="s">
        <v>4542</v>
      </c>
      <c r="B1815" s="155"/>
      <c r="C1815" s="154" t="s">
        <v>4543</v>
      </c>
      <c r="D1815" s="155"/>
      <c r="E1815" s="155"/>
      <c r="F1815" s="154" t="s">
        <v>4544</v>
      </c>
      <c r="G1815" s="156">
        <v>0.0</v>
      </c>
      <c r="H1815" s="156">
        <v>0.0</v>
      </c>
      <c r="I1815" s="154">
        <v>0.0</v>
      </c>
      <c r="J1815" s="156">
        <v>0.0</v>
      </c>
      <c r="K1815" s="154" t="s">
        <v>760</v>
      </c>
    </row>
    <row r="1816">
      <c r="A1816" s="154" t="s">
        <v>4545</v>
      </c>
      <c r="B1816" s="154" t="s">
        <v>4546</v>
      </c>
      <c r="D1816" s="154">
        <v>2.0</v>
      </c>
      <c r="E1816" s="154" t="s">
        <v>761</v>
      </c>
      <c r="F1816" s="154" t="s">
        <v>4547</v>
      </c>
      <c r="G1816" s="154">
        <v>5.05591729E8</v>
      </c>
      <c r="H1816" s="156">
        <v>0.0</v>
      </c>
      <c r="I1816" s="154">
        <v>5.05591729E8</v>
      </c>
      <c r="J1816" s="156">
        <v>0.0</v>
      </c>
      <c r="K1816" s="154" t="s">
        <v>760</v>
      </c>
    </row>
    <row r="1817">
      <c r="A1817" s="154" t="s">
        <v>4545</v>
      </c>
      <c r="B1817" s="155"/>
      <c r="C1817" s="154" t="s">
        <v>4546</v>
      </c>
      <c r="D1817" s="155"/>
      <c r="E1817" s="155"/>
      <c r="F1817" s="154" t="s">
        <v>4547</v>
      </c>
      <c r="G1817" s="154">
        <v>5.05591729E8</v>
      </c>
      <c r="H1817" s="156">
        <v>0.0</v>
      </c>
      <c r="I1817" s="154">
        <v>5.05591729E8</v>
      </c>
      <c r="J1817" s="156">
        <v>0.0</v>
      </c>
      <c r="K1817" s="154" t="s">
        <v>760</v>
      </c>
    </row>
    <row r="1818">
      <c r="A1818" s="154" t="s">
        <v>4548</v>
      </c>
      <c r="B1818" s="154" t="s">
        <v>4549</v>
      </c>
      <c r="D1818" s="154">
        <v>2.0</v>
      </c>
      <c r="E1818" s="154" t="s">
        <v>761</v>
      </c>
      <c r="F1818" s="154" t="s">
        <v>4550</v>
      </c>
      <c r="G1818" s="154">
        <v>4.3911111E7</v>
      </c>
      <c r="H1818" s="156">
        <v>0.0</v>
      </c>
      <c r="I1818" s="154">
        <v>9.71505578331E11</v>
      </c>
      <c r="J1818" s="156">
        <v>0.0</v>
      </c>
      <c r="K1818" s="154" t="s">
        <v>240</v>
      </c>
    </row>
    <row r="1819">
      <c r="A1819" s="154" t="s">
        <v>4548</v>
      </c>
      <c r="B1819" s="155"/>
      <c r="C1819" s="154" t="s">
        <v>4549</v>
      </c>
      <c r="D1819" s="155"/>
      <c r="E1819" s="155"/>
      <c r="F1819" s="154" t="s">
        <v>4550</v>
      </c>
      <c r="G1819" s="154">
        <v>4.3911111E7</v>
      </c>
      <c r="H1819" s="156">
        <v>0.0</v>
      </c>
      <c r="I1819" s="154">
        <v>9.71505578331E11</v>
      </c>
      <c r="J1819" s="156">
        <v>0.0</v>
      </c>
      <c r="K1819" s="154" t="s">
        <v>240</v>
      </c>
    </row>
    <row r="1820">
      <c r="A1820" s="154" t="s">
        <v>4551</v>
      </c>
      <c r="B1820" s="154" t="s">
        <v>4552</v>
      </c>
      <c r="D1820" s="154">
        <v>2.0</v>
      </c>
      <c r="E1820" s="154" t="s">
        <v>761</v>
      </c>
      <c r="F1820" s="154" t="s">
        <v>4553</v>
      </c>
      <c r="G1820" s="156">
        <v>0.0</v>
      </c>
      <c r="H1820" s="154" t="s">
        <v>4554</v>
      </c>
      <c r="I1820" s="154" t="s">
        <v>4555</v>
      </c>
      <c r="J1820" s="154" t="s">
        <v>1133</v>
      </c>
      <c r="K1820" s="154" t="s">
        <v>217</v>
      </c>
    </row>
    <row r="1821">
      <c r="A1821" s="154" t="s">
        <v>4551</v>
      </c>
      <c r="B1821" s="155"/>
      <c r="C1821" s="154" t="s">
        <v>4552</v>
      </c>
      <c r="D1821" s="155"/>
      <c r="E1821" s="155"/>
      <c r="F1821" s="154" t="s">
        <v>4553</v>
      </c>
      <c r="G1821" s="156">
        <v>0.0</v>
      </c>
      <c r="H1821" s="154" t="s">
        <v>4554</v>
      </c>
      <c r="I1821" s="154" t="s">
        <v>4555</v>
      </c>
      <c r="J1821" s="154" t="s">
        <v>1133</v>
      </c>
      <c r="K1821" s="154" t="s">
        <v>217</v>
      </c>
    </row>
    <row r="1822">
      <c r="A1822" s="154" t="s">
        <v>4556</v>
      </c>
      <c r="B1822" s="154" t="s">
        <v>4557</v>
      </c>
      <c r="D1822" s="154">
        <v>2.0</v>
      </c>
      <c r="E1822" s="154" t="s">
        <v>761</v>
      </c>
      <c r="F1822" s="154" t="s">
        <v>4558</v>
      </c>
      <c r="G1822" s="156">
        <v>0.0</v>
      </c>
      <c r="H1822" s="156">
        <v>0.0</v>
      </c>
      <c r="I1822" s="154" t="s">
        <v>4559</v>
      </c>
      <c r="J1822" s="154" t="s">
        <v>4560</v>
      </c>
      <c r="K1822" s="154" t="s">
        <v>4504</v>
      </c>
    </row>
    <row r="1823">
      <c r="A1823" s="154" t="s">
        <v>4556</v>
      </c>
      <c r="B1823" s="155"/>
      <c r="C1823" s="154" t="s">
        <v>4557</v>
      </c>
      <c r="D1823" s="155"/>
      <c r="E1823" s="155"/>
      <c r="F1823" s="154" t="s">
        <v>4558</v>
      </c>
      <c r="G1823" s="156">
        <v>0.0</v>
      </c>
      <c r="H1823" s="156">
        <v>0.0</v>
      </c>
      <c r="I1823" s="154" t="s">
        <v>4559</v>
      </c>
      <c r="J1823" s="154" t="s">
        <v>4560</v>
      </c>
      <c r="K1823" s="154" t="s">
        <v>4504</v>
      </c>
    </row>
    <row r="1824">
      <c r="A1824" s="154" t="s">
        <v>4561</v>
      </c>
      <c r="B1824" s="155"/>
      <c r="C1824" s="154" t="s">
        <v>4562</v>
      </c>
      <c r="D1824" s="155"/>
      <c r="E1824" s="155"/>
      <c r="F1824" s="154" t="s">
        <v>4563</v>
      </c>
      <c r="G1824" s="154">
        <v>5.58684909E8</v>
      </c>
      <c r="H1824" s="156">
        <v>0.0</v>
      </c>
      <c r="I1824" s="154" t="s">
        <v>4564</v>
      </c>
      <c r="J1824" s="154" t="s">
        <v>4565</v>
      </c>
      <c r="K1824" s="154" t="s">
        <v>760</v>
      </c>
    </row>
    <row r="1825">
      <c r="A1825" s="154" t="s">
        <v>4561</v>
      </c>
      <c r="B1825" s="154" t="s">
        <v>4562</v>
      </c>
      <c r="D1825" s="154">
        <v>2.0</v>
      </c>
      <c r="E1825" s="154" t="s">
        <v>761</v>
      </c>
      <c r="F1825" s="154" t="s">
        <v>4563</v>
      </c>
      <c r="G1825" s="154">
        <v>5.58684909E8</v>
      </c>
      <c r="H1825" s="156">
        <v>0.0</v>
      </c>
      <c r="I1825" s="154" t="s">
        <v>4564</v>
      </c>
      <c r="J1825" s="154" t="s">
        <v>4565</v>
      </c>
      <c r="K1825" s="154" t="s">
        <v>760</v>
      </c>
    </row>
    <row r="1826">
      <c r="A1826" s="154" t="s">
        <v>4566</v>
      </c>
      <c r="B1826" s="155"/>
      <c r="C1826" s="154" t="s">
        <v>4567</v>
      </c>
      <c r="D1826" s="155"/>
      <c r="E1826" s="155"/>
      <c r="F1826" s="154" t="s">
        <v>4568</v>
      </c>
      <c r="G1826" s="154">
        <v>5.5823095E8</v>
      </c>
      <c r="H1826" s="156">
        <v>0.0</v>
      </c>
      <c r="I1826" s="154">
        <v>5.66898777E8</v>
      </c>
      <c r="J1826" s="156">
        <v>0.0</v>
      </c>
      <c r="K1826" s="154" t="s">
        <v>197</v>
      </c>
    </row>
    <row r="1827">
      <c r="A1827" s="154" t="s">
        <v>4566</v>
      </c>
      <c r="B1827" s="154" t="s">
        <v>4567</v>
      </c>
      <c r="D1827" s="154">
        <v>2.0</v>
      </c>
      <c r="E1827" s="154" t="s">
        <v>761</v>
      </c>
      <c r="F1827" s="154" t="s">
        <v>4569</v>
      </c>
      <c r="G1827" s="154">
        <v>2.5092222E7</v>
      </c>
      <c r="H1827" s="156">
        <v>0.0</v>
      </c>
      <c r="I1827" s="154">
        <v>5.5823095E8</v>
      </c>
      <c r="J1827" s="156">
        <v>0.0</v>
      </c>
      <c r="K1827" s="154" t="s">
        <v>4570</v>
      </c>
    </row>
    <row r="1828">
      <c r="A1828" s="154" t="s">
        <v>4571</v>
      </c>
      <c r="B1828" s="155"/>
      <c r="C1828" s="154" t="s">
        <v>4572</v>
      </c>
      <c r="D1828" s="155"/>
      <c r="E1828" s="155"/>
      <c r="F1828" s="154" t="s">
        <v>4573</v>
      </c>
      <c r="G1828" s="154">
        <v>2.69172E7</v>
      </c>
      <c r="H1828" s="156">
        <v>0.0</v>
      </c>
      <c r="I1828" s="154">
        <v>5.01896673E8</v>
      </c>
      <c r="J1828" s="156">
        <v>0.0</v>
      </c>
      <c r="K1828" s="154" t="s">
        <v>197</v>
      </c>
    </row>
    <row r="1829">
      <c r="A1829" s="154" t="s">
        <v>4571</v>
      </c>
      <c r="B1829" s="154" t="s">
        <v>4572</v>
      </c>
      <c r="D1829" s="154">
        <v>2.0</v>
      </c>
      <c r="E1829" s="154" t="s">
        <v>761</v>
      </c>
      <c r="F1829" s="154" t="s">
        <v>4573</v>
      </c>
      <c r="G1829" s="154">
        <v>2.69172E7</v>
      </c>
      <c r="H1829" s="156">
        <v>0.0</v>
      </c>
      <c r="I1829" s="154">
        <v>5.01896673E8</v>
      </c>
      <c r="J1829" s="156">
        <v>0.0</v>
      </c>
      <c r="K1829" s="154" t="s">
        <v>197</v>
      </c>
    </row>
    <row r="1830">
      <c r="A1830" s="154" t="s">
        <v>4574</v>
      </c>
      <c r="B1830" s="154" t="s">
        <v>4575</v>
      </c>
      <c r="D1830" s="154">
        <v>2.0</v>
      </c>
      <c r="E1830" s="154" t="s">
        <v>761</v>
      </c>
      <c r="F1830" s="154" t="s">
        <v>4576</v>
      </c>
      <c r="G1830" s="156">
        <v>0.0</v>
      </c>
      <c r="H1830" s="154" t="s">
        <v>4577</v>
      </c>
      <c r="I1830" s="154" t="s">
        <v>4578</v>
      </c>
      <c r="J1830" s="154" t="s">
        <v>4579</v>
      </c>
      <c r="K1830" s="154" t="s">
        <v>259</v>
      </c>
    </row>
    <row r="1831">
      <c r="A1831" s="154" t="s">
        <v>4574</v>
      </c>
      <c r="B1831" s="155"/>
      <c r="C1831" s="154" t="s">
        <v>4575</v>
      </c>
      <c r="D1831" s="155"/>
      <c r="E1831" s="155"/>
      <c r="F1831" s="154" t="s">
        <v>4576</v>
      </c>
      <c r="G1831" s="156">
        <v>0.0</v>
      </c>
      <c r="H1831" s="154" t="s">
        <v>4577</v>
      </c>
      <c r="I1831" s="154" t="s">
        <v>4578</v>
      </c>
      <c r="J1831" s="154" t="s">
        <v>4579</v>
      </c>
      <c r="K1831" s="154" t="s">
        <v>259</v>
      </c>
    </row>
    <row r="1832">
      <c r="A1832" s="154" t="s">
        <v>4580</v>
      </c>
      <c r="B1832" s="155"/>
      <c r="C1832" s="154" t="s">
        <v>4581</v>
      </c>
      <c r="D1832" s="155"/>
      <c r="E1832" s="155"/>
      <c r="F1832" s="154" t="s">
        <v>4582</v>
      </c>
      <c r="G1832" s="156">
        <v>0.0</v>
      </c>
      <c r="H1832" s="156">
        <v>0.0</v>
      </c>
      <c r="I1832" s="154">
        <v>5.06553018E8</v>
      </c>
      <c r="J1832" s="156">
        <v>0.0</v>
      </c>
      <c r="K1832" s="154" t="s">
        <v>361</v>
      </c>
    </row>
    <row r="1833">
      <c r="A1833" s="154" t="s">
        <v>4580</v>
      </c>
      <c r="B1833" s="154" t="s">
        <v>4581</v>
      </c>
      <c r="D1833" s="154">
        <v>2.0</v>
      </c>
      <c r="E1833" s="154" t="s">
        <v>761</v>
      </c>
      <c r="F1833" s="154" t="s">
        <v>4583</v>
      </c>
      <c r="G1833" s="156">
        <v>0.0</v>
      </c>
      <c r="H1833" s="156">
        <v>0.0</v>
      </c>
      <c r="I1833" s="154">
        <v>5.06553018E8</v>
      </c>
      <c r="J1833" s="156">
        <v>0.0</v>
      </c>
      <c r="K1833" s="154" t="s">
        <v>361</v>
      </c>
    </row>
    <row r="1834">
      <c r="A1834" s="154" t="s">
        <v>4584</v>
      </c>
      <c r="B1834" s="154" t="s">
        <v>4585</v>
      </c>
      <c r="D1834" s="154">
        <v>2.0</v>
      </c>
      <c r="E1834" s="154" t="s">
        <v>761</v>
      </c>
      <c r="F1834" s="154" t="s">
        <v>2047</v>
      </c>
      <c r="G1834" s="154" t="s">
        <v>2048</v>
      </c>
      <c r="H1834" s="154" t="s">
        <v>2049</v>
      </c>
      <c r="I1834" s="154" t="s">
        <v>2050</v>
      </c>
      <c r="J1834" s="156">
        <v>0.0</v>
      </c>
      <c r="K1834" s="154" t="s">
        <v>207</v>
      </c>
    </row>
    <row r="1835">
      <c r="A1835" s="154" t="s">
        <v>4584</v>
      </c>
      <c r="B1835" s="155"/>
      <c r="C1835" s="154" t="s">
        <v>4585</v>
      </c>
      <c r="D1835" s="155"/>
      <c r="E1835" s="155"/>
      <c r="F1835" s="154" t="s">
        <v>2047</v>
      </c>
      <c r="G1835" s="154" t="s">
        <v>2048</v>
      </c>
      <c r="H1835" s="154" t="s">
        <v>2049</v>
      </c>
      <c r="I1835" s="154" t="s">
        <v>2050</v>
      </c>
      <c r="J1835" s="156">
        <v>0.0</v>
      </c>
      <c r="K1835" s="154" t="s">
        <v>207</v>
      </c>
    </row>
    <row r="1836">
      <c r="A1836" s="154" t="s">
        <v>4586</v>
      </c>
      <c r="B1836" s="154" t="s">
        <v>4587</v>
      </c>
      <c r="D1836" s="154">
        <v>2.0</v>
      </c>
      <c r="E1836" s="154" t="s">
        <v>761</v>
      </c>
      <c r="F1836" s="154" t="s">
        <v>4517</v>
      </c>
      <c r="G1836" s="154" t="s">
        <v>4518</v>
      </c>
      <c r="H1836" s="154" t="s">
        <v>1185</v>
      </c>
      <c r="I1836" s="154" t="s">
        <v>4519</v>
      </c>
      <c r="J1836" s="154" t="s">
        <v>4520</v>
      </c>
      <c r="K1836" s="154" t="s">
        <v>776</v>
      </c>
    </row>
    <row r="1837">
      <c r="A1837" s="154" t="s">
        <v>4586</v>
      </c>
      <c r="B1837" s="155"/>
      <c r="C1837" s="154" t="s">
        <v>4587</v>
      </c>
      <c r="D1837" s="155"/>
      <c r="E1837" s="155"/>
      <c r="F1837" s="154" t="s">
        <v>4517</v>
      </c>
      <c r="G1837" s="154" t="s">
        <v>4518</v>
      </c>
      <c r="H1837" s="154" t="s">
        <v>1185</v>
      </c>
      <c r="I1837" s="154" t="s">
        <v>4519</v>
      </c>
      <c r="J1837" s="154" t="s">
        <v>4520</v>
      </c>
      <c r="K1837" s="154" t="s">
        <v>776</v>
      </c>
    </row>
    <row r="1838">
      <c r="A1838" s="154" t="s">
        <v>4588</v>
      </c>
      <c r="B1838" s="154" t="s">
        <v>4589</v>
      </c>
      <c r="D1838" s="154">
        <v>2.0</v>
      </c>
      <c r="E1838" s="154" t="s">
        <v>761</v>
      </c>
      <c r="F1838" s="154" t="s">
        <v>4590</v>
      </c>
      <c r="G1838" s="154">
        <v>4.3492412E7</v>
      </c>
      <c r="H1838" s="156">
        <v>0.0</v>
      </c>
      <c r="I1838" s="154">
        <v>9.71506943471E11</v>
      </c>
      <c r="J1838" s="156">
        <v>0.0</v>
      </c>
      <c r="K1838" s="154" t="s">
        <v>776</v>
      </c>
    </row>
    <row r="1839">
      <c r="A1839" s="154" t="s">
        <v>4588</v>
      </c>
      <c r="B1839" s="155"/>
      <c r="C1839" s="154" t="s">
        <v>4589</v>
      </c>
      <c r="D1839" s="155"/>
      <c r="E1839" s="155"/>
      <c r="F1839" s="154" t="s">
        <v>4590</v>
      </c>
      <c r="G1839" s="154">
        <v>4.3492412E7</v>
      </c>
      <c r="H1839" s="156">
        <v>0.0</v>
      </c>
      <c r="I1839" s="154">
        <v>9.71506943471E11</v>
      </c>
      <c r="J1839" s="156">
        <v>0.0</v>
      </c>
      <c r="K1839" s="154" t="s">
        <v>776</v>
      </c>
    </row>
    <row r="1840">
      <c r="A1840" s="154" t="s">
        <v>4591</v>
      </c>
      <c r="B1840" s="154" t="s">
        <v>4592</v>
      </c>
      <c r="D1840" s="154">
        <v>2.0</v>
      </c>
      <c r="E1840" s="154" t="s">
        <v>761</v>
      </c>
      <c r="F1840" s="154" t="s">
        <v>4593</v>
      </c>
      <c r="G1840" s="154">
        <v>5.04587031E8</v>
      </c>
      <c r="H1840" s="156">
        <v>0.0</v>
      </c>
      <c r="I1840" s="154">
        <v>5.03787275E8</v>
      </c>
      <c r="J1840" s="156">
        <v>0.0</v>
      </c>
      <c r="K1840" s="154" t="s">
        <v>361</v>
      </c>
    </row>
    <row r="1841">
      <c r="A1841" s="154" t="s">
        <v>4591</v>
      </c>
      <c r="B1841" s="155"/>
      <c r="C1841" s="154" t="s">
        <v>4592</v>
      </c>
      <c r="D1841" s="155"/>
      <c r="E1841" s="155"/>
      <c r="F1841" s="154" t="s">
        <v>4594</v>
      </c>
      <c r="G1841" s="154">
        <v>0.0</v>
      </c>
      <c r="H1841" s="156">
        <v>0.0</v>
      </c>
      <c r="I1841" s="154">
        <v>5.03787275E8</v>
      </c>
      <c r="J1841" s="156">
        <v>0.0</v>
      </c>
      <c r="K1841" s="154" t="s">
        <v>361</v>
      </c>
    </row>
    <row r="1842">
      <c r="A1842" s="154" t="s">
        <v>4595</v>
      </c>
      <c r="B1842" s="154" t="s">
        <v>4596</v>
      </c>
      <c r="D1842" s="154">
        <v>2.0</v>
      </c>
      <c r="E1842" s="154" t="s">
        <v>761</v>
      </c>
      <c r="F1842" s="154" t="s">
        <v>4597</v>
      </c>
      <c r="G1842" s="154" t="s">
        <v>4598</v>
      </c>
      <c r="H1842" s="156">
        <v>0.0</v>
      </c>
      <c r="I1842" s="154">
        <v>9.71506426521E11</v>
      </c>
      <c r="J1842" s="156">
        <v>0.0</v>
      </c>
      <c r="K1842" s="154" t="s">
        <v>1461</v>
      </c>
    </row>
    <row r="1843">
      <c r="A1843" s="154" t="s">
        <v>4595</v>
      </c>
      <c r="B1843" s="155"/>
      <c r="C1843" s="154" t="s">
        <v>4596</v>
      </c>
      <c r="D1843" s="155"/>
      <c r="E1843" s="155"/>
      <c r="F1843" s="154" t="s">
        <v>4597</v>
      </c>
      <c r="G1843" s="154" t="s">
        <v>4598</v>
      </c>
      <c r="H1843" s="156">
        <v>0.0</v>
      </c>
      <c r="I1843" s="154">
        <v>9.71506426521E11</v>
      </c>
      <c r="J1843" s="156">
        <v>0.0</v>
      </c>
      <c r="K1843" s="154" t="s">
        <v>1461</v>
      </c>
    </row>
    <row r="1844">
      <c r="A1844" s="154" t="s">
        <v>4599</v>
      </c>
      <c r="B1844" s="155"/>
      <c r="C1844" s="154" t="s">
        <v>4600</v>
      </c>
      <c r="D1844" s="155"/>
      <c r="E1844" s="155"/>
      <c r="F1844" s="154" t="s">
        <v>4601</v>
      </c>
      <c r="G1844" s="156">
        <v>0.0</v>
      </c>
      <c r="H1844" s="154" t="s">
        <v>4602</v>
      </c>
      <c r="I1844" s="154" t="s">
        <v>4603</v>
      </c>
      <c r="J1844" s="156">
        <v>0.0</v>
      </c>
      <c r="K1844" s="154" t="s">
        <v>329</v>
      </c>
    </row>
    <row r="1845">
      <c r="A1845" s="154" t="s">
        <v>4599</v>
      </c>
      <c r="B1845" s="154" t="s">
        <v>4600</v>
      </c>
      <c r="D1845" s="154">
        <v>2.0</v>
      </c>
      <c r="E1845" s="154" t="s">
        <v>761</v>
      </c>
      <c r="F1845" s="154" t="s">
        <v>4601</v>
      </c>
      <c r="G1845" s="156">
        <v>0.0</v>
      </c>
      <c r="H1845" s="154" t="s">
        <v>4602</v>
      </c>
      <c r="I1845" s="154" t="s">
        <v>4603</v>
      </c>
      <c r="J1845" s="156">
        <v>0.0</v>
      </c>
      <c r="K1845" s="154" t="s">
        <v>329</v>
      </c>
    </row>
    <row r="1846">
      <c r="A1846" s="154" t="s">
        <v>4604</v>
      </c>
      <c r="B1846" s="155"/>
      <c r="C1846" s="154" t="s">
        <v>4605</v>
      </c>
      <c r="D1846" s="155"/>
      <c r="E1846" s="155"/>
      <c r="F1846" s="154" t="s">
        <v>4606</v>
      </c>
      <c r="G1846" s="154">
        <v>0.0</v>
      </c>
      <c r="H1846" s="156">
        <v>0.0</v>
      </c>
      <c r="I1846" s="154">
        <v>9.71506461738E11</v>
      </c>
      <c r="J1846" s="156">
        <v>0.0</v>
      </c>
      <c r="K1846" s="154" t="s">
        <v>329</v>
      </c>
    </row>
    <row r="1847">
      <c r="A1847" s="154" t="s">
        <v>4604</v>
      </c>
      <c r="B1847" s="154" t="s">
        <v>4605</v>
      </c>
      <c r="D1847" s="154">
        <v>2.0</v>
      </c>
      <c r="E1847" s="154" t="s">
        <v>761</v>
      </c>
      <c r="F1847" s="154" t="s">
        <v>4606</v>
      </c>
      <c r="G1847" s="154">
        <v>0.0</v>
      </c>
      <c r="H1847" s="156">
        <v>0.0</v>
      </c>
      <c r="I1847" s="154">
        <v>9.71506461738E11</v>
      </c>
      <c r="J1847" s="156">
        <v>0.0</v>
      </c>
      <c r="K1847" s="154" t="s">
        <v>329</v>
      </c>
    </row>
    <row r="1848">
      <c r="A1848" s="154" t="s">
        <v>4607</v>
      </c>
      <c r="B1848" s="155"/>
      <c r="C1848" s="154" t="s">
        <v>4608</v>
      </c>
      <c r="D1848" s="155"/>
      <c r="E1848" s="155"/>
      <c r="F1848" s="154" t="s">
        <v>4609</v>
      </c>
      <c r="G1848" s="156">
        <v>0.0</v>
      </c>
      <c r="H1848" s="156">
        <v>0.0</v>
      </c>
      <c r="I1848" s="154">
        <v>9.71505533082E11</v>
      </c>
      <c r="J1848" s="156">
        <v>0.0</v>
      </c>
      <c r="K1848" s="154" t="s">
        <v>361</v>
      </c>
    </row>
    <row r="1849">
      <c r="A1849" s="154" t="s">
        <v>4607</v>
      </c>
      <c r="B1849" s="154" t="s">
        <v>4608</v>
      </c>
      <c r="D1849" s="154">
        <v>2.0</v>
      </c>
      <c r="E1849" s="154" t="s">
        <v>761</v>
      </c>
      <c r="F1849" s="154" t="s">
        <v>4609</v>
      </c>
      <c r="G1849" s="156">
        <v>0.0</v>
      </c>
      <c r="H1849" s="156">
        <v>0.0</v>
      </c>
      <c r="I1849" s="154">
        <v>9.71505533082E11</v>
      </c>
      <c r="J1849" s="156">
        <v>0.0</v>
      </c>
      <c r="K1849" s="154" t="s">
        <v>361</v>
      </c>
    </row>
    <row r="1850">
      <c r="A1850" s="154" t="s">
        <v>4610</v>
      </c>
      <c r="B1850" s="154" t="s">
        <v>4611</v>
      </c>
      <c r="D1850" s="154">
        <v>2.0</v>
      </c>
      <c r="E1850" s="154" t="s">
        <v>761</v>
      </c>
      <c r="F1850" s="154" t="s">
        <v>4612</v>
      </c>
      <c r="G1850" s="156">
        <v>0.0</v>
      </c>
      <c r="H1850" s="154" t="s">
        <v>4613</v>
      </c>
      <c r="I1850" s="154" t="s">
        <v>4614</v>
      </c>
      <c r="J1850" s="156">
        <v>0.0</v>
      </c>
      <c r="K1850" s="154" t="s">
        <v>4615</v>
      </c>
    </row>
    <row r="1851">
      <c r="A1851" s="154" t="s">
        <v>4610</v>
      </c>
      <c r="B1851" s="155"/>
      <c r="C1851" s="154" t="s">
        <v>4611</v>
      </c>
      <c r="D1851" s="155"/>
      <c r="E1851" s="155"/>
      <c r="F1851" s="154" t="s">
        <v>4612</v>
      </c>
      <c r="G1851" s="156">
        <v>0.0</v>
      </c>
      <c r="H1851" s="154" t="s">
        <v>4613</v>
      </c>
      <c r="I1851" s="154" t="s">
        <v>4614</v>
      </c>
      <c r="J1851" s="156">
        <v>0.0</v>
      </c>
      <c r="K1851" s="154" t="s">
        <v>4615</v>
      </c>
    </row>
    <row r="1852">
      <c r="A1852" s="154" t="s">
        <v>4616</v>
      </c>
      <c r="B1852" s="155"/>
      <c r="C1852" s="154" t="s">
        <v>4617</v>
      </c>
      <c r="D1852" s="155"/>
      <c r="E1852" s="155"/>
      <c r="F1852" s="154" t="s">
        <v>4618</v>
      </c>
      <c r="G1852" s="154">
        <v>5.01004967E8</v>
      </c>
      <c r="H1852" s="156">
        <v>0.0</v>
      </c>
      <c r="I1852" s="154">
        <v>5.01004967E8</v>
      </c>
      <c r="J1852" s="156">
        <v>0.0</v>
      </c>
      <c r="K1852" s="154" t="s">
        <v>197</v>
      </c>
    </row>
    <row r="1853">
      <c r="A1853" s="154" t="s">
        <v>4616</v>
      </c>
      <c r="B1853" s="154" t="s">
        <v>4617</v>
      </c>
      <c r="D1853" s="154">
        <v>2.0</v>
      </c>
      <c r="E1853" s="154" t="s">
        <v>761</v>
      </c>
      <c r="F1853" s="154" t="s">
        <v>4618</v>
      </c>
      <c r="G1853" s="154">
        <v>5.01004967E8</v>
      </c>
      <c r="H1853" s="156">
        <v>0.0</v>
      </c>
      <c r="I1853" s="154">
        <v>5.01004967E8</v>
      </c>
      <c r="J1853" s="156">
        <v>0.0</v>
      </c>
      <c r="K1853" s="154" t="s">
        <v>197</v>
      </c>
    </row>
    <row r="1854">
      <c r="A1854" s="154" t="s">
        <v>4619</v>
      </c>
      <c r="B1854" s="154" t="s">
        <v>4620</v>
      </c>
      <c r="D1854" s="154">
        <v>2.0</v>
      </c>
      <c r="E1854" s="154" t="s">
        <v>761</v>
      </c>
      <c r="F1854" s="154" t="s">
        <v>4621</v>
      </c>
      <c r="G1854" s="156">
        <v>0.0</v>
      </c>
      <c r="H1854" s="156">
        <v>0.0</v>
      </c>
      <c r="I1854" s="154" t="s">
        <v>4622</v>
      </c>
      <c r="J1854" s="156">
        <v>0.0</v>
      </c>
      <c r="K1854" s="154" t="s">
        <v>240</v>
      </c>
    </row>
    <row r="1855">
      <c r="A1855" s="154" t="s">
        <v>4619</v>
      </c>
      <c r="B1855" s="155"/>
      <c r="C1855" s="154" t="s">
        <v>4620</v>
      </c>
      <c r="D1855" s="155"/>
      <c r="E1855" s="155"/>
      <c r="F1855" s="154" t="s">
        <v>4621</v>
      </c>
      <c r="G1855" s="156">
        <v>0.0</v>
      </c>
      <c r="H1855" s="156">
        <v>0.0</v>
      </c>
      <c r="I1855" s="154" t="s">
        <v>4622</v>
      </c>
      <c r="J1855" s="156">
        <v>0.0</v>
      </c>
      <c r="K1855" s="154" t="s">
        <v>240</v>
      </c>
    </row>
    <row r="1856">
      <c r="A1856" s="154" t="s">
        <v>4623</v>
      </c>
      <c r="B1856" s="154" t="s">
        <v>4624</v>
      </c>
      <c r="D1856" s="154">
        <v>2.0</v>
      </c>
      <c r="E1856" s="154" t="s">
        <v>761</v>
      </c>
      <c r="F1856" s="154" t="s">
        <v>4625</v>
      </c>
      <c r="G1856" s="154">
        <v>5.06552257E8</v>
      </c>
      <c r="H1856" s="156">
        <v>0.0</v>
      </c>
      <c r="I1856" s="154">
        <v>9.71507082519E11</v>
      </c>
      <c r="J1856" s="156">
        <v>0.0</v>
      </c>
      <c r="K1856" s="154" t="s">
        <v>884</v>
      </c>
    </row>
    <row r="1857">
      <c r="A1857" s="154" t="s">
        <v>4623</v>
      </c>
      <c r="B1857" s="155"/>
      <c r="C1857" s="154" t="s">
        <v>4624</v>
      </c>
      <c r="D1857" s="155"/>
      <c r="E1857" s="155"/>
      <c r="F1857" s="154" t="s">
        <v>4626</v>
      </c>
      <c r="G1857" s="156">
        <v>0.0</v>
      </c>
      <c r="H1857" s="154" t="s">
        <v>4627</v>
      </c>
      <c r="I1857" s="154" t="s">
        <v>4628</v>
      </c>
      <c r="J1857" s="154" t="s">
        <v>4629</v>
      </c>
      <c r="K1857" s="154" t="s">
        <v>884</v>
      </c>
    </row>
    <row r="1858">
      <c r="A1858" s="154" t="s">
        <v>4630</v>
      </c>
      <c r="B1858" s="154" t="s">
        <v>4631</v>
      </c>
      <c r="D1858" s="154">
        <v>2.0</v>
      </c>
      <c r="E1858" s="154" t="s">
        <v>761</v>
      </c>
      <c r="F1858" s="154" t="s">
        <v>4632</v>
      </c>
      <c r="G1858" s="156">
        <v>0.0</v>
      </c>
      <c r="H1858" s="156">
        <v>0.0</v>
      </c>
      <c r="I1858" s="154">
        <v>5.0631412E8</v>
      </c>
      <c r="J1858" s="156">
        <v>0.0</v>
      </c>
      <c r="K1858" s="154" t="s">
        <v>361</v>
      </c>
    </row>
    <row r="1859">
      <c r="A1859" s="154" t="s">
        <v>4630</v>
      </c>
      <c r="B1859" s="155"/>
      <c r="C1859" s="154" t="s">
        <v>4631</v>
      </c>
      <c r="D1859" s="155"/>
      <c r="E1859" s="155"/>
      <c r="F1859" s="154" t="s">
        <v>4632</v>
      </c>
      <c r="G1859" s="156">
        <v>0.0</v>
      </c>
      <c r="H1859" s="156">
        <v>0.0</v>
      </c>
      <c r="I1859" s="154">
        <v>5.0631412E8</v>
      </c>
      <c r="J1859" s="156">
        <v>0.0</v>
      </c>
      <c r="K1859" s="154" t="s">
        <v>361</v>
      </c>
    </row>
    <row r="1860">
      <c r="A1860" s="154" t="s">
        <v>4633</v>
      </c>
      <c r="B1860" s="154" t="s">
        <v>4634</v>
      </c>
      <c r="D1860" s="154">
        <v>2.0</v>
      </c>
      <c r="E1860" s="154" t="s">
        <v>761</v>
      </c>
      <c r="F1860" s="154" t="s">
        <v>1157</v>
      </c>
      <c r="G1860" s="154" t="s">
        <v>1158</v>
      </c>
      <c r="H1860" s="154" t="s">
        <v>1159</v>
      </c>
      <c r="I1860" s="156">
        <v>0.0</v>
      </c>
      <c r="J1860" s="156">
        <v>0.0</v>
      </c>
      <c r="K1860" s="156">
        <v>0.0</v>
      </c>
    </row>
    <row r="1861">
      <c r="A1861" s="154" t="s">
        <v>4633</v>
      </c>
      <c r="B1861" s="155"/>
      <c r="C1861" s="154" t="s">
        <v>4634</v>
      </c>
      <c r="D1861" s="155"/>
      <c r="E1861" s="155"/>
      <c r="F1861" s="154" t="s">
        <v>4635</v>
      </c>
      <c r="G1861" s="156">
        <v>0.0</v>
      </c>
      <c r="H1861" s="156">
        <v>0.0</v>
      </c>
      <c r="I1861" s="154">
        <v>5.0794464E8</v>
      </c>
      <c r="J1861" s="156">
        <v>0.0</v>
      </c>
      <c r="K1861" s="154" t="s">
        <v>818</v>
      </c>
    </row>
    <row r="1862">
      <c r="A1862" s="154" t="s">
        <v>4636</v>
      </c>
      <c r="B1862" s="154" t="s">
        <v>4637</v>
      </c>
      <c r="D1862" s="154">
        <v>2.0</v>
      </c>
      <c r="E1862" s="154" t="s">
        <v>761</v>
      </c>
      <c r="F1862" s="154" t="s">
        <v>3670</v>
      </c>
      <c r="G1862" s="154">
        <v>4.6442633E7</v>
      </c>
      <c r="H1862" s="156">
        <v>0.0</v>
      </c>
      <c r="I1862" s="156">
        <v>0.0</v>
      </c>
      <c r="J1862" s="156">
        <v>0.0</v>
      </c>
      <c r="K1862" s="156">
        <v>0.0</v>
      </c>
    </row>
    <row r="1863">
      <c r="A1863" s="154" t="s">
        <v>4636</v>
      </c>
      <c r="B1863" s="155"/>
      <c r="C1863" s="154" t="s">
        <v>4637</v>
      </c>
      <c r="D1863" s="155"/>
      <c r="E1863" s="155"/>
      <c r="F1863" s="154" t="s">
        <v>3670</v>
      </c>
      <c r="G1863" s="154">
        <v>4.6442633E7</v>
      </c>
      <c r="H1863" s="156">
        <v>0.0</v>
      </c>
      <c r="I1863" s="156">
        <v>0.0</v>
      </c>
      <c r="J1863" s="156">
        <v>0.0</v>
      </c>
      <c r="K1863" s="156">
        <v>0.0</v>
      </c>
    </row>
    <row r="1864">
      <c r="A1864" s="154" t="s">
        <v>4638</v>
      </c>
      <c r="B1864" s="154" t="s">
        <v>4639</v>
      </c>
      <c r="D1864" s="154">
        <v>2.0</v>
      </c>
      <c r="E1864" s="154" t="s">
        <v>761</v>
      </c>
      <c r="F1864" s="154" t="s">
        <v>3670</v>
      </c>
      <c r="G1864" s="154">
        <v>4.6442633E7</v>
      </c>
      <c r="H1864" s="156">
        <v>0.0</v>
      </c>
      <c r="I1864" s="156">
        <v>0.0</v>
      </c>
      <c r="J1864" s="156">
        <v>0.0</v>
      </c>
      <c r="K1864" s="156">
        <v>0.0</v>
      </c>
    </row>
    <row r="1865">
      <c r="A1865" s="154" t="s">
        <v>4638</v>
      </c>
      <c r="B1865" s="155"/>
      <c r="C1865" s="154" t="s">
        <v>4639</v>
      </c>
      <c r="D1865" s="155"/>
      <c r="E1865" s="155"/>
      <c r="F1865" s="154" t="s">
        <v>3670</v>
      </c>
      <c r="G1865" s="154">
        <v>4.6442633E7</v>
      </c>
      <c r="H1865" s="156">
        <v>0.0</v>
      </c>
      <c r="I1865" s="156">
        <v>0.0</v>
      </c>
      <c r="J1865" s="156">
        <v>0.0</v>
      </c>
      <c r="K1865" s="156">
        <v>0.0</v>
      </c>
    </row>
    <row r="1866">
      <c r="A1866" s="154" t="s">
        <v>4640</v>
      </c>
      <c r="B1866" s="154" t="s">
        <v>4641</v>
      </c>
      <c r="D1866" s="154">
        <v>2.0</v>
      </c>
      <c r="E1866" s="154" t="s">
        <v>761</v>
      </c>
      <c r="F1866" s="154" t="s">
        <v>4642</v>
      </c>
      <c r="G1866" s="156">
        <v>0.0</v>
      </c>
      <c r="H1866" s="156">
        <v>0.0</v>
      </c>
      <c r="I1866" s="154" t="s">
        <v>4643</v>
      </c>
      <c r="J1866" s="154" t="s">
        <v>4644</v>
      </c>
      <c r="K1866" s="154" t="s">
        <v>197</v>
      </c>
    </row>
    <row r="1867">
      <c r="A1867" s="154" t="s">
        <v>4640</v>
      </c>
      <c r="B1867" s="155"/>
      <c r="C1867" s="154" t="s">
        <v>4641</v>
      </c>
      <c r="D1867" s="155"/>
      <c r="E1867" s="155"/>
      <c r="F1867" s="154" t="s">
        <v>4642</v>
      </c>
      <c r="G1867" s="156">
        <v>0.0</v>
      </c>
      <c r="H1867" s="156">
        <v>0.0</v>
      </c>
      <c r="I1867" s="154" t="s">
        <v>4643</v>
      </c>
      <c r="J1867" s="154" t="s">
        <v>4644</v>
      </c>
      <c r="K1867" s="154" t="s">
        <v>197</v>
      </c>
    </row>
    <row r="1868">
      <c r="A1868" s="154" t="s">
        <v>4645</v>
      </c>
      <c r="B1868" s="154" t="s">
        <v>4646</v>
      </c>
      <c r="D1868" s="154">
        <v>2.0</v>
      </c>
      <c r="E1868" s="154" t="s">
        <v>761</v>
      </c>
      <c r="F1868" s="154" t="s">
        <v>4647</v>
      </c>
      <c r="G1868" s="154">
        <v>4.47931943511E11</v>
      </c>
      <c r="H1868" s="156">
        <v>0.0</v>
      </c>
      <c r="I1868" s="154">
        <v>4.47917092881E11</v>
      </c>
      <c r="J1868" s="156">
        <v>0.0</v>
      </c>
      <c r="K1868" s="154" t="s">
        <v>259</v>
      </c>
    </row>
    <row r="1869">
      <c r="A1869" s="154" t="s">
        <v>4645</v>
      </c>
      <c r="B1869" s="155"/>
      <c r="C1869" s="154" t="s">
        <v>4646</v>
      </c>
      <c r="D1869" s="155"/>
      <c r="E1869" s="155"/>
      <c r="F1869" s="154" t="s">
        <v>4647</v>
      </c>
      <c r="G1869" s="154">
        <v>4.47931943511E11</v>
      </c>
      <c r="H1869" s="156">
        <v>0.0</v>
      </c>
      <c r="I1869" s="154">
        <v>4.47917092881E11</v>
      </c>
      <c r="J1869" s="156">
        <v>0.0</v>
      </c>
      <c r="K1869" s="154" t="s">
        <v>259</v>
      </c>
    </row>
    <row r="1870">
      <c r="A1870" s="154" t="s">
        <v>4648</v>
      </c>
      <c r="B1870" s="154" t="s">
        <v>4649</v>
      </c>
      <c r="D1870" s="154">
        <v>2.0</v>
      </c>
      <c r="E1870" s="154" t="s">
        <v>761</v>
      </c>
      <c r="F1870" s="154" t="s">
        <v>4650</v>
      </c>
      <c r="G1870" s="154">
        <v>5.01577171E8</v>
      </c>
      <c r="H1870" s="156">
        <v>0.0</v>
      </c>
      <c r="I1870" s="156">
        <v>0.0</v>
      </c>
      <c r="J1870" s="156">
        <v>0.0</v>
      </c>
      <c r="K1870" s="154" t="s">
        <v>1891</v>
      </c>
    </row>
    <row r="1871">
      <c r="A1871" s="154" t="s">
        <v>4648</v>
      </c>
      <c r="B1871" s="155"/>
      <c r="C1871" s="154" t="s">
        <v>4649</v>
      </c>
      <c r="D1871" s="155"/>
      <c r="E1871" s="155"/>
      <c r="F1871" s="154" t="s">
        <v>4651</v>
      </c>
      <c r="G1871" s="154">
        <v>5.01422204E8</v>
      </c>
      <c r="H1871" s="156">
        <v>0.0</v>
      </c>
      <c r="I1871" s="156">
        <v>0.0</v>
      </c>
      <c r="J1871" s="156">
        <v>0.0</v>
      </c>
      <c r="K1871" s="154" t="s">
        <v>301</v>
      </c>
    </row>
    <row r="1872">
      <c r="A1872" s="154" t="s">
        <v>4652</v>
      </c>
      <c r="B1872" s="154" t="s">
        <v>4653</v>
      </c>
      <c r="D1872" s="154">
        <v>2.0</v>
      </c>
      <c r="E1872" s="154" t="s">
        <v>761</v>
      </c>
      <c r="F1872" s="154" t="s">
        <v>4654</v>
      </c>
      <c r="G1872" s="156">
        <v>0.0</v>
      </c>
      <c r="H1872" s="156">
        <v>0.0</v>
      </c>
      <c r="I1872" s="154">
        <v>5.06588109E8</v>
      </c>
      <c r="J1872" s="156">
        <v>0.0</v>
      </c>
      <c r="K1872" s="154" t="s">
        <v>776</v>
      </c>
    </row>
    <row r="1873">
      <c r="A1873" s="154" t="s">
        <v>4652</v>
      </c>
      <c r="B1873" s="155"/>
      <c r="C1873" s="154" t="s">
        <v>4653</v>
      </c>
      <c r="D1873" s="155"/>
      <c r="E1873" s="155"/>
      <c r="F1873" s="154" t="s">
        <v>4654</v>
      </c>
      <c r="G1873" s="156">
        <v>0.0</v>
      </c>
      <c r="H1873" s="156">
        <v>0.0</v>
      </c>
      <c r="I1873" s="154">
        <v>5.06588109E8</v>
      </c>
      <c r="J1873" s="156">
        <v>0.0</v>
      </c>
      <c r="K1873" s="154" t="s">
        <v>776</v>
      </c>
    </row>
    <row r="1874">
      <c r="A1874" s="154" t="s">
        <v>4655</v>
      </c>
      <c r="B1874" s="154" t="s">
        <v>4656</v>
      </c>
      <c r="D1874" s="154">
        <v>2.0</v>
      </c>
      <c r="E1874" s="154" t="s">
        <v>761</v>
      </c>
      <c r="F1874" s="154" t="s">
        <v>3580</v>
      </c>
      <c r="G1874" s="156">
        <v>0.0</v>
      </c>
      <c r="H1874" s="156">
        <v>0.0</v>
      </c>
      <c r="I1874" s="154" t="s">
        <v>3581</v>
      </c>
      <c r="J1874" s="156">
        <v>0.0</v>
      </c>
      <c r="K1874" s="154" t="s">
        <v>776</v>
      </c>
    </row>
    <row r="1875">
      <c r="A1875" s="154" t="s">
        <v>4655</v>
      </c>
      <c r="B1875" s="155"/>
      <c r="C1875" s="154" t="s">
        <v>4656</v>
      </c>
      <c r="D1875" s="155"/>
      <c r="E1875" s="155"/>
      <c r="F1875" s="154" t="s">
        <v>3580</v>
      </c>
      <c r="G1875" s="156">
        <v>0.0</v>
      </c>
      <c r="H1875" s="156">
        <v>0.0</v>
      </c>
      <c r="I1875" s="154" t="s">
        <v>3581</v>
      </c>
      <c r="J1875" s="156">
        <v>0.0</v>
      </c>
      <c r="K1875" s="154" t="s">
        <v>776</v>
      </c>
    </row>
    <row r="1876">
      <c r="A1876" s="154" t="s">
        <v>4657</v>
      </c>
      <c r="B1876" s="155"/>
      <c r="C1876" s="154" t="s">
        <v>4658</v>
      </c>
      <c r="D1876" s="155"/>
      <c r="E1876" s="155"/>
      <c r="F1876" s="154" t="s">
        <v>4659</v>
      </c>
      <c r="G1876" s="154">
        <v>4.2666399E7</v>
      </c>
      <c r="H1876" s="156">
        <v>0.0</v>
      </c>
      <c r="I1876" s="154">
        <v>9.71506564784E11</v>
      </c>
      <c r="J1876" s="156">
        <v>0.0</v>
      </c>
      <c r="K1876" s="154" t="s">
        <v>760</v>
      </c>
    </row>
    <row r="1877">
      <c r="A1877" s="154" t="s">
        <v>4657</v>
      </c>
      <c r="B1877" s="154" t="s">
        <v>4658</v>
      </c>
      <c r="D1877" s="154">
        <v>2.0</v>
      </c>
      <c r="E1877" s="154" t="s">
        <v>761</v>
      </c>
      <c r="F1877" s="154" t="s">
        <v>4659</v>
      </c>
      <c r="G1877" s="154">
        <v>4.2666399E7</v>
      </c>
      <c r="H1877" s="156">
        <v>0.0</v>
      </c>
      <c r="I1877" s="154">
        <v>9.71506564784E11</v>
      </c>
      <c r="J1877" s="156">
        <v>0.0</v>
      </c>
      <c r="K1877" s="154" t="s">
        <v>760</v>
      </c>
    </row>
    <row r="1878">
      <c r="A1878" s="154" t="s">
        <v>4660</v>
      </c>
      <c r="B1878" s="154" t="s">
        <v>4661</v>
      </c>
      <c r="D1878" s="154">
        <v>2.0</v>
      </c>
      <c r="E1878" s="154" t="s">
        <v>761</v>
      </c>
      <c r="F1878" s="154" t="s">
        <v>4662</v>
      </c>
      <c r="G1878" s="154" t="s">
        <v>4663</v>
      </c>
      <c r="H1878" s="156">
        <v>0.0</v>
      </c>
      <c r="I1878" s="156">
        <v>0.0</v>
      </c>
      <c r="J1878" s="156">
        <v>0.0</v>
      </c>
      <c r="K1878" s="156">
        <v>0.0</v>
      </c>
    </row>
    <row r="1879">
      <c r="A1879" s="154" t="s">
        <v>4660</v>
      </c>
      <c r="B1879" s="155"/>
      <c r="C1879" s="154" t="s">
        <v>4661</v>
      </c>
      <c r="D1879" s="155"/>
      <c r="E1879" s="155"/>
      <c r="F1879" s="154" t="s">
        <v>4662</v>
      </c>
      <c r="G1879" s="154" t="s">
        <v>4663</v>
      </c>
      <c r="H1879" s="156">
        <v>0.0</v>
      </c>
      <c r="I1879" s="156">
        <v>0.0</v>
      </c>
      <c r="J1879" s="156">
        <v>0.0</v>
      </c>
      <c r="K1879" s="156">
        <v>0.0</v>
      </c>
    </row>
    <row r="1880">
      <c r="A1880" s="154" t="s">
        <v>4664</v>
      </c>
      <c r="B1880" s="154" t="s">
        <v>4665</v>
      </c>
      <c r="D1880" s="154">
        <v>2.0</v>
      </c>
      <c r="E1880" s="154" t="s">
        <v>761</v>
      </c>
      <c r="F1880" s="154" t="s">
        <v>4666</v>
      </c>
      <c r="G1880" s="156">
        <v>0.0</v>
      </c>
      <c r="H1880" s="154" t="s">
        <v>4667</v>
      </c>
      <c r="I1880" s="154" t="s">
        <v>4668</v>
      </c>
      <c r="J1880" s="154" t="s">
        <v>4669</v>
      </c>
      <c r="K1880" s="154" t="s">
        <v>760</v>
      </c>
    </row>
    <row r="1881">
      <c r="A1881" s="154" t="s">
        <v>4664</v>
      </c>
      <c r="B1881" s="155"/>
      <c r="C1881" s="154" t="s">
        <v>4665</v>
      </c>
      <c r="D1881" s="155"/>
      <c r="E1881" s="155"/>
      <c r="F1881" s="154" t="s">
        <v>4666</v>
      </c>
      <c r="G1881" s="156">
        <v>0.0</v>
      </c>
      <c r="H1881" s="154" t="s">
        <v>4667</v>
      </c>
      <c r="I1881" s="154" t="s">
        <v>4668</v>
      </c>
      <c r="J1881" s="154" t="s">
        <v>4669</v>
      </c>
      <c r="K1881" s="154" t="s">
        <v>760</v>
      </c>
    </row>
    <row r="1882">
      <c r="A1882" s="154" t="s">
        <v>4670</v>
      </c>
      <c r="B1882" s="155"/>
      <c r="C1882" s="154" t="s">
        <v>4671</v>
      </c>
      <c r="D1882" s="155"/>
      <c r="E1882" s="155"/>
      <c r="F1882" s="154" t="s">
        <v>4672</v>
      </c>
      <c r="G1882" s="154">
        <v>4.4226077E7</v>
      </c>
      <c r="H1882" s="154" t="s">
        <v>4673</v>
      </c>
      <c r="I1882" s="154">
        <v>9.71504568288E11</v>
      </c>
      <c r="J1882" s="154" t="s">
        <v>4674</v>
      </c>
      <c r="K1882" s="154" t="s">
        <v>207</v>
      </c>
    </row>
    <row r="1883">
      <c r="A1883" s="154" t="s">
        <v>4670</v>
      </c>
      <c r="B1883" s="154" t="s">
        <v>4671</v>
      </c>
      <c r="D1883" s="154">
        <v>2.0</v>
      </c>
      <c r="E1883" s="154" t="s">
        <v>761</v>
      </c>
      <c r="F1883" s="154" t="s">
        <v>4672</v>
      </c>
      <c r="G1883" s="154">
        <v>4.4226077E7</v>
      </c>
      <c r="H1883" s="154" t="s">
        <v>4673</v>
      </c>
      <c r="I1883" s="154">
        <v>9.71504568288E11</v>
      </c>
      <c r="J1883" s="154" t="s">
        <v>4674</v>
      </c>
      <c r="K1883" s="154" t="s">
        <v>207</v>
      </c>
    </row>
    <row r="1884">
      <c r="A1884" s="154" t="s">
        <v>4675</v>
      </c>
      <c r="B1884" s="154" t="s">
        <v>4676</v>
      </c>
      <c r="D1884" s="154">
        <v>2.0</v>
      </c>
      <c r="E1884" s="154" t="s">
        <v>761</v>
      </c>
      <c r="F1884" s="154" t="s">
        <v>3596</v>
      </c>
      <c r="G1884" s="154" t="s">
        <v>3597</v>
      </c>
      <c r="H1884" s="156">
        <v>0.0</v>
      </c>
      <c r="I1884" s="154" t="s">
        <v>3598</v>
      </c>
      <c r="J1884" s="154" t="s">
        <v>3599</v>
      </c>
      <c r="K1884" s="154" t="s">
        <v>301</v>
      </c>
    </row>
    <row r="1885">
      <c r="A1885" s="154" t="s">
        <v>4675</v>
      </c>
      <c r="B1885" s="155"/>
      <c r="C1885" s="154" t="s">
        <v>4676</v>
      </c>
      <c r="D1885" s="155"/>
      <c r="E1885" s="155"/>
      <c r="F1885" s="154" t="s">
        <v>3596</v>
      </c>
      <c r="G1885" s="154" t="s">
        <v>3597</v>
      </c>
      <c r="H1885" s="156">
        <v>0.0</v>
      </c>
      <c r="I1885" s="154" t="s">
        <v>3598</v>
      </c>
      <c r="J1885" s="154" t="s">
        <v>3599</v>
      </c>
      <c r="K1885" s="154" t="s">
        <v>301</v>
      </c>
    </row>
    <row r="1886">
      <c r="A1886" s="154" t="s">
        <v>4677</v>
      </c>
      <c r="B1886" s="154" t="s">
        <v>4678</v>
      </c>
      <c r="D1886" s="154">
        <v>2.0</v>
      </c>
      <c r="E1886" s="154" t="s">
        <v>761</v>
      </c>
      <c r="F1886" s="154" t="s">
        <v>4679</v>
      </c>
      <c r="G1886" s="154">
        <v>3499214.0</v>
      </c>
      <c r="H1886" s="156">
        <v>0.0</v>
      </c>
      <c r="I1886" s="154">
        <v>5.06448464E8</v>
      </c>
      <c r="J1886" s="156">
        <v>0.0</v>
      </c>
      <c r="K1886" s="154" t="s">
        <v>776</v>
      </c>
    </row>
    <row r="1887">
      <c r="A1887" s="154" t="s">
        <v>4677</v>
      </c>
      <c r="B1887" s="155"/>
      <c r="C1887" s="154" t="s">
        <v>4678</v>
      </c>
      <c r="D1887" s="155"/>
      <c r="E1887" s="155"/>
      <c r="F1887" s="154" t="s">
        <v>4679</v>
      </c>
      <c r="G1887" s="154">
        <v>3499214.0</v>
      </c>
      <c r="H1887" s="156">
        <v>0.0</v>
      </c>
      <c r="I1887" s="154">
        <v>5.06448464E8</v>
      </c>
      <c r="J1887" s="156">
        <v>0.0</v>
      </c>
      <c r="K1887" s="154" t="s">
        <v>776</v>
      </c>
    </row>
    <row r="1888">
      <c r="A1888" s="154" t="s">
        <v>4680</v>
      </c>
      <c r="B1888" s="154" t="s">
        <v>4681</v>
      </c>
      <c r="D1888" s="154">
        <v>2.0</v>
      </c>
      <c r="E1888" s="154" t="s">
        <v>761</v>
      </c>
      <c r="F1888" s="154" t="s">
        <v>4682</v>
      </c>
      <c r="G1888" s="154">
        <v>1.0</v>
      </c>
      <c r="H1888" s="156">
        <v>0.0</v>
      </c>
      <c r="I1888" s="154">
        <v>9.71566812885E11</v>
      </c>
      <c r="J1888" s="156">
        <v>0.0</v>
      </c>
      <c r="K1888" s="154" t="s">
        <v>914</v>
      </c>
    </row>
    <row r="1889">
      <c r="A1889" s="154" t="s">
        <v>4680</v>
      </c>
      <c r="B1889" s="155"/>
      <c r="C1889" s="154" t="s">
        <v>4681</v>
      </c>
      <c r="D1889" s="155"/>
      <c r="E1889" s="155"/>
      <c r="F1889" s="154" t="s">
        <v>4682</v>
      </c>
      <c r="G1889" s="154">
        <v>1.0</v>
      </c>
      <c r="H1889" s="156">
        <v>0.0</v>
      </c>
      <c r="I1889" s="154">
        <v>9.71566812885E11</v>
      </c>
      <c r="J1889" s="156">
        <v>0.0</v>
      </c>
      <c r="K1889" s="154" t="s">
        <v>914</v>
      </c>
    </row>
    <row r="1890">
      <c r="A1890" s="154" t="s">
        <v>4683</v>
      </c>
      <c r="B1890" s="155"/>
      <c r="C1890" s="154" t="s">
        <v>4684</v>
      </c>
      <c r="D1890" s="155"/>
      <c r="E1890" s="155"/>
      <c r="F1890" s="154" t="s">
        <v>4685</v>
      </c>
      <c r="G1890" s="156">
        <v>0.0</v>
      </c>
      <c r="H1890" s="154" t="s">
        <v>4686</v>
      </c>
      <c r="I1890" s="154" t="s">
        <v>2926</v>
      </c>
      <c r="J1890" s="156">
        <v>0.0</v>
      </c>
      <c r="K1890" s="154" t="s">
        <v>760</v>
      </c>
    </row>
    <row r="1891">
      <c r="A1891" s="154" t="s">
        <v>4683</v>
      </c>
      <c r="B1891" s="154" t="s">
        <v>4684</v>
      </c>
      <c r="D1891" s="154">
        <v>2.0</v>
      </c>
      <c r="E1891" s="154" t="s">
        <v>761</v>
      </c>
      <c r="F1891" s="154" t="s">
        <v>4685</v>
      </c>
      <c r="G1891" s="156">
        <v>0.0</v>
      </c>
      <c r="H1891" s="154" t="s">
        <v>4686</v>
      </c>
      <c r="I1891" s="154" t="s">
        <v>2926</v>
      </c>
      <c r="J1891" s="156">
        <v>0.0</v>
      </c>
      <c r="K1891" s="154" t="s">
        <v>760</v>
      </c>
    </row>
    <row r="1892">
      <c r="A1892" s="154" t="s">
        <v>4687</v>
      </c>
      <c r="B1892" s="154" t="s">
        <v>4688</v>
      </c>
      <c r="D1892" s="154">
        <v>2.0</v>
      </c>
      <c r="E1892" s="154" t="s">
        <v>761</v>
      </c>
      <c r="F1892" s="154" t="s">
        <v>4689</v>
      </c>
      <c r="G1892" s="154">
        <v>5.62633182E8</v>
      </c>
      <c r="H1892" s="156">
        <v>0.0</v>
      </c>
      <c r="I1892" s="154">
        <v>9.71562633182E11</v>
      </c>
      <c r="J1892" s="156">
        <v>0.0</v>
      </c>
      <c r="K1892" s="154" t="s">
        <v>259</v>
      </c>
    </row>
    <row r="1893">
      <c r="A1893" s="154" t="s">
        <v>4687</v>
      </c>
      <c r="B1893" s="155"/>
      <c r="C1893" s="154" t="s">
        <v>4688</v>
      </c>
      <c r="D1893" s="155"/>
      <c r="E1893" s="155"/>
      <c r="F1893" s="154" t="s">
        <v>4689</v>
      </c>
      <c r="G1893" s="154">
        <v>5.62633182E8</v>
      </c>
      <c r="H1893" s="156">
        <v>0.0</v>
      </c>
      <c r="I1893" s="154">
        <v>9.71562633182E11</v>
      </c>
      <c r="J1893" s="156">
        <v>0.0</v>
      </c>
      <c r="K1893" s="154" t="s">
        <v>259</v>
      </c>
    </row>
    <row r="1894">
      <c r="A1894" s="154" t="s">
        <v>4690</v>
      </c>
      <c r="B1894" s="154" t="s">
        <v>4691</v>
      </c>
      <c r="D1894" s="154">
        <v>2.0</v>
      </c>
      <c r="E1894" s="154" t="s">
        <v>761</v>
      </c>
      <c r="F1894" s="154" t="s">
        <v>4692</v>
      </c>
      <c r="G1894" s="156">
        <v>0.0</v>
      </c>
      <c r="H1894" s="156">
        <v>0.0</v>
      </c>
      <c r="I1894" s="154" t="s">
        <v>4693</v>
      </c>
      <c r="J1894" s="156">
        <v>0.0</v>
      </c>
      <c r="K1894" s="154" t="s">
        <v>361</v>
      </c>
    </row>
    <row r="1895">
      <c r="A1895" s="154" t="s">
        <v>4690</v>
      </c>
      <c r="B1895" s="155"/>
      <c r="C1895" s="154" t="s">
        <v>4691</v>
      </c>
      <c r="D1895" s="155"/>
      <c r="E1895" s="155"/>
      <c r="F1895" s="154" t="s">
        <v>4692</v>
      </c>
      <c r="G1895" s="156">
        <v>0.0</v>
      </c>
      <c r="H1895" s="156">
        <v>0.0</v>
      </c>
      <c r="I1895" s="154" t="s">
        <v>4693</v>
      </c>
      <c r="J1895" s="156">
        <v>0.0</v>
      </c>
      <c r="K1895" s="154" t="s">
        <v>361</v>
      </c>
    </row>
    <row r="1896">
      <c r="A1896" s="154" t="s">
        <v>4694</v>
      </c>
      <c r="B1896" s="154" t="s">
        <v>4695</v>
      </c>
      <c r="D1896" s="154">
        <v>2.0</v>
      </c>
      <c r="E1896" s="154" t="s">
        <v>761</v>
      </c>
      <c r="F1896" s="154" t="s">
        <v>4696</v>
      </c>
      <c r="G1896" s="156">
        <v>0.0</v>
      </c>
      <c r="H1896" s="154" t="s">
        <v>4697</v>
      </c>
      <c r="I1896" s="154" t="s">
        <v>4698</v>
      </c>
      <c r="J1896" s="154" t="s">
        <v>4699</v>
      </c>
      <c r="K1896" s="154" t="s">
        <v>361</v>
      </c>
    </row>
    <row r="1897">
      <c r="A1897" s="154" t="s">
        <v>4694</v>
      </c>
      <c r="B1897" s="155"/>
      <c r="C1897" s="154" t="s">
        <v>4695</v>
      </c>
      <c r="D1897" s="155"/>
      <c r="E1897" s="155"/>
      <c r="F1897" s="154" t="s">
        <v>4696</v>
      </c>
      <c r="G1897" s="156">
        <v>0.0</v>
      </c>
      <c r="H1897" s="154" t="s">
        <v>4697</v>
      </c>
      <c r="I1897" s="154" t="s">
        <v>4698</v>
      </c>
      <c r="J1897" s="154" t="s">
        <v>4699</v>
      </c>
      <c r="K1897" s="154" t="s">
        <v>361</v>
      </c>
    </row>
    <row r="1898">
      <c r="A1898" s="154" t="s">
        <v>4700</v>
      </c>
      <c r="B1898" s="154" t="s">
        <v>4701</v>
      </c>
      <c r="D1898" s="154">
        <v>2.0</v>
      </c>
      <c r="E1898" s="154" t="s">
        <v>761</v>
      </c>
      <c r="F1898" s="154" t="s">
        <v>4702</v>
      </c>
      <c r="G1898" s="154">
        <v>5.06827578E8</v>
      </c>
      <c r="H1898" s="156">
        <v>0.0</v>
      </c>
      <c r="I1898" s="154">
        <v>5.06827578E8</v>
      </c>
      <c r="J1898" s="156">
        <v>0.0</v>
      </c>
      <c r="K1898" s="154" t="s">
        <v>361</v>
      </c>
    </row>
    <row r="1899">
      <c r="A1899" s="154" t="s">
        <v>4700</v>
      </c>
      <c r="B1899" s="155"/>
      <c r="C1899" s="154" t="s">
        <v>4701</v>
      </c>
      <c r="D1899" s="155"/>
      <c r="E1899" s="155"/>
      <c r="F1899" s="154" t="s">
        <v>4702</v>
      </c>
      <c r="G1899" s="154">
        <v>5.06827578E8</v>
      </c>
      <c r="H1899" s="156">
        <v>0.0</v>
      </c>
      <c r="I1899" s="154">
        <v>5.06827578E8</v>
      </c>
      <c r="J1899" s="156">
        <v>0.0</v>
      </c>
      <c r="K1899" s="154" t="s">
        <v>361</v>
      </c>
    </row>
    <row r="1900">
      <c r="A1900" s="154" t="s">
        <v>4703</v>
      </c>
      <c r="B1900" s="155"/>
      <c r="C1900" s="154" t="s">
        <v>4704</v>
      </c>
      <c r="D1900" s="155"/>
      <c r="E1900" s="155"/>
      <c r="F1900" s="154" t="s">
        <v>4705</v>
      </c>
      <c r="G1900" s="154">
        <v>4.0E7</v>
      </c>
      <c r="H1900" s="156">
        <v>0.0</v>
      </c>
      <c r="I1900" s="154" t="s">
        <v>4706</v>
      </c>
      <c r="J1900" s="154" t="s">
        <v>4707</v>
      </c>
      <c r="K1900" s="154" t="s">
        <v>1731</v>
      </c>
    </row>
    <row r="1901">
      <c r="A1901" s="154" t="s">
        <v>4703</v>
      </c>
      <c r="B1901" s="154" t="s">
        <v>4704</v>
      </c>
      <c r="D1901" s="154">
        <v>2.0</v>
      </c>
      <c r="E1901" s="154" t="s">
        <v>761</v>
      </c>
      <c r="F1901" s="154" t="s">
        <v>4705</v>
      </c>
      <c r="G1901" s="154">
        <v>4.0E7</v>
      </c>
      <c r="H1901" s="156">
        <v>0.0</v>
      </c>
      <c r="I1901" s="154" t="s">
        <v>4706</v>
      </c>
      <c r="J1901" s="154" t="s">
        <v>4707</v>
      </c>
      <c r="K1901" s="154" t="s">
        <v>1731</v>
      </c>
    </row>
    <row r="1902">
      <c r="A1902" s="154" t="s">
        <v>4708</v>
      </c>
      <c r="B1902" s="155"/>
      <c r="C1902" s="154" t="s">
        <v>4709</v>
      </c>
      <c r="D1902" s="155"/>
      <c r="E1902" s="155"/>
      <c r="F1902" s="154" t="s">
        <v>4710</v>
      </c>
      <c r="G1902" s="154">
        <v>5.07210639E8</v>
      </c>
      <c r="H1902" s="156">
        <v>0.0</v>
      </c>
      <c r="I1902" s="156">
        <v>0.0</v>
      </c>
      <c r="J1902" s="156">
        <v>0.0</v>
      </c>
      <c r="K1902" s="154" t="s">
        <v>846</v>
      </c>
    </row>
    <row r="1903">
      <c r="A1903" s="154" t="s">
        <v>4708</v>
      </c>
      <c r="B1903" s="154" t="s">
        <v>4709</v>
      </c>
      <c r="D1903" s="154">
        <v>2.0</v>
      </c>
      <c r="E1903" s="154" t="s">
        <v>761</v>
      </c>
      <c r="F1903" s="154" t="s">
        <v>3786</v>
      </c>
      <c r="G1903" s="154">
        <v>4.3902282E7</v>
      </c>
      <c r="H1903" s="154" t="s">
        <v>1185</v>
      </c>
      <c r="I1903" s="156">
        <v>0.0</v>
      </c>
      <c r="J1903" s="156">
        <v>0.0</v>
      </c>
      <c r="K1903" s="156">
        <v>0.0</v>
      </c>
    </row>
    <row r="1904">
      <c r="A1904" s="154" t="s">
        <v>4711</v>
      </c>
      <c r="B1904" s="154" t="s">
        <v>4712</v>
      </c>
      <c r="D1904" s="154">
        <v>2.0</v>
      </c>
      <c r="E1904" s="154" t="s">
        <v>761</v>
      </c>
      <c r="F1904" s="154" t="s">
        <v>792</v>
      </c>
      <c r="G1904" s="154" t="s">
        <v>793</v>
      </c>
      <c r="H1904" s="154" t="s">
        <v>794</v>
      </c>
      <c r="I1904" s="156">
        <v>0.0</v>
      </c>
      <c r="J1904" s="156">
        <v>0.0</v>
      </c>
      <c r="K1904" s="156">
        <v>0.0</v>
      </c>
    </row>
    <row r="1905">
      <c r="A1905" s="154" t="s">
        <v>4711</v>
      </c>
      <c r="B1905" s="155"/>
      <c r="C1905" s="154" t="s">
        <v>4712</v>
      </c>
      <c r="D1905" s="155"/>
      <c r="E1905" s="155"/>
      <c r="F1905" s="154" t="s">
        <v>4713</v>
      </c>
      <c r="G1905" s="154">
        <v>4.4425183E7</v>
      </c>
      <c r="H1905" s="156">
        <v>0.0</v>
      </c>
      <c r="I1905" s="154">
        <v>5.05510076E8</v>
      </c>
      <c r="J1905" s="156">
        <v>0.0</v>
      </c>
      <c r="K1905" s="154" t="s">
        <v>776</v>
      </c>
    </row>
    <row r="1906">
      <c r="A1906" s="154" t="s">
        <v>4714</v>
      </c>
      <c r="B1906" s="154" t="s">
        <v>4715</v>
      </c>
      <c r="D1906" s="154">
        <v>2.0</v>
      </c>
      <c r="E1906" s="154" t="s">
        <v>761</v>
      </c>
      <c r="F1906" s="154" t="s">
        <v>4716</v>
      </c>
      <c r="G1906" s="156">
        <v>0.0</v>
      </c>
      <c r="H1906" s="156">
        <v>0.0</v>
      </c>
      <c r="I1906" s="154" t="s">
        <v>4717</v>
      </c>
      <c r="J1906" s="154" t="s">
        <v>4718</v>
      </c>
      <c r="K1906" s="154" t="s">
        <v>361</v>
      </c>
    </row>
    <row r="1907">
      <c r="A1907" s="154" t="s">
        <v>4714</v>
      </c>
      <c r="B1907" s="155"/>
      <c r="C1907" s="154" t="s">
        <v>4715</v>
      </c>
      <c r="D1907" s="155"/>
      <c r="E1907" s="155"/>
      <c r="F1907" s="154" t="s">
        <v>4716</v>
      </c>
      <c r="G1907" s="156">
        <v>0.0</v>
      </c>
      <c r="H1907" s="156">
        <v>0.0</v>
      </c>
      <c r="I1907" s="154" t="s">
        <v>4717</v>
      </c>
      <c r="J1907" s="154" t="s">
        <v>4718</v>
      </c>
      <c r="K1907" s="154" t="s">
        <v>361</v>
      </c>
    </row>
    <row r="1908">
      <c r="A1908" s="154" t="s">
        <v>4719</v>
      </c>
      <c r="B1908" s="155"/>
      <c r="C1908" s="154" t="s">
        <v>4720</v>
      </c>
      <c r="D1908" s="155"/>
      <c r="E1908" s="155"/>
      <c r="F1908" s="154" t="s">
        <v>926</v>
      </c>
      <c r="G1908" s="154" t="s">
        <v>927</v>
      </c>
      <c r="H1908" s="156">
        <v>0.0</v>
      </c>
      <c r="I1908" s="154">
        <v>9.71504525889E11</v>
      </c>
      <c r="J1908" s="156">
        <v>0.0</v>
      </c>
      <c r="K1908" s="154" t="s">
        <v>776</v>
      </c>
    </row>
    <row r="1909">
      <c r="A1909" s="154" t="s">
        <v>4719</v>
      </c>
      <c r="B1909" s="154" t="s">
        <v>4720</v>
      </c>
      <c r="D1909" s="154">
        <v>2.0</v>
      </c>
      <c r="E1909" s="154" t="s">
        <v>761</v>
      </c>
      <c r="F1909" s="154" t="s">
        <v>926</v>
      </c>
      <c r="G1909" s="154" t="s">
        <v>927</v>
      </c>
      <c r="H1909" s="156">
        <v>0.0</v>
      </c>
      <c r="I1909" s="154">
        <v>9.71504525889E11</v>
      </c>
      <c r="J1909" s="156">
        <v>0.0</v>
      </c>
      <c r="K1909" s="154" t="s">
        <v>776</v>
      </c>
    </row>
    <row r="1910">
      <c r="A1910" s="154" t="s">
        <v>4721</v>
      </c>
      <c r="B1910" s="155"/>
      <c r="C1910" s="154" t="s">
        <v>4722</v>
      </c>
      <c r="D1910" s="155"/>
      <c r="E1910" s="155"/>
      <c r="F1910" s="154" t="s">
        <v>4723</v>
      </c>
      <c r="G1910" s="156">
        <v>0.0</v>
      </c>
      <c r="H1910" s="156">
        <v>0.0</v>
      </c>
      <c r="I1910" s="154" t="s">
        <v>4724</v>
      </c>
      <c r="J1910" s="154" t="s">
        <v>4725</v>
      </c>
      <c r="K1910" s="154" t="s">
        <v>207</v>
      </c>
    </row>
    <row r="1911">
      <c r="A1911" s="154" t="s">
        <v>4721</v>
      </c>
      <c r="B1911" s="154" t="s">
        <v>4722</v>
      </c>
      <c r="D1911" s="154">
        <v>2.0</v>
      </c>
      <c r="E1911" s="154" t="s">
        <v>761</v>
      </c>
      <c r="F1911" s="154" t="s">
        <v>1157</v>
      </c>
      <c r="G1911" s="154" t="s">
        <v>1158</v>
      </c>
      <c r="H1911" s="154" t="s">
        <v>1159</v>
      </c>
      <c r="I1911" s="156">
        <v>0.0</v>
      </c>
      <c r="J1911" s="156">
        <v>0.0</v>
      </c>
      <c r="K1911" s="156">
        <v>0.0</v>
      </c>
    </row>
    <row r="1912">
      <c r="A1912" s="154" t="s">
        <v>4726</v>
      </c>
      <c r="B1912" s="154" t="s">
        <v>4727</v>
      </c>
      <c r="D1912" s="154">
        <v>2.0</v>
      </c>
      <c r="E1912" s="154" t="s">
        <v>761</v>
      </c>
      <c r="F1912" s="154" t="s">
        <v>4728</v>
      </c>
      <c r="G1912" s="156">
        <v>0.0</v>
      </c>
      <c r="H1912" s="156">
        <v>0.0</v>
      </c>
      <c r="I1912" s="154">
        <v>5.07584302E8</v>
      </c>
      <c r="J1912" s="156">
        <v>0.0</v>
      </c>
      <c r="K1912" s="154" t="s">
        <v>884</v>
      </c>
    </row>
    <row r="1913">
      <c r="A1913" s="154" t="s">
        <v>4726</v>
      </c>
      <c r="B1913" s="155"/>
      <c r="C1913" s="154" t="s">
        <v>4727</v>
      </c>
      <c r="D1913" s="155"/>
      <c r="E1913" s="155"/>
      <c r="F1913" s="154" t="s">
        <v>4729</v>
      </c>
      <c r="G1913" s="154">
        <v>4.8812222E7</v>
      </c>
      <c r="H1913" s="156">
        <v>0.0</v>
      </c>
      <c r="I1913" s="154">
        <v>5.07584282E8</v>
      </c>
      <c r="J1913" s="156">
        <v>0.0</v>
      </c>
      <c r="K1913" s="154" t="s">
        <v>884</v>
      </c>
    </row>
    <row r="1914">
      <c r="A1914" s="154" t="s">
        <v>4730</v>
      </c>
      <c r="B1914" s="154" t="s">
        <v>4731</v>
      </c>
      <c r="D1914" s="154">
        <v>2.0</v>
      </c>
      <c r="E1914" s="154" t="s">
        <v>761</v>
      </c>
      <c r="F1914" s="154" t="s">
        <v>4732</v>
      </c>
      <c r="G1914" s="154">
        <v>9.71503898411E11</v>
      </c>
      <c r="H1914" s="156">
        <v>0.0</v>
      </c>
      <c r="I1914" s="154">
        <v>9.71509193638E11</v>
      </c>
      <c r="J1914" s="156">
        <v>0.0</v>
      </c>
      <c r="K1914" s="154" t="s">
        <v>776</v>
      </c>
    </row>
    <row r="1915">
      <c r="A1915" s="154" t="s">
        <v>4730</v>
      </c>
      <c r="B1915" s="155"/>
      <c r="C1915" s="154" t="s">
        <v>4731</v>
      </c>
      <c r="D1915" s="155"/>
      <c r="E1915" s="155"/>
      <c r="F1915" s="154" t="s">
        <v>4732</v>
      </c>
      <c r="G1915" s="154">
        <v>9.71503898411E11</v>
      </c>
      <c r="H1915" s="156">
        <v>0.0</v>
      </c>
      <c r="I1915" s="154">
        <v>9.71509193638E11</v>
      </c>
      <c r="J1915" s="156">
        <v>0.0</v>
      </c>
      <c r="K1915" s="154" t="s">
        <v>776</v>
      </c>
    </row>
    <row r="1916">
      <c r="A1916" s="154" t="s">
        <v>4733</v>
      </c>
      <c r="B1916" s="154" t="s">
        <v>4734</v>
      </c>
      <c r="D1916" s="154">
        <v>2.0</v>
      </c>
      <c r="E1916" s="154" t="s">
        <v>761</v>
      </c>
      <c r="F1916" s="154" t="s">
        <v>4735</v>
      </c>
      <c r="G1916" s="154">
        <v>0.0</v>
      </c>
      <c r="H1916" s="156">
        <v>0.0</v>
      </c>
      <c r="I1916" s="154">
        <v>5.02823069E8</v>
      </c>
      <c r="J1916" s="156">
        <v>0.0</v>
      </c>
      <c r="K1916" s="154" t="s">
        <v>259</v>
      </c>
    </row>
    <row r="1917">
      <c r="A1917" s="154" t="s">
        <v>4733</v>
      </c>
      <c r="B1917" s="155"/>
      <c r="C1917" s="154" t="s">
        <v>4734</v>
      </c>
      <c r="D1917" s="155"/>
      <c r="E1917" s="155"/>
      <c r="F1917" s="154" t="s">
        <v>4736</v>
      </c>
      <c r="G1917" s="154">
        <v>4.3986666E7</v>
      </c>
      <c r="H1917" s="156">
        <v>0.0</v>
      </c>
      <c r="I1917" s="156">
        <v>0.0</v>
      </c>
      <c r="J1917" s="156">
        <v>0.0</v>
      </c>
      <c r="K1917" s="154" t="s">
        <v>259</v>
      </c>
    </row>
    <row r="1918">
      <c r="A1918" s="154" t="s">
        <v>4737</v>
      </c>
      <c r="B1918" s="154" t="s">
        <v>4738</v>
      </c>
      <c r="D1918" s="154">
        <v>2.0</v>
      </c>
      <c r="E1918" s="154" t="s">
        <v>761</v>
      </c>
      <c r="F1918" s="154" t="s">
        <v>4739</v>
      </c>
      <c r="G1918" s="156">
        <v>0.0</v>
      </c>
      <c r="H1918" s="156">
        <v>0.0</v>
      </c>
      <c r="I1918" s="154" t="s">
        <v>4740</v>
      </c>
      <c r="J1918" s="154" t="s">
        <v>4741</v>
      </c>
      <c r="K1918" s="154" t="s">
        <v>259</v>
      </c>
    </row>
    <row r="1919">
      <c r="A1919" s="154" t="s">
        <v>4737</v>
      </c>
      <c r="B1919" s="155"/>
      <c r="C1919" s="154" t="s">
        <v>4738</v>
      </c>
      <c r="D1919" s="155"/>
      <c r="E1919" s="155"/>
      <c r="F1919" s="154" t="s">
        <v>4739</v>
      </c>
      <c r="G1919" s="156">
        <v>0.0</v>
      </c>
      <c r="H1919" s="156">
        <v>0.0</v>
      </c>
      <c r="I1919" s="154" t="s">
        <v>4740</v>
      </c>
      <c r="J1919" s="154" t="s">
        <v>4741</v>
      </c>
      <c r="K1919" s="154" t="s">
        <v>259</v>
      </c>
    </row>
    <row r="1920">
      <c r="A1920" s="154" t="s">
        <v>4742</v>
      </c>
      <c r="B1920" s="155"/>
      <c r="C1920" s="154" t="s">
        <v>4743</v>
      </c>
      <c r="D1920" s="155"/>
      <c r="E1920" s="155"/>
      <c r="F1920" s="154" t="s">
        <v>4744</v>
      </c>
      <c r="G1920" s="156">
        <v>0.0</v>
      </c>
      <c r="H1920" s="156">
        <v>0.0</v>
      </c>
      <c r="I1920" s="154" t="s">
        <v>3356</v>
      </c>
      <c r="J1920" s="156">
        <v>0.0</v>
      </c>
      <c r="K1920" s="154" t="s">
        <v>361</v>
      </c>
    </row>
    <row r="1921">
      <c r="A1921" s="154" t="s">
        <v>4742</v>
      </c>
      <c r="B1921" s="154" t="s">
        <v>4743</v>
      </c>
      <c r="D1921" s="154">
        <v>2.0</v>
      </c>
      <c r="E1921" s="154" t="s">
        <v>897</v>
      </c>
      <c r="F1921" s="154" t="s">
        <v>4744</v>
      </c>
      <c r="G1921" s="156">
        <v>0.0</v>
      </c>
      <c r="H1921" s="156">
        <v>0.0</v>
      </c>
      <c r="I1921" s="154" t="s">
        <v>3356</v>
      </c>
      <c r="J1921" s="156">
        <v>0.0</v>
      </c>
      <c r="K1921" s="154" t="s">
        <v>361</v>
      </c>
    </row>
    <row r="1922">
      <c r="A1922" s="154" t="s">
        <v>4745</v>
      </c>
      <c r="B1922" s="155"/>
      <c r="C1922" s="154" t="s">
        <v>4746</v>
      </c>
      <c r="D1922" s="155"/>
      <c r="E1922" s="155"/>
      <c r="F1922" s="154" t="s">
        <v>4747</v>
      </c>
      <c r="G1922" s="156">
        <v>0.0</v>
      </c>
      <c r="H1922" s="156">
        <v>0.0</v>
      </c>
      <c r="I1922" s="154" t="s">
        <v>4748</v>
      </c>
      <c r="J1922" s="156">
        <v>0.0</v>
      </c>
      <c r="K1922" s="154" t="s">
        <v>760</v>
      </c>
    </row>
    <row r="1923">
      <c r="A1923" s="154" t="s">
        <v>4745</v>
      </c>
      <c r="B1923" s="154" t="s">
        <v>4746</v>
      </c>
      <c r="D1923" s="154">
        <v>2.0</v>
      </c>
      <c r="E1923" s="154" t="s">
        <v>897</v>
      </c>
      <c r="F1923" s="154" t="s">
        <v>4747</v>
      </c>
      <c r="G1923" s="156">
        <v>0.0</v>
      </c>
      <c r="H1923" s="156">
        <v>0.0</v>
      </c>
      <c r="I1923" s="154" t="s">
        <v>4748</v>
      </c>
      <c r="J1923" s="156">
        <v>0.0</v>
      </c>
      <c r="K1923" s="154" t="s">
        <v>760</v>
      </c>
    </row>
    <row r="1924">
      <c r="A1924" s="154" t="s">
        <v>4749</v>
      </c>
      <c r="B1924" s="155"/>
      <c r="C1924" s="154" t="s">
        <v>4750</v>
      </c>
      <c r="D1924" s="155"/>
      <c r="E1924" s="155"/>
      <c r="F1924" s="154" t="s">
        <v>2111</v>
      </c>
      <c r="G1924" s="154">
        <v>4.3689339E7</v>
      </c>
      <c r="H1924" s="156">
        <v>0.0</v>
      </c>
      <c r="I1924" s="154">
        <v>9.71556778666E11</v>
      </c>
      <c r="J1924" s="156">
        <v>0.0</v>
      </c>
      <c r="K1924" s="154" t="s">
        <v>760</v>
      </c>
    </row>
    <row r="1925">
      <c r="A1925" s="154" t="s">
        <v>4749</v>
      </c>
      <c r="B1925" s="154" t="s">
        <v>4750</v>
      </c>
      <c r="D1925" s="154">
        <v>2.0</v>
      </c>
      <c r="E1925" s="154" t="s">
        <v>897</v>
      </c>
      <c r="F1925" s="154" t="s">
        <v>2111</v>
      </c>
      <c r="G1925" s="154">
        <v>4.3689339E7</v>
      </c>
      <c r="H1925" s="156">
        <v>0.0</v>
      </c>
      <c r="I1925" s="154">
        <v>9.71556778666E11</v>
      </c>
      <c r="J1925" s="156">
        <v>0.0</v>
      </c>
      <c r="K1925" s="154" t="s">
        <v>760</v>
      </c>
    </row>
    <row r="1926">
      <c r="A1926" s="154" t="s">
        <v>4751</v>
      </c>
      <c r="B1926" s="154" t="s">
        <v>4752</v>
      </c>
      <c r="D1926" s="154">
        <v>2.0</v>
      </c>
      <c r="E1926" s="154" t="s">
        <v>897</v>
      </c>
      <c r="F1926" s="154" t="s">
        <v>4753</v>
      </c>
      <c r="G1926" s="156">
        <v>0.0</v>
      </c>
      <c r="H1926" s="154" t="s">
        <v>2294</v>
      </c>
      <c r="I1926" s="154" t="s">
        <v>4754</v>
      </c>
      <c r="J1926" s="154" t="s">
        <v>4755</v>
      </c>
      <c r="K1926" s="154" t="s">
        <v>760</v>
      </c>
    </row>
    <row r="1927">
      <c r="A1927" s="154" t="s">
        <v>4751</v>
      </c>
      <c r="B1927" s="155"/>
      <c r="C1927" s="154" t="s">
        <v>4752</v>
      </c>
      <c r="D1927" s="155"/>
      <c r="E1927" s="155"/>
      <c r="F1927" s="154" t="s">
        <v>4753</v>
      </c>
      <c r="G1927" s="156">
        <v>0.0</v>
      </c>
      <c r="H1927" s="154" t="s">
        <v>2294</v>
      </c>
      <c r="I1927" s="154" t="s">
        <v>4754</v>
      </c>
      <c r="J1927" s="154" t="s">
        <v>4755</v>
      </c>
      <c r="K1927" s="154" t="s">
        <v>760</v>
      </c>
    </row>
    <row r="1928">
      <c r="A1928" s="154" t="s">
        <v>4756</v>
      </c>
      <c r="B1928" s="155"/>
      <c r="C1928" s="154" t="s">
        <v>4757</v>
      </c>
      <c r="D1928" s="155"/>
      <c r="E1928" s="155"/>
      <c r="F1928" s="154" t="s">
        <v>4758</v>
      </c>
      <c r="G1928" s="154">
        <v>4.4302055E7</v>
      </c>
      <c r="H1928" s="156">
        <v>0.0</v>
      </c>
      <c r="I1928" s="154">
        <v>9.71554706725E11</v>
      </c>
      <c r="J1928" s="156">
        <v>0.0</v>
      </c>
      <c r="K1928" s="154" t="s">
        <v>361</v>
      </c>
    </row>
    <row r="1929">
      <c r="A1929" s="154" t="s">
        <v>4756</v>
      </c>
      <c r="B1929" s="154" t="s">
        <v>4757</v>
      </c>
      <c r="D1929" s="154">
        <v>2.0</v>
      </c>
      <c r="E1929" s="154" t="s">
        <v>897</v>
      </c>
      <c r="F1929" s="154" t="s">
        <v>4759</v>
      </c>
      <c r="G1929" s="156">
        <v>0.0</v>
      </c>
      <c r="H1929" s="156">
        <v>0.0</v>
      </c>
      <c r="I1929" s="154">
        <v>9.71554706725E11</v>
      </c>
      <c r="J1929" s="156">
        <v>0.0</v>
      </c>
      <c r="K1929" s="154" t="s">
        <v>361</v>
      </c>
    </row>
    <row r="1930">
      <c r="A1930" s="154" t="s">
        <v>4760</v>
      </c>
      <c r="B1930" s="154" t="s">
        <v>4761</v>
      </c>
      <c r="D1930" s="154">
        <v>2.0</v>
      </c>
      <c r="E1930" s="154" t="s">
        <v>897</v>
      </c>
      <c r="F1930" s="154" t="s">
        <v>4762</v>
      </c>
      <c r="G1930" s="154">
        <v>0.0</v>
      </c>
      <c r="H1930" s="154" t="s">
        <v>4763</v>
      </c>
      <c r="I1930" s="154">
        <v>9.71504759777E11</v>
      </c>
      <c r="J1930" s="156">
        <v>0.0</v>
      </c>
      <c r="K1930" s="154" t="s">
        <v>361</v>
      </c>
    </row>
    <row r="1931">
      <c r="A1931" s="154" t="s">
        <v>4760</v>
      </c>
      <c r="B1931" s="155"/>
      <c r="C1931" s="154" t="s">
        <v>4761</v>
      </c>
      <c r="D1931" s="155"/>
      <c r="E1931" s="155"/>
      <c r="F1931" s="154" t="s">
        <v>4762</v>
      </c>
      <c r="G1931" s="154">
        <v>0.0</v>
      </c>
      <c r="H1931" s="154" t="s">
        <v>4763</v>
      </c>
      <c r="I1931" s="154">
        <v>9.71504759777E11</v>
      </c>
      <c r="J1931" s="156">
        <v>0.0</v>
      </c>
      <c r="K1931" s="154" t="s">
        <v>361</v>
      </c>
    </row>
    <row r="1932">
      <c r="A1932" s="154" t="s">
        <v>4764</v>
      </c>
      <c r="B1932" s="155"/>
      <c r="C1932" s="154" t="s">
        <v>4765</v>
      </c>
      <c r="D1932" s="155"/>
      <c r="E1932" s="155"/>
      <c r="F1932" s="154" t="s">
        <v>4766</v>
      </c>
      <c r="G1932" s="154">
        <v>4.3911111E7</v>
      </c>
      <c r="H1932" s="156">
        <v>0.0</v>
      </c>
      <c r="I1932" s="154">
        <v>0.0</v>
      </c>
      <c r="J1932" s="156">
        <v>0.0</v>
      </c>
      <c r="K1932" s="154" t="s">
        <v>259</v>
      </c>
    </row>
    <row r="1933">
      <c r="A1933" s="154" t="s">
        <v>4764</v>
      </c>
      <c r="B1933" s="154" t="s">
        <v>4765</v>
      </c>
      <c r="D1933" s="154">
        <v>2.0</v>
      </c>
      <c r="E1933" s="154" t="s">
        <v>761</v>
      </c>
      <c r="F1933" s="154" t="s">
        <v>4767</v>
      </c>
      <c r="G1933" s="154">
        <v>4.3432444E7</v>
      </c>
      <c r="H1933" s="156">
        <v>0.0</v>
      </c>
      <c r="I1933" s="154">
        <v>0.0</v>
      </c>
      <c r="J1933" s="156">
        <v>0.0</v>
      </c>
      <c r="K1933" s="154" t="s">
        <v>206</v>
      </c>
    </row>
    <row r="1934">
      <c r="A1934" s="154" t="s">
        <v>4768</v>
      </c>
      <c r="B1934" s="155"/>
      <c r="C1934" s="154" t="s">
        <v>4769</v>
      </c>
      <c r="D1934" s="155"/>
      <c r="E1934" s="155"/>
      <c r="F1934" s="154" t="s">
        <v>4770</v>
      </c>
      <c r="G1934" s="154">
        <v>6267396.0</v>
      </c>
      <c r="H1934" s="156">
        <v>0.0</v>
      </c>
      <c r="I1934" s="154">
        <v>0.0</v>
      </c>
      <c r="J1934" s="156">
        <v>0.0</v>
      </c>
      <c r="K1934" s="154" t="s">
        <v>361</v>
      </c>
    </row>
    <row r="1935">
      <c r="A1935" s="154" t="s">
        <v>4768</v>
      </c>
      <c r="B1935" s="154" t="s">
        <v>4769</v>
      </c>
      <c r="D1935" s="154">
        <v>2.0</v>
      </c>
      <c r="E1935" s="154" t="s">
        <v>761</v>
      </c>
      <c r="F1935" s="154" t="s">
        <v>4771</v>
      </c>
      <c r="G1935" s="154">
        <v>0.0</v>
      </c>
      <c r="H1935" s="156">
        <v>0.0</v>
      </c>
      <c r="I1935" s="154">
        <v>5.06267396E8</v>
      </c>
      <c r="J1935" s="156">
        <v>0.0</v>
      </c>
      <c r="K1935" s="154" t="s">
        <v>361</v>
      </c>
    </row>
    <row r="1936">
      <c r="A1936" s="154" t="s">
        <v>4772</v>
      </c>
      <c r="B1936" s="155"/>
      <c r="C1936" s="154" t="s">
        <v>4773</v>
      </c>
      <c r="D1936" s="155"/>
      <c r="E1936" s="155"/>
      <c r="F1936" s="154" t="s">
        <v>4774</v>
      </c>
      <c r="G1936" s="154">
        <v>0.0</v>
      </c>
      <c r="H1936" s="156">
        <v>0.0</v>
      </c>
      <c r="I1936" s="154">
        <v>5.06523244E8</v>
      </c>
      <c r="J1936" s="156">
        <v>0.0</v>
      </c>
      <c r="K1936" s="154" t="s">
        <v>1891</v>
      </c>
    </row>
    <row r="1937">
      <c r="A1937" s="154" t="s">
        <v>4772</v>
      </c>
      <c r="B1937" s="154" t="s">
        <v>4773</v>
      </c>
      <c r="D1937" s="154">
        <v>2.0</v>
      </c>
      <c r="E1937" s="154" t="s">
        <v>761</v>
      </c>
      <c r="F1937" s="154" t="s">
        <v>4775</v>
      </c>
      <c r="G1937" s="156">
        <v>0.0</v>
      </c>
      <c r="H1937" s="156">
        <v>0.0</v>
      </c>
      <c r="I1937" s="154">
        <v>5.06523244E8</v>
      </c>
      <c r="J1937" s="156">
        <v>0.0</v>
      </c>
      <c r="K1937" s="154" t="s">
        <v>259</v>
      </c>
    </row>
    <row r="1938">
      <c r="A1938" s="154" t="s">
        <v>4776</v>
      </c>
      <c r="B1938" s="154" t="s">
        <v>4777</v>
      </c>
      <c r="D1938" s="154">
        <v>2.0</v>
      </c>
      <c r="E1938" s="154" t="s">
        <v>761</v>
      </c>
      <c r="F1938" s="154" t="s">
        <v>4778</v>
      </c>
      <c r="G1938" s="154">
        <v>4.3349993E7</v>
      </c>
      <c r="H1938" s="156">
        <v>0.0</v>
      </c>
      <c r="I1938" s="154">
        <v>5.06591163E8</v>
      </c>
      <c r="J1938" s="156">
        <v>0.0</v>
      </c>
      <c r="K1938" s="154" t="s">
        <v>301</v>
      </c>
    </row>
    <row r="1939">
      <c r="A1939" s="154" t="s">
        <v>4776</v>
      </c>
      <c r="B1939" s="155"/>
      <c r="C1939" s="154" t="s">
        <v>4777</v>
      </c>
      <c r="D1939" s="155"/>
      <c r="E1939" s="155"/>
      <c r="F1939" s="154" t="s">
        <v>4779</v>
      </c>
      <c r="G1939" s="156">
        <v>0.0</v>
      </c>
      <c r="H1939" s="156">
        <v>0.0</v>
      </c>
      <c r="I1939" s="154">
        <v>5.06591163E8</v>
      </c>
      <c r="J1939" s="156">
        <v>0.0</v>
      </c>
      <c r="K1939" s="154" t="s">
        <v>301</v>
      </c>
    </row>
    <row r="1940">
      <c r="A1940" s="154" t="s">
        <v>4780</v>
      </c>
      <c r="B1940" s="155"/>
      <c r="C1940" s="154" t="s">
        <v>4781</v>
      </c>
      <c r="D1940" s="155"/>
      <c r="E1940" s="155"/>
      <c r="F1940" s="154" t="s">
        <v>4782</v>
      </c>
      <c r="G1940" s="154">
        <v>4.394285E7</v>
      </c>
      <c r="H1940" s="156">
        <v>0.0</v>
      </c>
      <c r="I1940" s="154">
        <v>5.05502376E8</v>
      </c>
      <c r="J1940" s="156">
        <v>0.0</v>
      </c>
      <c r="K1940" s="154" t="s">
        <v>361</v>
      </c>
    </row>
    <row r="1941">
      <c r="A1941" s="154" t="s">
        <v>4780</v>
      </c>
      <c r="B1941" s="154" t="s">
        <v>4781</v>
      </c>
      <c r="D1941" s="154">
        <v>2.0</v>
      </c>
      <c r="E1941" s="154" t="s">
        <v>761</v>
      </c>
      <c r="F1941" s="154" t="s">
        <v>4782</v>
      </c>
      <c r="G1941" s="154">
        <v>4.394285E7</v>
      </c>
      <c r="H1941" s="156">
        <v>0.0</v>
      </c>
      <c r="I1941" s="154">
        <v>5.05502376E8</v>
      </c>
      <c r="J1941" s="156">
        <v>0.0</v>
      </c>
      <c r="K1941" s="154" t="s">
        <v>361</v>
      </c>
    </row>
    <row r="1942">
      <c r="A1942" s="154" t="s">
        <v>4783</v>
      </c>
      <c r="B1942" s="155"/>
      <c r="C1942" s="154" t="s">
        <v>4784</v>
      </c>
      <c r="D1942" s="155"/>
      <c r="E1942" s="155"/>
      <c r="F1942" s="154" t="s">
        <v>4785</v>
      </c>
      <c r="G1942" s="154">
        <v>4.3850667E7</v>
      </c>
      <c r="H1942" s="156">
        <v>0.0</v>
      </c>
      <c r="I1942" s="154">
        <v>5.53199866E8</v>
      </c>
      <c r="J1942" s="156">
        <v>0.0</v>
      </c>
      <c r="K1942" s="154" t="s">
        <v>361</v>
      </c>
    </row>
    <row r="1943">
      <c r="A1943" s="154" t="s">
        <v>4783</v>
      </c>
      <c r="B1943" s="154" t="s">
        <v>4784</v>
      </c>
      <c r="D1943" s="154">
        <v>2.0</v>
      </c>
      <c r="E1943" s="154" t="s">
        <v>761</v>
      </c>
      <c r="F1943" s="154" t="s">
        <v>4785</v>
      </c>
      <c r="G1943" s="154">
        <v>4.3850667E7</v>
      </c>
      <c r="H1943" s="156">
        <v>0.0</v>
      </c>
      <c r="I1943" s="154">
        <v>5.53199866E8</v>
      </c>
      <c r="J1943" s="156">
        <v>0.0</v>
      </c>
      <c r="K1943" s="154" t="s">
        <v>361</v>
      </c>
    </row>
    <row r="1944">
      <c r="A1944" s="154" t="s">
        <v>4786</v>
      </c>
      <c r="B1944" s="154" t="s">
        <v>4787</v>
      </c>
      <c r="D1944" s="154">
        <v>2.0</v>
      </c>
      <c r="E1944" s="154" t="s">
        <v>761</v>
      </c>
      <c r="F1944" s="154" t="s">
        <v>4788</v>
      </c>
      <c r="G1944" s="156">
        <v>0.0</v>
      </c>
      <c r="H1944" s="156">
        <v>0.0</v>
      </c>
      <c r="I1944" s="154" t="s">
        <v>4789</v>
      </c>
      <c r="J1944" s="154" t="s">
        <v>4790</v>
      </c>
      <c r="K1944" s="154" t="s">
        <v>846</v>
      </c>
    </row>
    <row r="1945">
      <c r="A1945" s="154" t="s">
        <v>4786</v>
      </c>
      <c r="B1945" s="155"/>
      <c r="C1945" s="154" t="s">
        <v>4787</v>
      </c>
      <c r="D1945" s="155"/>
      <c r="E1945" s="155"/>
      <c r="F1945" s="154" t="s">
        <v>4788</v>
      </c>
      <c r="G1945" s="156">
        <v>0.0</v>
      </c>
      <c r="H1945" s="156">
        <v>0.0</v>
      </c>
      <c r="I1945" s="154" t="s">
        <v>4789</v>
      </c>
      <c r="J1945" s="154" t="s">
        <v>4790</v>
      </c>
      <c r="K1945" s="154" t="s">
        <v>846</v>
      </c>
    </row>
    <row r="1946">
      <c r="A1946" s="154" t="s">
        <v>4791</v>
      </c>
      <c r="B1946" s="155"/>
      <c r="C1946" s="154" t="s">
        <v>4792</v>
      </c>
      <c r="D1946" s="155"/>
      <c r="E1946" s="155"/>
      <c r="F1946" s="154" t="s">
        <v>4793</v>
      </c>
      <c r="G1946" s="156">
        <v>0.0</v>
      </c>
      <c r="H1946" s="156">
        <v>0.0</v>
      </c>
      <c r="I1946" s="154" t="s">
        <v>4794</v>
      </c>
      <c r="J1946" s="154" t="s">
        <v>1369</v>
      </c>
      <c r="K1946" s="154" t="s">
        <v>207</v>
      </c>
    </row>
    <row r="1947">
      <c r="A1947" s="154" t="s">
        <v>4791</v>
      </c>
      <c r="B1947" s="154" t="s">
        <v>4792</v>
      </c>
      <c r="D1947" s="154">
        <v>2.0</v>
      </c>
      <c r="E1947" s="154" t="s">
        <v>761</v>
      </c>
      <c r="F1947" s="154" t="s">
        <v>4793</v>
      </c>
      <c r="G1947" s="156">
        <v>0.0</v>
      </c>
      <c r="H1947" s="156">
        <v>0.0</v>
      </c>
      <c r="I1947" s="154" t="s">
        <v>4794</v>
      </c>
      <c r="J1947" s="154" t="s">
        <v>1369</v>
      </c>
      <c r="K1947" s="154" t="s">
        <v>207</v>
      </c>
    </row>
    <row r="1948">
      <c r="A1948" s="154" t="s">
        <v>4795</v>
      </c>
      <c r="B1948" s="154" t="s">
        <v>4796</v>
      </c>
      <c r="D1948" s="154">
        <v>2.0</v>
      </c>
      <c r="E1948" s="154" t="s">
        <v>761</v>
      </c>
      <c r="F1948" s="154" t="s">
        <v>4797</v>
      </c>
      <c r="G1948" s="154">
        <v>5.28111105E8</v>
      </c>
      <c r="H1948" s="156">
        <v>0.0</v>
      </c>
      <c r="I1948" s="154">
        <v>9.7155390494E11</v>
      </c>
      <c r="J1948" s="156">
        <v>0.0</v>
      </c>
      <c r="K1948" s="154" t="s">
        <v>240</v>
      </c>
    </row>
    <row r="1949">
      <c r="A1949" s="154" t="s">
        <v>4795</v>
      </c>
      <c r="B1949" s="155"/>
      <c r="C1949" s="154" t="s">
        <v>4796</v>
      </c>
      <c r="D1949" s="155"/>
      <c r="E1949" s="155"/>
      <c r="F1949" s="154" t="s">
        <v>4797</v>
      </c>
      <c r="G1949" s="154">
        <v>5.28111105E8</v>
      </c>
      <c r="H1949" s="156">
        <v>0.0</v>
      </c>
      <c r="I1949" s="154">
        <v>9.7155390494E11</v>
      </c>
      <c r="J1949" s="156">
        <v>0.0</v>
      </c>
      <c r="K1949" s="154" t="s">
        <v>240</v>
      </c>
    </row>
    <row r="1950">
      <c r="A1950" s="154" t="s">
        <v>4798</v>
      </c>
      <c r="B1950" s="154" t="s">
        <v>4799</v>
      </c>
      <c r="D1950" s="154">
        <v>2.0</v>
      </c>
      <c r="E1950" s="154" t="s">
        <v>761</v>
      </c>
      <c r="F1950" s="154" t="s">
        <v>4800</v>
      </c>
      <c r="G1950" s="154">
        <v>5.57774204E8</v>
      </c>
      <c r="H1950" s="156">
        <v>0.0</v>
      </c>
      <c r="I1950" s="154">
        <v>5.52224204E8</v>
      </c>
      <c r="J1950" s="156">
        <v>0.0</v>
      </c>
      <c r="K1950" s="154" t="s">
        <v>2167</v>
      </c>
    </row>
    <row r="1951">
      <c r="A1951" s="154" t="s">
        <v>4798</v>
      </c>
      <c r="B1951" s="155"/>
      <c r="C1951" s="154" t="s">
        <v>4799</v>
      </c>
      <c r="D1951" s="155"/>
      <c r="E1951" s="155"/>
      <c r="F1951" s="154" t="s">
        <v>4800</v>
      </c>
      <c r="G1951" s="154">
        <v>5.57774204E8</v>
      </c>
      <c r="H1951" s="156">
        <v>0.0</v>
      </c>
      <c r="I1951" s="154">
        <v>5.52224204E8</v>
      </c>
      <c r="J1951" s="156">
        <v>0.0</v>
      </c>
      <c r="K1951" s="154" t="s">
        <v>2167</v>
      </c>
    </row>
    <row r="1952">
      <c r="A1952" s="154" t="s">
        <v>4801</v>
      </c>
      <c r="B1952" s="154" t="s">
        <v>4802</v>
      </c>
      <c r="D1952" s="154">
        <v>2.0</v>
      </c>
      <c r="E1952" s="154" t="s">
        <v>761</v>
      </c>
      <c r="F1952" s="154" t="s">
        <v>4803</v>
      </c>
      <c r="G1952" s="156">
        <v>0.0</v>
      </c>
      <c r="H1952" s="154" t="s">
        <v>4804</v>
      </c>
      <c r="I1952" s="154" t="s">
        <v>4805</v>
      </c>
      <c r="J1952" s="154" t="s">
        <v>4806</v>
      </c>
      <c r="K1952" s="154" t="s">
        <v>760</v>
      </c>
    </row>
    <row r="1953">
      <c r="A1953" s="154" t="s">
        <v>4801</v>
      </c>
      <c r="B1953" s="155"/>
      <c r="C1953" s="154" t="s">
        <v>4802</v>
      </c>
      <c r="D1953" s="155"/>
      <c r="E1953" s="155"/>
      <c r="F1953" s="154" t="s">
        <v>4803</v>
      </c>
      <c r="G1953" s="156">
        <v>0.0</v>
      </c>
      <c r="H1953" s="154" t="s">
        <v>4804</v>
      </c>
      <c r="I1953" s="154" t="s">
        <v>4805</v>
      </c>
      <c r="J1953" s="154" t="s">
        <v>4806</v>
      </c>
      <c r="K1953" s="154" t="s">
        <v>760</v>
      </c>
    </row>
    <row r="1954">
      <c r="A1954" s="154" t="s">
        <v>4807</v>
      </c>
      <c r="B1954" s="154" t="s">
        <v>4808</v>
      </c>
      <c r="D1954" s="154">
        <v>2.0</v>
      </c>
      <c r="E1954" s="154" t="s">
        <v>761</v>
      </c>
      <c r="F1954" s="154" t="s">
        <v>4809</v>
      </c>
      <c r="G1954" s="154">
        <v>5.52445443E8</v>
      </c>
      <c r="H1954" s="156">
        <v>0.0</v>
      </c>
      <c r="I1954" s="154">
        <v>5.67979633E8</v>
      </c>
      <c r="J1954" s="156">
        <v>0.0</v>
      </c>
      <c r="K1954" s="154" t="s">
        <v>846</v>
      </c>
    </row>
    <row r="1955">
      <c r="A1955" s="154" t="s">
        <v>4807</v>
      </c>
      <c r="B1955" s="155"/>
      <c r="C1955" s="154" t="s">
        <v>4808</v>
      </c>
      <c r="D1955" s="155"/>
      <c r="E1955" s="155"/>
      <c r="F1955" s="154" t="s">
        <v>4809</v>
      </c>
      <c r="G1955" s="154">
        <v>5.52445443E8</v>
      </c>
      <c r="H1955" s="156">
        <v>0.0</v>
      </c>
      <c r="I1955" s="154">
        <v>5.67979633E8</v>
      </c>
      <c r="J1955" s="156">
        <v>0.0</v>
      </c>
      <c r="K1955" s="154" t="s">
        <v>846</v>
      </c>
    </row>
    <row r="1956">
      <c r="A1956" s="154" t="s">
        <v>4810</v>
      </c>
      <c r="B1956" s="155"/>
      <c r="C1956" s="154" t="s">
        <v>4811</v>
      </c>
      <c r="D1956" s="155"/>
      <c r="E1956" s="155"/>
      <c r="F1956" s="154" t="s">
        <v>4812</v>
      </c>
      <c r="G1956" s="154" t="s">
        <v>4813</v>
      </c>
      <c r="H1956" s="156">
        <v>0.0</v>
      </c>
      <c r="I1956" s="154" t="s">
        <v>4814</v>
      </c>
      <c r="J1956" s="154" t="s">
        <v>4815</v>
      </c>
      <c r="K1956" s="154" t="s">
        <v>240</v>
      </c>
    </row>
    <row r="1957">
      <c r="A1957" s="154" t="s">
        <v>4810</v>
      </c>
      <c r="B1957" s="154" t="s">
        <v>4811</v>
      </c>
      <c r="D1957" s="154">
        <v>2.0</v>
      </c>
      <c r="E1957" s="154" t="s">
        <v>761</v>
      </c>
      <c r="F1957" s="154" t="s">
        <v>4812</v>
      </c>
      <c r="G1957" s="154" t="s">
        <v>4813</v>
      </c>
      <c r="H1957" s="156">
        <v>0.0</v>
      </c>
      <c r="I1957" s="154" t="s">
        <v>4814</v>
      </c>
      <c r="J1957" s="154" t="s">
        <v>4815</v>
      </c>
      <c r="K1957" s="154" t="s">
        <v>240</v>
      </c>
    </row>
    <row r="1958">
      <c r="A1958" s="154" t="s">
        <v>4816</v>
      </c>
      <c r="B1958" s="154" t="s">
        <v>4817</v>
      </c>
      <c r="D1958" s="154">
        <v>2.0</v>
      </c>
      <c r="E1958" s="154" t="s">
        <v>761</v>
      </c>
      <c r="F1958" s="154" t="s">
        <v>2778</v>
      </c>
      <c r="G1958" s="156">
        <v>0.0</v>
      </c>
      <c r="H1958" s="156">
        <v>0.0</v>
      </c>
      <c r="I1958" s="154">
        <v>9.71506531285E11</v>
      </c>
      <c r="J1958" s="156">
        <v>0.0</v>
      </c>
      <c r="K1958" s="154" t="s">
        <v>1059</v>
      </c>
    </row>
    <row r="1959">
      <c r="A1959" s="154" t="s">
        <v>4816</v>
      </c>
      <c r="B1959" s="155"/>
      <c r="C1959" s="154" t="s">
        <v>4817</v>
      </c>
      <c r="D1959" s="155"/>
      <c r="E1959" s="155"/>
      <c r="F1959" s="154" t="s">
        <v>2778</v>
      </c>
      <c r="G1959" s="156">
        <v>0.0</v>
      </c>
      <c r="H1959" s="156">
        <v>0.0</v>
      </c>
      <c r="I1959" s="154">
        <v>9.71506531285E11</v>
      </c>
      <c r="J1959" s="156">
        <v>0.0</v>
      </c>
      <c r="K1959" s="154" t="s">
        <v>1059</v>
      </c>
    </row>
    <row r="1960">
      <c r="A1960" s="154" t="s">
        <v>4818</v>
      </c>
      <c r="B1960" s="155"/>
      <c r="C1960" s="154" t="s">
        <v>4819</v>
      </c>
      <c r="D1960" s="155"/>
      <c r="E1960" s="155"/>
      <c r="F1960" s="154" t="s">
        <v>792</v>
      </c>
      <c r="G1960" s="154" t="s">
        <v>793</v>
      </c>
      <c r="H1960" s="154" t="s">
        <v>794</v>
      </c>
      <c r="I1960" s="156">
        <v>0.0</v>
      </c>
      <c r="J1960" s="156">
        <v>0.0</v>
      </c>
      <c r="K1960" s="156">
        <v>0.0</v>
      </c>
    </row>
    <row r="1961">
      <c r="A1961" s="154" t="s">
        <v>4818</v>
      </c>
      <c r="B1961" s="154" t="s">
        <v>4819</v>
      </c>
      <c r="D1961" s="154">
        <v>2.0</v>
      </c>
      <c r="E1961" s="154" t="s">
        <v>761</v>
      </c>
      <c r="F1961" s="154" t="s">
        <v>4820</v>
      </c>
      <c r="G1961" s="156">
        <v>0.0</v>
      </c>
      <c r="H1961" s="156">
        <v>0.0</v>
      </c>
      <c r="I1961" s="154">
        <v>9.71505734974E11</v>
      </c>
      <c r="J1961" s="156">
        <v>0.0</v>
      </c>
      <c r="K1961" s="154" t="s">
        <v>259</v>
      </c>
    </row>
    <row r="1962">
      <c r="A1962" s="154" t="s">
        <v>4821</v>
      </c>
      <c r="B1962" s="155"/>
      <c r="C1962" s="154" t="s">
        <v>4822</v>
      </c>
      <c r="D1962" s="155"/>
      <c r="E1962" s="155"/>
      <c r="F1962" s="154" t="s">
        <v>4797</v>
      </c>
      <c r="G1962" s="154">
        <v>5.28111105E8</v>
      </c>
      <c r="H1962" s="156">
        <v>0.0</v>
      </c>
      <c r="I1962" s="154">
        <v>9.7155390494E11</v>
      </c>
      <c r="J1962" s="156">
        <v>0.0</v>
      </c>
      <c r="K1962" s="154" t="s">
        <v>240</v>
      </c>
    </row>
    <row r="1963">
      <c r="A1963" s="154" t="s">
        <v>4821</v>
      </c>
      <c r="B1963" s="154" t="s">
        <v>4822</v>
      </c>
      <c r="D1963" s="154">
        <v>2.0</v>
      </c>
      <c r="E1963" s="154" t="s">
        <v>761</v>
      </c>
      <c r="F1963" s="154" t="s">
        <v>4797</v>
      </c>
      <c r="G1963" s="154">
        <v>5.28111105E8</v>
      </c>
      <c r="H1963" s="156">
        <v>0.0</v>
      </c>
      <c r="I1963" s="154">
        <v>9.7155390494E11</v>
      </c>
      <c r="J1963" s="156">
        <v>0.0</v>
      </c>
      <c r="K1963" s="154" t="s">
        <v>240</v>
      </c>
    </row>
    <row r="1964">
      <c r="A1964" s="154" t="s">
        <v>4823</v>
      </c>
      <c r="B1964" s="154" t="s">
        <v>4824</v>
      </c>
      <c r="D1964" s="154">
        <v>2.0</v>
      </c>
      <c r="E1964" s="154" t="s">
        <v>761</v>
      </c>
      <c r="F1964" s="154" t="s">
        <v>4367</v>
      </c>
      <c r="G1964" s="154" t="s">
        <v>4368</v>
      </c>
      <c r="H1964" s="154" t="s">
        <v>4369</v>
      </c>
      <c r="I1964" s="154" t="s">
        <v>4370</v>
      </c>
      <c r="J1964" s="154" t="s">
        <v>4371</v>
      </c>
      <c r="K1964" s="154" t="s">
        <v>2395</v>
      </c>
    </row>
    <row r="1965">
      <c r="A1965" s="154" t="s">
        <v>4823</v>
      </c>
      <c r="B1965" s="155"/>
      <c r="C1965" s="154" t="s">
        <v>4824</v>
      </c>
      <c r="D1965" s="155"/>
      <c r="E1965" s="155"/>
      <c r="F1965" s="154" t="s">
        <v>4367</v>
      </c>
      <c r="G1965" s="154" t="s">
        <v>4368</v>
      </c>
      <c r="H1965" s="154" t="s">
        <v>4369</v>
      </c>
      <c r="I1965" s="154" t="s">
        <v>4370</v>
      </c>
      <c r="J1965" s="154" t="s">
        <v>4371</v>
      </c>
      <c r="K1965" s="154" t="s">
        <v>2395</v>
      </c>
    </row>
    <row r="1966">
      <c r="A1966" s="154" t="s">
        <v>4825</v>
      </c>
      <c r="B1966" s="155"/>
      <c r="C1966" s="154" t="s">
        <v>4826</v>
      </c>
      <c r="D1966" s="155"/>
      <c r="E1966" s="155"/>
      <c r="F1966" s="154" t="s">
        <v>4367</v>
      </c>
      <c r="G1966" s="154" t="s">
        <v>4368</v>
      </c>
      <c r="H1966" s="154" t="s">
        <v>4369</v>
      </c>
      <c r="I1966" s="154" t="s">
        <v>4370</v>
      </c>
      <c r="J1966" s="154" t="s">
        <v>4371</v>
      </c>
      <c r="K1966" s="154" t="s">
        <v>2395</v>
      </c>
    </row>
    <row r="1967">
      <c r="A1967" s="154" t="s">
        <v>4825</v>
      </c>
      <c r="B1967" s="154" t="s">
        <v>4826</v>
      </c>
      <c r="D1967" s="154">
        <v>2.0</v>
      </c>
      <c r="E1967" s="154" t="s">
        <v>761</v>
      </c>
      <c r="F1967" s="154" t="s">
        <v>4367</v>
      </c>
      <c r="G1967" s="154" t="s">
        <v>4368</v>
      </c>
      <c r="H1967" s="154" t="s">
        <v>4369</v>
      </c>
      <c r="I1967" s="154" t="s">
        <v>4370</v>
      </c>
      <c r="J1967" s="154" t="s">
        <v>4371</v>
      </c>
      <c r="K1967" s="154" t="s">
        <v>2395</v>
      </c>
    </row>
    <row r="1968">
      <c r="A1968" s="154" t="s">
        <v>4827</v>
      </c>
      <c r="B1968" s="154" t="s">
        <v>4828</v>
      </c>
      <c r="D1968" s="154">
        <v>2.0</v>
      </c>
      <c r="E1968" s="154" t="s">
        <v>761</v>
      </c>
      <c r="F1968" s="154" t="s">
        <v>4829</v>
      </c>
      <c r="G1968" s="156">
        <v>0.0</v>
      </c>
      <c r="H1968" s="156">
        <v>0.0</v>
      </c>
      <c r="I1968" s="154">
        <v>9.71506220342E11</v>
      </c>
      <c r="J1968" s="156">
        <v>0.0</v>
      </c>
      <c r="K1968" s="154" t="s">
        <v>223</v>
      </c>
    </row>
    <row r="1969">
      <c r="A1969" s="154" t="s">
        <v>4827</v>
      </c>
      <c r="B1969" s="155"/>
      <c r="C1969" s="154" t="s">
        <v>4828</v>
      </c>
      <c r="D1969" s="155"/>
      <c r="E1969" s="155"/>
      <c r="F1969" s="154" t="s">
        <v>4829</v>
      </c>
      <c r="G1969" s="156">
        <v>0.0</v>
      </c>
      <c r="H1969" s="156">
        <v>0.0</v>
      </c>
      <c r="I1969" s="154">
        <v>9.71506220342E11</v>
      </c>
      <c r="J1969" s="156">
        <v>0.0</v>
      </c>
      <c r="K1969" s="154" t="s">
        <v>223</v>
      </c>
    </row>
    <row r="1970">
      <c r="A1970" s="154" t="s">
        <v>4830</v>
      </c>
      <c r="B1970" s="154" t="s">
        <v>4831</v>
      </c>
      <c r="D1970" s="154">
        <v>2.0</v>
      </c>
      <c r="E1970" s="154" t="s">
        <v>761</v>
      </c>
      <c r="F1970" s="154" t="s">
        <v>4832</v>
      </c>
      <c r="G1970" s="156">
        <v>0.0</v>
      </c>
      <c r="H1970" s="156">
        <v>0.0</v>
      </c>
      <c r="I1970" s="154">
        <v>0.0</v>
      </c>
      <c r="J1970" s="156">
        <v>0.0</v>
      </c>
      <c r="K1970" s="154" t="s">
        <v>776</v>
      </c>
    </row>
    <row r="1971">
      <c r="A1971" s="154" t="s">
        <v>4830</v>
      </c>
      <c r="B1971" s="155"/>
      <c r="C1971" s="154" t="s">
        <v>4831</v>
      </c>
      <c r="D1971" s="155"/>
      <c r="E1971" s="155"/>
      <c r="F1971" s="154" t="s">
        <v>4832</v>
      </c>
      <c r="G1971" s="156">
        <v>0.0</v>
      </c>
      <c r="H1971" s="156">
        <v>0.0</v>
      </c>
      <c r="I1971" s="154">
        <v>0.0</v>
      </c>
      <c r="J1971" s="156">
        <v>0.0</v>
      </c>
      <c r="K1971" s="154" t="s">
        <v>776</v>
      </c>
    </row>
    <row r="1972">
      <c r="A1972" s="154" t="s">
        <v>4833</v>
      </c>
      <c r="B1972" s="154" t="s">
        <v>4834</v>
      </c>
      <c r="D1972" s="154">
        <v>2.0</v>
      </c>
      <c r="E1972" s="154" t="s">
        <v>761</v>
      </c>
      <c r="F1972" s="154" t="s">
        <v>4835</v>
      </c>
      <c r="G1972" s="156">
        <v>0.0</v>
      </c>
      <c r="H1972" s="156">
        <v>0.0</v>
      </c>
      <c r="I1972" s="154" t="s">
        <v>4836</v>
      </c>
      <c r="J1972" s="154" t="s">
        <v>4837</v>
      </c>
      <c r="K1972" s="154" t="s">
        <v>259</v>
      </c>
    </row>
    <row r="1973">
      <c r="A1973" s="154" t="s">
        <v>4833</v>
      </c>
      <c r="B1973" s="155"/>
      <c r="C1973" s="154" t="s">
        <v>4834</v>
      </c>
      <c r="D1973" s="155"/>
      <c r="E1973" s="155"/>
      <c r="F1973" s="154" t="s">
        <v>4835</v>
      </c>
      <c r="G1973" s="156">
        <v>0.0</v>
      </c>
      <c r="H1973" s="156">
        <v>0.0</v>
      </c>
      <c r="I1973" s="154" t="s">
        <v>4836</v>
      </c>
      <c r="J1973" s="154" t="s">
        <v>4837</v>
      </c>
      <c r="K1973" s="154" t="s">
        <v>259</v>
      </c>
    </row>
    <row r="1974">
      <c r="A1974" s="154" t="s">
        <v>4838</v>
      </c>
      <c r="B1974" s="154" t="s">
        <v>4839</v>
      </c>
      <c r="D1974" s="154">
        <v>2.0</v>
      </c>
      <c r="E1974" s="154" t="s">
        <v>761</v>
      </c>
      <c r="F1974" s="154" t="s">
        <v>4840</v>
      </c>
      <c r="G1974" s="154">
        <v>5.56035377E8</v>
      </c>
      <c r="H1974" s="156">
        <v>0.0</v>
      </c>
      <c r="I1974" s="156">
        <v>0.0</v>
      </c>
      <c r="J1974" s="156">
        <v>0.0</v>
      </c>
      <c r="K1974" s="154" t="s">
        <v>223</v>
      </c>
    </row>
    <row r="1975">
      <c r="A1975" s="154" t="s">
        <v>4838</v>
      </c>
      <c r="B1975" s="155"/>
      <c r="C1975" s="154" t="s">
        <v>4839</v>
      </c>
      <c r="D1975" s="155"/>
      <c r="E1975" s="155"/>
      <c r="F1975" s="154" t="s">
        <v>4841</v>
      </c>
      <c r="G1975" s="154">
        <v>0.0</v>
      </c>
      <c r="H1975" s="156">
        <v>0.0</v>
      </c>
      <c r="I1975" s="154">
        <v>9.71506545048E11</v>
      </c>
      <c r="J1975" s="156">
        <v>0.0</v>
      </c>
      <c r="K1975" s="154" t="s">
        <v>223</v>
      </c>
    </row>
    <row r="1976">
      <c r="A1976" s="154" t="s">
        <v>4842</v>
      </c>
      <c r="B1976" s="155"/>
      <c r="C1976" s="154" t="s">
        <v>4843</v>
      </c>
      <c r="D1976" s="155"/>
      <c r="E1976" s="155"/>
      <c r="F1976" s="154" t="s">
        <v>4844</v>
      </c>
      <c r="G1976" s="154">
        <v>4.8812222E7</v>
      </c>
      <c r="H1976" s="156">
        <v>0.0</v>
      </c>
      <c r="I1976" s="154">
        <v>5.06501355E8</v>
      </c>
      <c r="J1976" s="156">
        <v>0.0</v>
      </c>
      <c r="K1976" s="154" t="s">
        <v>259</v>
      </c>
    </row>
    <row r="1977">
      <c r="A1977" s="154" t="s">
        <v>4842</v>
      </c>
      <c r="B1977" s="154" t="s">
        <v>4843</v>
      </c>
      <c r="D1977" s="154">
        <v>2.0</v>
      </c>
      <c r="E1977" s="154" t="s">
        <v>761</v>
      </c>
      <c r="F1977" s="154" t="s">
        <v>4844</v>
      </c>
      <c r="G1977" s="154">
        <v>4.8812222E7</v>
      </c>
      <c r="H1977" s="156">
        <v>0.0</v>
      </c>
      <c r="I1977" s="154">
        <v>5.06501355E8</v>
      </c>
      <c r="J1977" s="156">
        <v>0.0</v>
      </c>
      <c r="K1977" s="154" t="s">
        <v>259</v>
      </c>
    </row>
    <row r="1978">
      <c r="A1978" s="154" t="s">
        <v>4845</v>
      </c>
      <c r="B1978" s="154" t="s">
        <v>4846</v>
      </c>
      <c r="D1978" s="154">
        <v>2.0</v>
      </c>
      <c r="E1978" s="154" t="s">
        <v>761</v>
      </c>
      <c r="F1978" s="154" t="s">
        <v>4847</v>
      </c>
      <c r="G1978" s="154">
        <v>5.06568707E8</v>
      </c>
      <c r="H1978" s="156">
        <v>0.0</v>
      </c>
      <c r="I1978" s="154">
        <v>9.71505510678E11</v>
      </c>
      <c r="J1978" s="156">
        <v>0.0</v>
      </c>
      <c r="K1978" s="154" t="s">
        <v>197</v>
      </c>
    </row>
    <row r="1979">
      <c r="A1979" s="154" t="s">
        <v>4845</v>
      </c>
      <c r="B1979" s="155"/>
      <c r="C1979" s="154" t="s">
        <v>4846</v>
      </c>
      <c r="D1979" s="155"/>
      <c r="E1979" s="155"/>
      <c r="F1979" s="154" t="s">
        <v>4847</v>
      </c>
      <c r="G1979" s="154">
        <v>5.06568707E8</v>
      </c>
      <c r="H1979" s="156">
        <v>0.0</v>
      </c>
      <c r="I1979" s="154">
        <v>9.71505510678E11</v>
      </c>
      <c r="J1979" s="156">
        <v>0.0</v>
      </c>
      <c r="K1979" s="154" t="s">
        <v>197</v>
      </c>
    </row>
    <row r="1980">
      <c r="A1980" s="154" t="s">
        <v>4848</v>
      </c>
      <c r="B1980" s="155"/>
      <c r="C1980" s="154" t="s">
        <v>4849</v>
      </c>
      <c r="D1980" s="155"/>
      <c r="E1980" s="155"/>
      <c r="F1980" s="154" t="s">
        <v>4850</v>
      </c>
      <c r="G1980" s="154">
        <v>4.3595953E7</v>
      </c>
      <c r="H1980" s="156">
        <v>0.0</v>
      </c>
      <c r="I1980" s="154">
        <v>5.09185822E8</v>
      </c>
      <c r="J1980" s="156">
        <v>0.0</v>
      </c>
      <c r="K1980" s="154" t="s">
        <v>361</v>
      </c>
    </row>
    <row r="1981">
      <c r="A1981" s="154" t="s">
        <v>4848</v>
      </c>
      <c r="B1981" s="154" t="s">
        <v>4849</v>
      </c>
      <c r="D1981" s="154">
        <v>2.0</v>
      </c>
      <c r="E1981" s="154" t="s">
        <v>761</v>
      </c>
      <c r="F1981" s="154" t="s">
        <v>4850</v>
      </c>
      <c r="G1981" s="154">
        <v>4.3595953E7</v>
      </c>
      <c r="H1981" s="156">
        <v>0.0</v>
      </c>
      <c r="I1981" s="154">
        <v>5.09185822E8</v>
      </c>
      <c r="J1981" s="156">
        <v>0.0</v>
      </c>
      <c r="K1981" s="154" t="s">
        <v>361</v>
      </c>
    </row>
    <row r="1982">
      <c r="A1982" s="154" t="s">
        <v>4851</v>
      </c>
      <c r="B1982" s="155"/>
      <c r="C1982" s="154" t="s">
        <v>4852</v>
      </c>
      <c r="D1982" s="155"/>
      <c r="E1982" s="155"/>
      <c r="F1982" s="154" t="s">
        <v>4853</v>
      </c>
      <c r="G1982" s="154">
        <v>5.66869161E8</v>
      </c>
      <c r="H1982" s="156">
        <v>0.0</v>
      </c>
      <c r="I1982" s="156">
        <v>0.0</v>
      </c>
      <c r="J1982" s="156">
        <v>0.0</v>
      </c>
      <c r="K1982" s="154" t="s">
        <v>206</v>
      </c>
    </row>
    <row r="1983">
      <c r="A1983" s="154" t="s">
        <v>4851</v>
      </c>
      <c r="B1983" s="154" t="s">
        <v>4852</v>
      </c>
      <c r="D1983" s="154">
        <v>2.0</v>
      </c>
      <c r="E1983" s="154" t="s">
        <v>761</v>
      </c>
      <c r="F1983" s="154" t="s">
        <v>4853</v>
      </c>
      <c r="G1983" s="154">
        <v>5.66869161E8</v>
      </c>
      <c r="H1983" s="156">
        <v>0.0</v>
      </c>
      <c r="I1983" s="156">
        <v>0.0</v>
      </c>
      <c r="J1983" s="156">
        <v>0.0</v>
      </c>
      <c r="K1983" s="154" t="s">
        <v>206</v>
      </c>
    </row>
    <row r="1984">
      <c r="A1984" s="154" t="s">
        <v>4854</v>
      </c>
      <c r="B1984" s="154" t="s">
        <v>4855</v>
      </c>
      <c r="D1984" s="154">
        <v>2.0</v>
      </c>
      <c r="E1984" s="154" t="s">
        <v>761</v>
      </c>
      <c r="F1984" s="154" t="s">
        <v>792</v>
      </c>
      <c r="G1984" s="154" t="s">
        <v>793</v>
      </c>
      <c r="H1984" s="154" t="s">
        <v>794</v>
      </c>
      <c r="I1984" s="156">
        <v>0.0</v>
      </c>
      <c r="J1984" s="156">
        <v>0.0</v>
      </c>
      <c r="K1984" s="156">
        <v>0.0</v>
      </c>
    </row>
    <row r="1985">
      <c r="A1985" s="154" t="s">
        <v>4854</v>
      </c>
      <c r="B1985" s="155"/>
      <c r="C1985" s="154" t="s">
        <v>4855</v>
      </c>
      <c r="D1985" s="155"/>
      <c r="E1985" s="155"/>
      <c r="F1985" s="154" t="s">
        <v>792</v>
      </c>
      <c r="G1985" s="154" t="s">
        <v>793</v>
      </c>
      <c r="H1985" s="154" t="s">
        <v>794</v>
      </c>
      <c r="I1985" s="156">
        <v>0.0</v>
      </c>
      <c r="J1985" s="156">
        <v>0.0</v>
      </c>
      <c r="K1985" s="156">
        <v>0.0</v>
      </c>
    </row>
    <row r="1986">
      <c r="A1986" s="154" t="s">
        <v>4856</v>
      </c>
      <c r="B1986" s="155"/>
      <c r="C1986" s="154" t="s">
        <v>4857</v>
      </c>
      <c r="D1986" s="155"/>
      <c r="E1986" s="155"/>
      <c r="F1986" s="154" t="s">
        <v>4858</v>
      </c>
      <c r="G1986" s="156">
        <v>0.0</v>
      </c>
      <c r="H1986" s="156">
        <v>0.0</v>
      </c>
      <c r="I1986" s="154">
        <v>5.04599401E8</v>
      </c>
      <c r="J1986" s="156">
        <v>0.0</v>
      </c>
      <c r="K1986" s="154" t="s">
        <v>846</v>
      </c>
    </row>
    <row r="1987">
      <c r="A1987" s="154" t="s">
        <v>4856</v>
      </c>
      <c r="B1987" s="154" t="s">
        <v>4857</v>
      </c>
      <c r="D1987" s="154">
        <v>2.0</v>
      </c>
      <c r="E1987" s="154" t="s">
        <v>761</v>
      </c>
      <c r="F1987" s="154" t="s">
        <v>4858</v>
      </c>
      <c r="G1987" s="156">
        <v>0.0</v>
      </c>
      <c r="H1987" s="156">
        <v>0.0</v>
      </c>
      <c r="I1987" s="154">
        <v>5.04599401E8</v>
      </c>
      <c r="J1987" s="156">
        <v>0.0</v>
      </c>
      <c r="K1987" s="154" t="s">
        <v>846</v>
      </c>
    </row>
    <row r="1988">
      <c r="A1988" s="154" t="s">
        <v>4859</v>
      </c>
      <c r="B1988" s="154" t="s">
        <v>4860</v>
      </c>
      <c r="D1988" s="154">
        <v>2.0</v>
      </c>
      <c r="E1988" s="154" t="s">
        <v>761</v>
      </c>
      <c r="F1988" s="154" t="s">
        <v>4861</v>
      </c>
      <c r="G1988" s="154">
        <v>5.05531017E8</v>
      </c>
      <c r="H1988" s="156">
        <v>0.0</v>
      </c>
      <c r="I1988" s="154">
        <v>9.71504268362E11</v>
      </c>
      <c r="J1988" s="156">
        <v>0.0</v>
      </c>
      <c r="K1988" s="154" t="s">
        <v>341</v>
      </c>
    </row>
    <row r="1989">
      <c r="A1989" s="154" t="s">
        <v>4859</v>
      </c>
      <c r="B1989" s="155"/>
      <c r="C1989" s="154" t="s">
        <v>4860</v>
      </c>
      <c r="D1989" s="155"/>
      <c r="E1989" s="155"/>
      <c r="F1989" s="154" t="s">
        <v>4861</v>
      </c>
      <c r="G1989" s="154">
        <v>5.05531017E8</v>
      </c>
      <c r="H1989" s="156">
        <v>0.0</v>
      </c>
      <c r="I1989" s="154">
        <v>9.71504268362E11</v>
      </c>
      <c r="J1989" s="156">
        <v>0.0</v>
      </c>
      <c r="K1989" s="154" t="s">
        <v>341</v>
      </c>
    </row>
    <row r="1990">
      <c r="A1990" s="154" t="s">
        <v>4862</v>
      </c>
      <c r="B1990" s="154" t="s">
        <v>4863</v>
      </c>
      <c r="D1990" s="154">
        <v>2.0</v>
      </c>
      <c r="E1990" s="154" t="s">
        <v>761</v>
      </c>
      <c r="F1990" s="154" t="s">
        <v>4864</v>
      </c>
      <c r="G1990" s="156">
        <v>0.0</v>
      </c>
      <c r="H1990" s="156">
        <v>0.0</v>
      </c>
      <c r="I1990" s="154" t="s">
        <v>4865</v>
      </c>
      <c r="J1990" s="154" t="s">
        <v>809</v>
      </c>
      <c r="K1990" s="154" t="s">
        <v>760</v>
      </c>
    </row>
    <row r="1991">
      <c r="A1991" s="154" t="s">
        <v>4862</v>
      </c>
      <c r="B1991" s="155"/>
      <c r="C1991" s="154" t="s">
        <v>4863</v>
      </c>
      <c r="D1991" s="155"/>
      <c r="E1991" s="155"/>
      <c r="F1991" s="154" t="s">
        <v>4864</v>
      </c>
      <c r="G1991" s="156">
        <v>0.0</v>
      </c>
      <c r="H1991" s="156">
        <v>0.0</v>
      </c>
      <c r="I1991" s="154" t="s">
        <v>4865</v>
      </c>
      <c r="J1991" s="154" t="s">
        <v>809</v>
      </c>
      <c r="K1991" s="154" t="s">
        <v>760</v>
      </c>
    </row>
    <row r="1992">
      <c r="A1992" s="154" t="s">
        <v>4866</v>
      </c>
      <c r="B1992" s="154" t="s">
        <v>4867</v>
      </c>
      <c r="D1992" s="154">
        <v>2.0</v>
      </c>
      <c r="E1992" s="154" t="s">
        <v>761</v>
      </c>
      <c r="F1992" s="154" t="s">
        <v>4868</v>
      </c>
      <c r="G1992" s="154">
        <v>4.3911111E7</v>
      </c>
      <c r="H1992" s="156">
        <v>0.0</v>
      </c>
      <c r="I1992" s="154">
        <v>5.54965176E8</v>
      </c>
      <c r="J1992" s="156">
        <v>0.0</v>
      </c>
      <c r="K1992" s="154" t="s">
        <v>259</v>
      </c>
    </row>
    <row r="1993">
      <c r="A1993" s="154" t="s">
        <v>4866</v>
      </c>
      <c r="B1993" s="155"/>
      <c r="C1993" s="154" t="s">
        <v>4867</v>
      </c>
      <c r="D1993" s="155"/>
      <c r="E1993" s="155"/>
      <c r="F1993" s="154" t="s">
        <v>4868</v>
      </c>
      <c r="G1993" s="154">
        <v>4.3911111E7</v>
      </c>
      <c r="H1993" s="156">
        <v>0.0</v>
      </c>
      <c r="I1993" s="154">
        <v>5.54965176E8</v>
      </c>
      <c r="J1993" s="156">
        <v>0.0</v>
      </c>
      <c r="K1993" s="154" t="s">
        <v>259</v>
      </c>
    </row>
    <row r="1994">
      <c r="A1994" s="154" t="s">
        <v>4869</v>
      </c>
      <c r="B1994" s="154" t="s">
        <v>4870</v>
      </c>
      <c r="D1994" s="154">
        <v>2.0</v>
      </c>
      <c r="E1994" s="154" t="s">
        <v>761</v>
      </c>
      <c r="F1994" s="154" t="s">
        <v>4871</v>
      </c>
      <c r="G1994" s="154">
        <v>5.06251248E8</v>
      </c>
      <c r="H1994" s="156">
        <v>0.0</v>
      </c>
      <c r="I1994" s="154">
        <v>5.09472312E8</v>
      </c>
      <c r="J1994" s="156">
        <v>0.0</v>
      </c>
      <c r="K1994" s="154" t="s">
        <v>247</v>
      </c>
    </row>
    <row r="1995">
      <c r="A1995" s="154" t="s">
        <v>4869</v>
      </c>
      <c r="B1995" s="155"/>
      <c r="C1995" s="154" t="s">
        <v>4870</v>
      </c>
      <c r="D1995" s="155"/>
      <c r="E1995" s="155"/>
      <c r="F1995" s="154" t="s">
        <v>4871</v>
      </c>
      <c r="G1995" s="154">
        <v>5.06251248E8</v>
      </c>
      <c r="H1995" s="156">
        <v>0.0</v>
      </c>
      <c r="I1995" s="154">
        <v>5.09472312E8</v>
      </c>
      <c r="J1995" s="156">
        <v>0.0</v>
      </c>
      <c r="K1995" s="154" t="s">
        <v>247</v>
      </c>
    </row>
    <row r="1996">
      <c r="A1996" s="154" t="s">
        <v>4872</v>
      </c>
      <c r="B1996" s="155"/>
      <c r="C1996" s="154" t="s">
        <v>4873</v>
      </c>
      <c r="D1996" s="155"/>
      <c r="E1996" s="155"/>
      <c r="F1996" s="154" t="s">
        <v>4874</v>
      </c>
      <c r="G1996" s="156">
        <v>0.0</v>
      </c>
      <c r="H1996" s="154" t="s">
        <v>4875</v>
      </c>
      <c r="I1996" s="154" t="s">
        <v>4876</v>
      </c>
      <c r="J1996" s="156">
        <v>0.0</v>
      </c>
      <c r="K1996" s="154" t="s">
        <v>846</v>
      </c>
    </row>
    <row r="1997">
      <c r="A1997" s="154" t="s">
        <v>4872</v>
      </c>
      <c r="B1997" s="154" t="s">
        <v>4873</v>
      </c>
      <c r="D1997" s="154">
        <v>2.0</v>
      </c>
      <c r="E1997" s="154" t="s">
        <v>761</v>
      </c>
      <c r="F1997" s="154" t="s">
        <v>4874</v>
      </c>
      <c r="G1997" s="156">
        <v>0.0</v>
      </c>
      <c r="H1997" s="154" t="s">
        <v>4875</v>
      </c>
      <c r="I1997" s="154" t="s">
        <v>4876</v>
      </c>
      <c r="J1997" s="156">
        <v>0.0</v>
      </c>
      <c r="K1997" s="154" t="s">
        <v>846</v>
      </c>
    </row>
    <row r="1998">
      <c r="A1998" s="154" t="s">
        <v>4877</v>
      </c>
      <c r="B1998" s="155"/>
      <c r="C1998" s="154" t="s">
        <v>4878</v>
      </c>
      <c r="D1998" s="155"/>
      <c r="E1998" s="155"/>
      <c r="F1998" s="154" t="s">
        <v>4879</v>
      </c>
      <c r="G1998" s="154">
        <v>5.52215649E8</v>
      </c>
      <c r="H1998" s="156">
        <v>0.0</v>
      </c>
      <c r="I1998" s="156">
        <v>0.0</v>
      </c>
      <c r="J1998" s="156">
        <v>0.0</v>
      </c>
      <c r="K1998" s="154" t="s">
        <v>361</v>
      </c>
    </row>
    <row r="1999">
      <c r="A1999" s="154" t="s">
        <v>4877</v>
      </c>
      <c r="B1999" s="154" t="s">
        <v>4878</v>
      </c>
      <c r="D1999" s="154">
        <v>2.0</v>
      </c>
      <c r="E1999" s="154" t="s">
        <v>761</v>
      </c>
      <c r="F1999" s="154" t="s">
        <v>4879</v>
      </c>
      <c r="G1999" s="154">
        <v>5.52215649E8</v>
      </c>
      <c r="H1999" s="156">
        <v>0.0</v>
      </c>
      <c r="I1999" s="156">
        <v>0.0</v>
      </c>
      <c r="J1999" s="156">
        <v>0.0</v>
      </c>
      <c r="K1999" s="154" t="s">
        <v>361</v>
      </c>
    </row>
    <row r="2000">
      <c r="A2000" s="154" t="s">
        <v>4880</v>
      </c>
      <c r="B2000" s="155"/>
      <c r="C2000" s="154" t="s">
        <v>4881</v>
      </c>
      <c r="D2000" s="155"/>
      <c r="E2000" s="155"/>
      <c r="F2000" s="154" t="s">
        <v>4882</v>
      </c>
      <c r="G2000" s="154">
        <v>0.0</v>
      </c>
      <c r="H2000" s="156">
        <v>0.0</v>
      </c>
      <c r="I2000" s="154">
        <v>9.94502110466E11</v>
      </c>
      <c r="J2000" s="156">
        <v>0.0</v>
      </c>
      <c r="K2000" s="154" t="s">
        <v>4883</v>
      </c>
    </row>
    <row r="2001">
      <c r="A2001" s="154" t="s">
        <v>4880</v>
      </c>
      <c r="B2001" s="154" t="s">
        <v>4881</v>
      </c>
      <c r="D2001" s="154">
        <v>2.0</v>
      </c>
      <c r="E2001" s="154" t="s">
        <v>761</v>
      </c>
      <c r="F2001" s="154" t="s">
        <v>4882</v>
      </c>
      <c r="G2001" s="154">
        <v>0.0</v>
      </c>
      <c r="H2001" s="156">
        <v>0.0</v>
      </c>
      <c r="I2001" s="154">
        <v>9.94502110466E11</v>
      </c>
      <c r="J2001" s="156">
        <v>0.0</v>
      </c>
      <c r="K2001" s="154" t="s">
        <v>4883</v>
      </c>
    </row>
    <row r="2002">
      <c r="A2002" s="154" t="s">
        <v>4884</v>
      </c>
      <c r="B2002" s="155"/>
      <c r="C2002" s="154" t="s">
        <v>4885</v>
      </c>
      <c r="D2002" s="155"/>
      <c r="E2002" s="155"/>
      <c r="F2002" s="154" t="s">
        <v>4886</v>
      </c>
      <c r="G2002" s="156">
        <v>0.0</v>
      </c>
      <c r="H2002" s="154" t="s">
        <v>4887</v>
      </c>
      <c r="I2002" s="154" t="s">
        <v>4888</v>
      </c>
      <c r="J2002" s="154" t="s">
        <v>4889</v>
      </c>
      <c r="K2002" s="154" t="s">
        <v>760</v>
      </c>
    </row>
    <row r="2003">
      <c r="A2003" s="154" t="s">
        <v>4884</v>
      </c>
      <c r="B2003" s="154" t="s">
        <v>4885</v>
      </c>
      <c r="D2003" s="154">
        <v>2.0</v>
      </c>
      <c r="E2003" s="154" t="s">
        <v>761</v>
      </c>
      <c r="F2003" s="154" t="s">
        <v>4886</v>
      </c>
      <c r="G2003" s="156">
        <v>0.0</v>
      </c>
      <c r="H2003" s="154" t="s">
        <v>4887</v>
      </c>
      <c r="I2003" s="154" t="s">
        <v>4888</v>
      </c>
      <c r="J2003" s="154" t="s">
        <v>4889</v>
      </c>
      <c r="K2003" s="154" t="s">
        <v>760</v>
      </c>
    </row>
    <row r="2004">
      <c r="A2004" s="154" t="s">
        <v>4890</v>
      </c>
      <c r="B2004" s="154" t="s">
        <v>4891</v>
      </c>
      <c r="D2004" s="154">
        <v>2.0</v>
      </c>
      <c r="E2004" s="154" t="s">
        <v>761</v>
      </c>
      <c r="F2004" s="154" t="s">
        <v>4892</v>
      </c>
      <c r="G2004" s="154">
        <v>0.0</v>
      </c>
      <c r="H2004" s="156">
        <v>0.0</v>
      </c>
      <c r="I2004" s="154">
        <v>9.62799812748E11</v>
      </c>
      <c r="J2004" s="156">
        <v>0.0</v>
      </c>
      <c r="K2004" s="154" t="s">
        <v>846</v>
      </c>
    </row>
    <row r="2005">
      <c r="A2005" s="154" t="s">
        <v>4890</v>
      </c>
      <c r="B2005" s="155"/>
      <c r="C2005" s="154" t="s">
        <v>4891</v>
      </c>
      <c r="D2005" s="155"/>
      <c r="E2005" s="155"/>
      <c r="F2005" s="154" t="s">
        <v>4892</v>
      </c>
      <c r="G2005" s="154">
        <v>0.0</v>
      </c>
      <c r="H2005" s="156">
        <v>0.0</v>
      </c>
      <c r="I2005" s="154">
        <v>9.62799812748E11</v>
      </c>
      <c r="J2005" s="156">
        <v>0.0</v>
      </c>
      <c r="K2005" s="154" t="s">
        <v>846</v>
      </c>
    </row>
    <row r="2006">
      <c r="A2006" s="154" t="s">
        <v>4893</v>
      </c>
      <c r="B2006" s="154" t="s">
        <v>4894</v>
      </c>
      <c r="D2006" s="154">
        <v>2.0</v>
      </c>
      <c r="E2006" s="154" t="s">
        <v>761</v>
      </c>
      <c r="F2006" s="154" t="s">
        <v>4895</v>
      </c>
      <c r="G2006" s="154" t="s">
        <v>4896</v>
      </c>
      <c r="H2006" s="154" t="s">
        <v>4602</v>
      </c>
      <c r="I2006" s="154" t="s">
        <v>4897</v>
      </c>
      <c r="J2006" s="156">
        <v>0.0</v>
      </c>
      <c r="K2006" s="154" t="s">
        <v>361</v>
      </c>
    </row>
    <row r="2007">
      <c r="A2007" s="154" t="s">
        <v>4893</v>
      </c>
      <c r="B2007" s="155"/>
      <c r="C2007" s="154" t="s">
        <v>4894</v>
      </c>
      <c r="D2007" s="155"/>
      <c r="E2007" s="155"/>
      <c r="F2007" s="154" t="s">
        <v>4898</v>
      </c>
      <c r="G2007" s="154" t="s">
        <v>4899</v>
      </c>
      <c r="H2007" s="154" t="s">
        <v>4602</v>
      </c>
      <c r="I2007" s="154" t="s">
        <v>4900</v>
      </c>
      <c r="J2007" s="156">
        <v>0.0</v>
      </c>
      <c r="K2007" s="154" t="s">
        <v>361</v>
      </c>
    </row>
    <row r="2008">
      <c r="A2008" s="154" t="s">
        <v>4901</v>
      </c>
      <c r="B2008" s="155"/>
      <c r="C2008" s="154" t="s">
        <v>4902</v>
      </c>
      <c r="D2008" s="155"/>
      <c r="E2008" s="155"/>
      <c r="F2008" s="154" t="s">
        <v>4903</v>
      </c>
      <c r="G2008" s="154">
        <v>5.06245362E8</v>
      </c>
      <c r="H2008" s="156">
        <v>0.0</v>
      </c>
      <c r="I2008" s="154">
        <v>5.06245362E8</v>
      </c>
      <c r="J2008" s="156">
        <v>0.0</v>
      </c>
      <c r="K2008" s="154" t="s">
        <v>197</v>
      </c>
    </row>
    <row r="2009">
      <c r="A2009" s="154" t="s">
        <v>4901</v>
      </c>
      <c r="B2009" s="154" t="s">
        <v>4902</v>
      </c>
      <c r="D2009" s="154">
        <v>2.0</v>
      </c>
      <c r="E2009" s="154" t="s">
        <v>761</v>
      </c>
      <c r="F2009" s="154" t="s">
        <v>4903</v>
      </c>
      <c r="G2009" s="154">
        <v>5.06245362E8</v>
      </c>
      <c r="H2009" s="156">
        <v>0.0</v>
      </c>
      <c r="I2009" s="154">
        <v>5.06245362E8</v>
      </c>
      <c r="J2009" s="156">
        <v>0.0</v>
      </c>
      <c r="K2009" s="154" t="s">
        <v>197</v>
      </c>
    </row>
    <row r="2010">
      <c r="A2010" s="154" t="s">
        <v>4904</v>
      </c>
      <c r="B2010" s="155"/>
      <c r="C2010" s="154" t="s">
        <v>4905</v>
      </c>
      <c r="D2010" s="155"/>
      <c r="E2010" s="155"/>
      <c r="F2010" s="154" t="s">
        <v>4906</v>
      </c>
      <c r="G2010" s="156">
        <v>0.0</v>
      </c>
      <c r="H2010" s="154" t="s">
        <v>4907</v>
      </c>
      <c r="I2010" s="154" t="s">
        <v>4908</v>
      </c>
      <c r="J2010" s="154" t="s">
        <v>4909</v>
      </c>
      <c r="K2010" s="154" t="s">
        <v>361</v>
      </c>
    </row>
    <row r="2011">
      <c r="A2011" s="154" t="s">
        <v>4904</v>
      </c>
      <c r="B2011" s="154" t="s">
        <v>4905</v>
      </c>
      <c r="D2011" s="154">
        <v>2.0</v>
      </c>
      <c r="E2011" s="154" t="s">
        <v>761</v>
      </c>
      <c r="F2011" s="154" t="s">
        <v>4906</v>
      </c>
      <c r="G2011" s="156">
        <v>0.0</v>
      </c>
      <c r="H2011" s="154" t="s">
        <v>4907</v>
      </c>
      <c r="I2011" s="154" t="s">
        <v>4908</v>
      </c>
      <c r="J2011" s="154" t="s">
        <v>4909</v>
      </c>
      <c r="K2011" s="154" t="s">
        <v>361</v>
      </c>
    </row>
    <row r="2012">
      <c r="A2012" s="154" t="s">
        <v>4910</v>
      </c>
      <c r="B2012" s="155"/>
      <c r="C2012" s="154" t="s">
        <v>4911</v>
      </c>
      <c r="D2012" s="155"/>
      <c r="E2012" s="155"/>
      <c r="F2012" s="154" t="s">
        <v>2769</v>
      </c>
      <c r="G2012" s="156">
        <v>0.0</v>
      </c>
      <c r="H2012" s="156">
        <v>0.0</v>
      </c>
      <c r="I2012" s="154" t="s">
        <v>2770</v>
      </c>
      <c r="J2012" s="154" t="s">
        <v>2771</v>
      </c>
      <c r="K2012" s="154" t="s">
        <v>1426</v>
      </c>
    </row>
    <row r="2013">
      <c r="A2013" s="154" t="s">
        <v>4910</v>
      </c>
      <c r="B2013" s="154" t="s">
        <v>4911</v>
      </c>
      <c r="D2013" s="154">
        <v>2.0</v>
      </c>
      <c r="E2013" s="154" t="s">
        <v>761</v>
      </c>
      <c r="F2013" s="154" t="s">
        <v>2769</v>
      </c>
      <c r="G2013" s="156">
        <v>0.0</v>
      </c>
      <c r="H2013" s="156">
        <v>0.0</v>
      </c>
      <c r="I2013" s="154" t="s">
        <v>2770</v>
      </c>
      <c r="J2013" s="154" t="s">
        <v>2771</v>
      </c>
      <c r="K2013" s="154" t="s">
        <v>1426</v>
      </c>
    </row>
    <row r="2014">
      <c r="A2014" s="154" t="s">
        <v>4912</v>
      </c>
      <c r="B2014" s="154" t="s">
        <v>4913</v>
      </c>
      <c r="D2014" s="154">
        <v>2.0</v>
      </c>
      <c r="E2014" s="154" t="s">
        <v>761</v>
      </c>
      <c r="F2014" s="154" t="s">
        <v>4914</v>
      </c>
      <c r="G2014" s="154" t="s">
        <v>4915</v>
      </c>
      <c r="H2014" s="156">
        <v>0.0</v>
      </c>
      <c r="I2014" s="156">
        <v>0.0</v>
      </c>
      <c r="J2014" s="156">
        <v>0.0</v>
      </c>
      <c r="K2014" s="156">
        <v>0.0</v>
      </c>
    </row>
    <row r="2015">
      <c r="A2015" s="154" t="s">
        <v>4912</v>
      </c>
      <c r="B2015" s="155"/>
      <c r="C2015" s="154" t="s">
        <v>4913</v>
      </c>
      <c r="D2015" s="155"/>
      <c r="E2015" s="155"/>
      <c r="F2015" s="154" t="s">
        <v>4914</v>
      </c>
      <c r="G2015" s="154" t="s">
        <v>4915</v>
      </c>
      <c r="H2015" s="156">
        <v>0.0</v>
      </c>
      <c r="I2015" s="156">
        <v>0.0</v>
      </c>
      <c r="J2015" s="156">
        <v>0.0</v>
      </c>
      <c r="K2015" s="156">
        <v>0.0</v>
      </c>
    </row>
    <row r="2016">
      <c r="A2016" s="154" t="s">
        <v>4916</v>
      </c>
      <c r="B2016" s="154" t="s">
        <v>4917</v>
      </c>
      <c r="D2016" s="154">
        <v>2.0</v>
      </c>
      <c r="E2016" s="154" t="s">
        <v>761</v>
      </c>
      <c r="F2016" s="154" t="s">
        <v>4918</v>
      </c>
      <c r="G2016" s="154">
        <v>4.3911111E7</v>
      </c>
      <c r="H2016" s="156">
        <v>0.0</v>
      </c>
      <c r="I2016" s="154">
        <v>5.28854549E8</v>
      </c>
      <c r="J2016" s="156">
        <v>0.0</v>
      </c>
      <c r="K2016" s="154" t="s">
        <v>206</v>
      </c>
    </row>
    <row r="2017">
      <c r="A2017" s="154" t="s">
        <v>4916</v>
      </c>
      <c r="B2017" s="155"/>
      <c r="C2017" s="154" t="s">
        <v>4917</v>
      </c>
      <c r="D2017" s="155"/>
      <c r="E2017" s="155"/>
      <c r="F2017" s="154" t="s">
        <v>4918</v>
      </c>
      <c r="G2017" s="154">
        <v>4.3911111E7</v>
      </c>
      <c r="H2017" s="156">
        <v>0.0</v>
      </c>
      <c r="I2017" s="154">
        <v>5.28854549E8</v>
      </c>
      <c r="J2017" s="156">
        <v>0.0</v>
      </c>
      <c r="K2017" s="154" t="s">
        <v>206</v>
      </c>
    </row>
    <row r="2018">
      <c r="A2018" s="154" t="s">
        <v>4919</v>
      </c>
      <c r="B2018" s="154" t="s">
        <v>4920</v>
      </c>
      <c r="D2018" s="154">
        <v>2.0</v>
      </c>
      <c r="E2018" s="154" t="s">
        <v>761</v>
      </c>
      <c r="F2018" s="154" t="s">
        <v>4921</v>
      </c>
      <c r="G2018" s="154">
        <v>5.04565318E8</v>
      </c>
      <c r="H2018" s="156">
        <v>0.0</v>
      </c>
      <c r="I2018" s="154">
        <v>5.04565318E8</v>
      </c>
      <c r="J2018" s="156">
        <v>0.0</v>
      </c>
      <c r="K2018" s="154" t="s">
        <v>760</v>
      </c>
    </row>
    <row r="2019">
      <c r="A2019" s="154" t="s">
        <v>4919</v>
      </c>
      <c r="B2019" s="155"/>
      <c r="C2019" s="154" t="s">
        <v>4920</v>
      </c>
      <c r="D2019" s="155"/>
      <c r="E2019" s="155"/>
      <c r="F2019" s="154" t="s">
        <v>4921</v>
      </c>
      <c r="G2019" s="154">
        <v>5.04565318E8</v>
      </c>
      <c r="H2019" s="156">
        <v>0.0</v>
      </c>
      <c r="I2019" s="154">
        <v>5.04565318E8</v>
      </c>
      <c r="J2019" s="156">
        <v>0.0</v>
      </c>
      <c r="K2019" s="154" t="s">
        <v>760</v>
      </c>
    </row>
    <row r="2020">
      <c r="A2020" s="154" t="s">
        <v>4922</v>
      </c>
      <c r="B2020" s="154" t="s">
        <v>4923</v>
      </c>
      <c r="D2020" s="154">
        <v>2.0</v>
      </c>
      <c r="E2020" s="154" t="s">
        <v>761</v>
      </c>
      <c r="F2020" s="154" t="s">
        <v>4924</v>
      </c>
      <c r="G2020" s="156">
        <v>0.0</v>
      </c>
      <c r="H2020" s="156">
        <v>0.0</v>
      </c>
      <c r="I2020" s="154" t="s">
        <v>4925</v>
      </c>
      <c r="J2020" s="154" t="s">
        <v>4926</v>
      </c>
      <c r="K2020" s="154" t="s">
        <v>760</v>
      </c>
    </row>
    <row r="2021">
      <c r="A2021" s="154" t="s">
        <v>4922</v>
      </c>
      <c r="B2021" s="155"/>
      <c r="C2021" s="154" t="s">
        <v>4923</v>
      </c>
      <c r="D2021" s="155"/>
      <c r="E2021" s="155"/>
      <c r="F2021" s="154" t="s">
        <v>4924</v>
      </c>
      <c r="G2021" s="156">
        <v>0.0</v>
      </c>
      <c r="H2021" s="156">
        <v>0.0</v>
      </c>
      <c r="I2021" s="154" t="s">
        <v>4925</v>
      </c>
      <c r="J2021" s="154" t="s">
        <v>4926</v>
      </c>
      <c r="K2021" s="154" t="s">
        <v>760</v>
      </c>
    </row>
    <row r="2022">
      <c r="A2022" s="154" t="s">
        <v>4927</v>
      </c>
      <c r="B2022" s="154" t="s">
        <v>4928</v>
      </c>
      <c r="D2022" s="154">
        <v>2.0</v>
      </c>
      <c r="E2022" s="154" t="s">
        <v>761</v>
      </c>
      <c r="F2022" s="154" t="s">
        <v>4929</v>
      </c>
      <c r="G2022" s="156">
        <v>0.0</v>
      </c>
      <c r="H2022" s="156">
        <v>0.0</v>
      </c>
      <c r="I2022" s="154">
        <v>9.71507416182E11</v>
      </c>
      <c r="J2022" s="156">
        <v>0.0</v>
      </c>
      <c r="K2022" s="154" t="s">
        <v>240</v>
      </c>
    </row>
    <row r="2023">
      <c r="A2023" s="154" t="s">
        <v>4927</v>
      </c>
      <c r="B2023" s="155"/>
      <c r="C2023" s="154" t="s">
        <v>4928</v>
      </c>
      <c r="D2023" s="155"/>
      <c r="E2023" s="155"/>
      <c r="F2023" s="154" t="s">
        <v>4929</v>
      </c>
      <c r="G2023" s="156">
        <v>0.0</v>
      </c>
      <c r="H2023" s="156">
        <v>0.0</v>
      </c>
      <c r="I2023" s="154">
        <v>9.71507416182E11</v>
      </c>
      <c r="J2023" s="156">
        <v>0.0</v>
      </c>
      <c r="K2023" s="154" t="s">
        <v>240</v>
      </c>
    </row>
    <row r="2024">
      <c r="A2024" s="154" t="s">
        <v>4930</v>
      </c>
      <c r="B2024" s="154" t="s">
        <v>4931</v>
      </c>
      <c r="D2024" s="154">
        <v>2.0</v>
      </c>
      <c r="E2024" s="154" t="s">
        <v>761</v>
      </c>
      <c r="F2024" s="154" t="s">
        <v>4932</v>
      </c>
      <c r="G2024" s="154">
        <v>5.54096002E8</v>
      </c>
      <c r="H2024" s="156">
        <v>0.0</v>
      </c>
      <c r="I2024" s="156">
        <v>0.0</v>
      </c>
      <c r="J2024" s="156">
        <v>0.0</v>
      </c>
      <c r="K2024" s="154" t="s">
        <v>760</v>
      </c>
    </row>
    <row r="2025">
      <c r="A2025" s="154" t="s">
        <v>4930</v>
      </c>
      <c r="B2025" s="155"/>
      <c r="C2025" s="154" t="s">
        <v>4931</v>
      </c>
      <c r="D2025" s="155"/>
      <c r="E2025" s="155"/>
      <c r="F2025" s="154" t="s">
        <v>4932</v>
      </c>
      <c r="G2025" s="154">
        <v>5.54096002E8</v>
      </c>
      <c r="H2025" s="156">
        <v>0.0</v>
      </c>
      <c r="I2025" s="156">
        <v>0.0</v>
      </c>
      <c r="J2025" s="156">
        <v>0.0</v>
      </c>
      <c r="K2025" s="154" t="s">
        <v>760</v>
      </c>
    </row>
    <row r="2026">
      <c r="A2026" s="154" t="s">
        <v>4933</v>
      </c>
      <c r="B2026" s="154" t="s">
        <v>4934</v>
      </c>
      <c r="D2026" s="154">
        <v>2.0</v>
      </c>
      <c r="E2026" s="154" t="s">
        <v>761</v>
      </c>
      <c r="F2026" s="154" t="s">
        <v>4935</v>
      </c>
      <c r="G2026" s="156">
        <v>0.0</v>
      </c>
      <c r="H2026" s="156">
        <v>0.0</v>
      </c>
      <c r="I2026" s="154">
        <v>5.05572889E8</v>
      </c>
      <c r="J2026" s="156">
        <v>0.0</v>
      </c>
      <c r="K2026" s="154" t="s">
        <v>259</v>
      </c>
    </row>
    <row r="2027">
      <c r="A2027" s="154" t="s">
        <v>4933</v>
      </c>
      <c r="B2027" s="155"/>
      <c r="C2027" s="154" t="s">
        <v>4934</v>
      </c>
      <c r="D2027" s="155"/>
      <c r="E2027" s="155"/>
      <c r="F2027" s="154" t="s">
        <v>4935</v>
      </c>
      <c r="G2027" s="156">
        <v>0.0</v>
      </c>
      <c r="H2027" s="156">
        <v>0.0</v>
      </c>
      <c r="I2027" s="154">
        <v>5.05572889E8</v>
      </c>
      <c r="J2027" s="156">
        <v>0.0</v>
      </c>
      <c r="K2027" s="154" t="s">
        <v>259</v>
      </c>
    </row>
    <row r="2028">
      <c r="A2028" s="154" t="s">
        <v>4936</v>
      </c>
      <c r="B2028" s="154" t="s">
        <v>4937</v>
      </c>
      <c r="D2028" s="154">
        <v>2.0</v>
      </c>
      <c r="E2028" s="154" t="s">
        <v>761</v>
      </c>
      <c r="F2028" s="154" t="s">
        <v>4938</v>
      </c>
      <c r="G2028" s="154" t="s">
        <v>4939</v>
      </c>
      <c r="H2028" s="156">
        <v>0.0</v>
      </c>
      <c r="I2028" s="156">
        <v>0.0</v>
      </c>
      <c r="J2028" s="156">
        <v>0.0</v>
      </c>
      <c r="K2028" s="156">
        <v>0.0</v>
      </c>
    </row>
    <row r="2029">
      <c r="A2029" s="154" t="s">
        <v>4936</v>
      </c>
      <c r="B2029" s="155"/>
      <c r="C2029" s="154" t="s">
        <v>4937</v>
      </c>
      <c r="D2029" s="155"/>
      <c r="E2029" s="155"/>
      <c r="F2029" s="154" t="s">
        <v>4938</v>
      </c>
      <c r="G2029" s="154" t="s">
        <v>4939</v>
      </c>
      <c r="H2029" s="156">
        <v>0.0</v>
      </c>
      <c r="I2029" s="156">
        <v>0.0</v>
      </c>
      <c r="J2029" s="156">
        <v>0.0</v>
      </c>
      <c r="K2029" s="156">
        <v>0.0</v>
      </c>
    </row>
    <row r="2030">
      <c r="A2030" s="154" t="s">
        <v>4940</v>
      </c>
      <c r="B2030" s="155"/>
      <c r="C2030" s="154" t="s">
        <v>4941</v>
      </c>
      <c r="D2030" s="155"/>
      <c r="E2030" s="155"/>
      <c r="F2030" s="154" t="s">
        <v>4942</v>
      </c>
      <c r="G2030" s="154">
        <v>6.5314478E7</v>
      </c>
      <c r="H2030" s="156">
        <v>0.0</v>
      </c>
      <c r="I2030" s="154">
        <v>9.71508982316E11</v>
      </c>
      <c r="J2030" s="156">
        <v>0.0</v>
      </c>
      <c r="K2030" s="154" t="s">
        <v>361</v>
      </c>
    </row>
    <row r="2031">
      <c r="A2031" s="154" t="s">
        <v>4940</v>
      </c>
      <c r="B2031" s="154" t="s">
        <v>4941</v>
      </c>
      <c r="D2031" s="154">
        <v>2.0</v>
      </c>
      <c r="E2031" s="154" t="s">
        <v>761</v>
      </c>
      <c r="F2031" s="154" t="s">
        <v>4942</v>
      </c>
      <c r="G2031" s="154">
        <v>6.5314478E7</v>
      </c>
      <c r="H2031" s="156">
        <v>0.0</v>
      </c>
      <c r="I2031" s="154">
        <v>9.71508982316E11</v>
      </c>
      <c r="J2031" s="156">
        <v>0.0</v>
      </c>
      <c r="K2031" s="154" t="s">
        <v>361</v>
      </c>
    </row>
    <row r="2032">
      <c r="A2032" s="154" t="s">
        <v>4943</v>
      </c>
      <c r="B2032" s="155"/>
      <c r="C2032" s="154" t="s">
        <v>4944</v>
      </c>
      <c r="D2032" s="155"/>
      <c r="E2032" s="155"/>
      <c r="F2032" s="154" t="s">
        <v>4938</v>
      </c>
      <c r="G2032" s="154" t="s">
        <v>4939</v>
      </c>
      <c r="H2032" s="156">
        <v>0.0</v>
      </c>
      <c r="I2032" s="156">
        <v>0.0</v>
      </c>
      <c r="J2032" s="156">
        <v>0.0</v>
      </c>
      <c r="K2032" s="156">
        <v>0.0</v>
      </c>
    </row>
    <row r="2033">
      <c r="A2033" s="154" t="s">
        <v>4943</v>
      </c>
      <c r="B2033" s="154" t="s">
        <v>4944</v>
      </c>
      <c r="D2033" s="154">
        <v>2.0</v>
      </c>
      <c r="E2033" s="154" t="s">
        <v>761</v>
      </c>
      <c r="F2033" s="154" t="s">
        <v>4938</v>
      </c>
      <c r="G2033" s="154" t="s">
        <v>4939</v>
      </c>
      <c r="H2033" s="156">
        <v>0.0</v>
      </c>
      <c r="I2033" s="156">
        <v>0.0</v>
      </c>
      <c r="J2033" s="156">
        <v>0.0</v>
      </c>
      <c r="K2033" s="156">
        <v>0.0</v>
      </c>
    </row>
    <row r="2034">
      <c r="A2034" s="154" t="s">
        <v>4945</v>
      </c>
      <c r="B2034" s="154" t="s">
        <v>4946</v>
      </c>
      <c r="D2034" s="154">
        <v>2.0</v>
      </c>
      <c r="E2034" s="154" t="s">
        <v>761</v>
      </c>
      <c r="F2034" s="154" t="s">
        <v>4947</v>
      </c>
      <c r="G2034" s="156">
        <v>0.0</v>
      </c>
      <c r="H2034" s="156">
        <v>0.0</v>
      </c>
      <c r="I2034" s="154">
        <v>5.06419639E8</v>
      </c>
      <c r="J2034" s="156">
        <v>0.0</v>
      </c>
      <c r="K2034" s="154" t="s">
        <v>197</v>
      </c>
    </row>
    <row r="2035">
      <c r="A2035" s="154" t="s">
        <v>4945</v>
      </c>
      <c r="B2035" s="155"/>
      <c r="C2035" s="154" t="s">
        <v>4946</v>
      </c>
      <c r="D2035" s="155"/>
      <c r="E2035" s="155"/>
      <c r="F2035" s="154" t="s">
        <v>4948</v>
      </c>
      <c r="G2035" s="154">
        <v>0.0</v>
      </c>
      <c r="H2035" s="156">
        <v>0.0</v>
      </c>
      <c r="I2035" s="154">
        <v>5.06419639E8</v>
      </c>
      <c r="J2035" s="156">
        <v>0.0</v>
      </c>
      <c r="K2035" s="154" t="s">
        <v>197</v>
      </c>
    </row>
    <row r="2036">
      <c r="A2036" s="154" t="s">
        <v>4949</v>
      </c>
      <c r="B2036" s="155"/>
      <c r="C2036" s="154" t="s">
        <v>4950</v>
      </c>
      <c r="D2036" s="155"/>
      <c r="E2036" s="155"/>
      <c r="F2036" s="154" t="s">
        <v>4951</v>
      </c>
      <c r="G2036" s="154">
        <v>5.08819848E8</v>
      </c>
      <c r="H2036" s="156">
        <v>0.0</v>
      </c>
      <c r="I2036" s="154">
        <v>5.08819848E8</v>
      </c>
      <c r="J2036" s="156">
        <v>0.0</v>
      </c>
      <c r="K2036" s="154" t="s">
        <v>206</v>
      </c>
    </row>
    <row r="2037">
      <c r="A2037" s="154" t="s">
        <v>4949</v>
      </c>
      <c r="B2037" s="154" t="s">
        <v>4950</v>
      </c>
      <c r="D2037" s="154">
        <v>2.0</v>
      </c>
      <c r="E2037" s="154" t="s">
        <v>761</v>
      </c>
      <c r="F2037" s="154" t="s">
        <v>4951</v>
      </c>
      <c r="G2037" s="154">
        <v>5.08819848E8</v>
      </c>
      <c r="H2037" s="156">
        <v>0.0</v>
      </c>
      <c r="I2037" s="154">
        <v>5.08819848E8</v>
      </c>
      <c r="J2037" s="156">
        <v>0.0</v>
      </c>
      <c r="K2037" s="154" t="s">
        <v>206</v>
      </c>
    </row>
    <row r="2038">
      <c r="A2038" s="154" t="s">
        <v>4952</v>
      </c>
      <c r="B2038" s="155"/>
      <c r="C2038" s="154" t="s">
        <v>4953</v>
      </c>
      <c r="D2038" s="155"/>
      <c r="E2038" s="155"/>
      <c r="F2038" s="154" t="s">
        <v>4954</v>
      </c>
      <c r="G2038" s="156">
        <v>0.0</v>
      </c>
      <c r="H2038" s="154" t="s">
        <v>4955</v>
      </c>
      <c r="I2038" s="154" t="s">
        <v>4956</v>
      </c>
      <c r="J2038" s="154" t="s">
        <v>4957</v>
      </c>
      <c r="K2038" s="154" t="s">
        <v>361</v>
      </c>
    </row>
    <row r="2039">
      <c r="A2039" s="154" t="s">
        <v>4952</v>
      </c>
      <c r="B2039" s="154" t="s">
        <v>4953</v>
      </c>
      <c r="D2039" s="154">
        <v>2.0</v>
      </c>
      <c r="E2039" s="154" t="s">
        <v>761</v>
      </c>
      <c r="F2039" s="154" t="s">
        <v>4958</v>
      </c>
      <c r="G2039" s="156">
        <v>0.0</v>
      </c>
      <c r="H2039" s="154" t="s">
        <v>4959</v>
      </c>
      <c r="I2039" s="154" t="s">
        <v>4960</v>
      </c>
      <c r="J2039" s="156">
        <v>0.0</v>
      </c>
      <c r="K2039" s="154" t="s">
        <v>361</v>
      </c>
    </row>
    <row r="2040">
      <c r="A2040" s="154" t="s">
        <v>4961</v>
      </c>
      <c r="B2040" s="155"/>
      <c r="C2040" s="154" t="s">
        <v>4962</v>
      </c>
      <c r="D2040" s="155"/>
      <c r="E2040" s="155"/>
      <c r="F2040" s="154" t="s">
        <v>4963</v>
      </c>
      <c r="G2040" s="156">
        <v>0.0</v>
      </c>
      <c r="H2040" s="154" t="s">
        <v>4955</v>
      </c>
      <c r="I2040" s="154" t="s">
        <v>4964</v>
      </c>
      <c r="J2040" s="154" t="s">
        <v>4965</v>
      </c>
      <c r="K2040" s="154" t="s">
        <v>197</v>
      </c>
    </row>
    <row r="2041">
      <c r="A2041" s="154" t="s">
        <v>4961</v>
      </c>
      <c r="B2041" s="154" t="s">
        <v>4962</v>
      </c>
      <c r="D2041" s="154">
        <v>2.0</v>
      </c>
      <c r="E2041" s="154" t="s">
        <v>761</v>
      </c>
      <c r="F2041" s="154" t="s">
        <v>4958</v>
      </c>
      <c r="G2041" s="156">
        <v>0.0</v>
      </c>
      <c r="H2041" s="154" t="s">
        <v>4959</v>
      </c>
      <c r="I2041" s="154" t="s">
        <v>4960</v>
      </c>
      <c r="J2041" s="156">
        <v>0.0</v>
      </c>
      <c r="K2041" s="154" t="s">
        <v>361</v>
      </c>
    </row>
    <row r="2042">
      <c r="A2042" s="154" t="s">
        <v>4966</v>
      </c>
      <c r="B2042" s="155"/>
      <c r="C2042" s="154" t="s">
        <v>4967</v>
      </c>
      <c r="D2042" s="155"/>
      <c r="E2042" s="155"/>
      <c r="F2042" s="154" t="s">
        <v>4958</v>
      </c>
      <c r="G2042" s="156">
        <v>0.0</v>
      </c>
      <c r="H2042" s="154" t="s">
        <v>4959</v>
      </c>
      <c r="I2042" s="154" t="s">
        <v>4960</v>
      </c>
      <c r="J2042" s="156">
        <v>0.0</v>
      </c>
      <c r="K2042" s="154" t="s">
        <v>361</v>
      </c>
    </row>
    <row r="2043">
      <c r="A2043" s="154" t="s">
        <v>4966</v>
      </c>
      <c r="B2043" s="154" t="s">
        <v>4967</v>
      </c>
      <c r="D2043" s="154">
        <v>2.0</v>
      </c>
      <c r="E2043" s="154" t="s">
        <v>761</v>
      </c>
      <c r="F2043" s="154" t="s">
        <v>4954</v>
      </c>
      <c r="G2043" s="156">
        <v>0.0</v>
      </c>
      <c r="H2043" s="154" t="s">
        <v>4955</v>
      </c>
      <c r="I2043" s="154" t="s">
        <v>4956</v>
      </c>
      <c r="J2043" s="154" t="s">
        <v>4957</v>
      </c>
      <c r="K2043" s="154" t="s">
        <v>361</v>
      </c>
    </row>
    <row r="2044">
      <c r="A2044" s="154" t="s">
        <v>4968</v>
      </c>
      <c r="B2044" s="154" t="s">
        <v>4969</v>
      </c>
      <c r="D2044" s="154">
        <v>2.0</v>
      </c>
      <c r="E2044" s="154" t="s">
        <v>761</v>
      </c>
      <c r="F2044" s="154" t="s">
        <v>4970</v>
      </c>
      <c r="G2044" s="154">
        <v>971.0</v>
      </c>
      <c r="H2044" s="156">
        <v>0.0</v>
      </c>
      <c r="I2044" s="154" t="s">
        <v>4971</v>
      </c>
      <c r="J2044" s="154" t="s">
        <v>4972</v>
      </c>
      <c r="K2044" s="154" t="s">
        <v>1891</v>
      </c>
    </row>
    <row r="2045">
      <c r="A2045" s="154" t="s">
        <v>4968</v>
      </c>
      <c r="B2045" s="155"/>
      <c r="C2045" s="154" t="s">
        <v>4969</v>
      </c>
      <c r="D2045" s="155"/>
      <c r="E2045" s="155"/>
      <c r="F2045" s="154" t="s">
        <v>4970</v>
      </c>
      <c r="G2045" s="154">
        <v>971.0</v>
      </c>
      <c r="H2045" s="156">
        <v>0.0</v>
      </c>
      <c r="I2045" s="154" t="s">
        <v>4971</v>
      </c>
      <c r="J2045" s="154" t="s">
        <v>4972</v>
      </c>
      <c r="K2045" s="154" t="s">
        <v>1891</v>
      </c>
    </row>
    <row r="2046">
      <c r="A2046" s="154" t="s">
        <v>4973</v>
      </c>
      <c r="B2046" s="155"/>
      <c r="C2046" s="154" t="s">
        <v>4974</v>
      </c>
      <c r="D2046" s="155"/>
      <c r="E2046" s="155"/>
      <c r="F2046" s="154" t="s">
        <v>4367</v>
      </c>
      <c r="G2046" s="154" t="s">
        <v>4368</v>
      </c>
      <c r="H2046" s="154" t="s">
        <v>4369</v>
      </c>
      <c r="I2046" s="154" t="s">
        <v>4370</v>
      </c>
      <c r="J2046" s="154" t="s">
        <v>4371</v>
      </c>
      <c r="K2046" s="154" t="s">
        <v>2395</v>
      </c>
    </row>
    <row r="2047">
      <c r="A2047" s="154" t="s">
        <v>4973</v>
      </c>
      <c r="B2047" s="154" t="s">
        <v>4974</v>
      </c>
      <c r="D2047" s="154">
        <v>2.0</v>
      </c>
      <c r="E2047" s="154" t="s">
        <v>761</v>
      </c>
      <c r="F2047" s="154" t="s">
        <v>4367</v>
      </c>
      <c r="G2047" s="154" t="s">
        <v>4368</v>
      </c>
      <c r="H2047" s="154" t="s">
        <v>4369</v>
      </c>
      <c r="I2047" s="154" t="s">
        <v>4370</v>
      </c>
      <c r="J2047" s="154" t="s">
        <v>4371</v>
      </c>
      <c r="K2047" s="154" t="s">
        <v>2395</v>
      </c>
    </row>
    <row r="2048">
      <c r="A2048" s="154" t="s">
        <v>4975</v>
      </c>
      <c r="B2048" s="154" t="s">
        <v>4976</v>
      </c>
      <c r="D2048" s="154">
        <v>2.0</v>
      </c>
      <c r="E2048" s="154" t="s">
        <v>761</v>
      </c>
      <c r="F2048" s="154" t="s">
        <v>1157</v>
      </c>
      <c r="G2048" s="154" t="s">
        <v>1158</v>
      </c>
      <c r="H2048" s="154" t="s">
        <v>1159</v>
      </c>
      <c r="I2048" s="156">
        <v>0.0</v>
      </c>
      <c r="J2048" s="156">
        <v>0.0</v>
      </c>
      <c r="K2048" s="156">
        <v>0.0</v>
      </c>
    </row>
    <row r="2049">
      <c r="A2049" s="154" t="s">
        <v>4975</v>
      </c>
      <c r="B2049" s="155"/>
      <c r="C2049" s="154" t="s">
        <v>4976</v>
      </c>
      <c r="D2049" s="155"/>
      <c r="E2049" s="155"/>
      <c r="F2049" s="154" t="s">
        <v>4977</v>
      </c>
      <c r="G2049" s="154">
        <v>4.3345555E7</v>
      </c>
      <c r="H2049" s="156">
        <v>0.0</v>
      </c>
      <c r="I2049" s="154">
        <v>5.51049848E8</v>
      </c>
      <c r="J2049" s="156">
        <v>0.0</v>
      </c>
      <c r="K2049" s="154" t="s">
        <v>1059</v>
      </c>
    </row>
    <row r="2050">
      <c r="A2050" s="154" t="s">
        <v>4978</v>
      </c>
      <c r="B2050" s="155"/>
      <c r="C2050" s="154" t="s">
        <v>4979</v>
      </c>
      <c r="D2050" s="155"/>
      <c r="E2050" s="155"/>
      <c r="F2050" s="154" t="s">
        <v>792</v>
      </c>
      <c r="G2050" s="154" t="s">
        <v>793</v>
      </c>
      <c r="H2050" s="154" t="s">
        <v>794</v>
      </c>
      <c r="I2050" s="156">
        <v>0.0</v>
      </c>
      <c r="J2050" s="156">
        <v>0.0</v>
      </c>
      <c r="K2050" s="156">
        <v>0.0</v>
      </c>
    </row>
    <row r="2051">
      <c r="A2051" s="154" t="s">
        <v>4978</v>
      </c>
      <c r="B2051" s="154" t="s">
        <v>4979</v>
      </c>
      <c r="D2051" s="154">
        <v>2.0</v>
      </c>
      <c r="E2051" s="154" t="s">
        <v>761</v>
      </c>
      <c r="F2051" s="154" t="s">
        <v>4980</v>
      </c>
      <c r="G2051" s="154">
        <v>971.0</v>
      </c>
      <c r="H2051" s="156">
        <v>0.0</v>
      </c>
      <c r="I2051" s="154" t="s">
        <v>4981</v>
      </c>
      <c r="J2051" s="154" t="s">
        <v>4982</v>
      </c>
      <c r="K2051" s="154" t="s">
        <v>760</v>
      </c>
    </row>
    <row r="2052">
      <c r="A2052" s="154" t="s">
        <v>4983</v>
      </c>
      <c r="B2052" s="155"/>
      <c r="C2052" s="154" t="s">
        <v>4984</v>
      </c>
      <c r="D2052" s="155"/>
      <c r="E2052" s="155"/>
      <c r="F2052" s="154" t="s">
        <v>3429</v>
      </c>
      <c r="G2052" s="154">
        <v>9.71042821E11</v>
      </c>
      <c r="H2052" s="154" t="s">
        <v>2022</v>
      </c>
      <c r="I2052" s="156">
        <v>0.0</v>
      </c>
      <c r="J2052" s="156">
        <v>0.0</v>
      </c>
      <c r="K2052" s="156">
        <v>0.0</v>
      </c>
    </row>
    <row r="2053">
      <c r="A2053" s="154" t="s">
        <v>4983</v>
      </c>
      <c r="B2053" s="154" t="s">
        <v>4984</v>
      </c>
      <c r="D2053" s="154">
        <v>2.0</v>
      </c>
      <c r="E2053" s="154" t="s">
        <v>761</v>
      </c>
      <c r="F2053" s="154" t="s">
        <v>3429</v>
      </c>
      <c r="G2053" s="154">
        <v>9.71042821E11</v>
      </c>
      <c r="H2053" s="154" t="s">
        <v>2022</v>
      </c>
      <c r="I2053" s="156">
        <v>0.0</v>
      </c>
      <c r="J2053" s="156">
        <v>0.0</v>
      </c>
      <c r="K2053" s="156">
        <v>0.0</v>
      </c>
    </row>
    <row r="2054">
      <c r="A2054" s="154" t="s">
        <v>4985</v>
      </c>
      <c r="B2054" s="154" t="s">
        <v>4986</v>
      </c>
      <c r="D2054" s="154">
        <v>2.0</v>
      </c>
      <c r="E2054" s="154" t="s">
        <v>761</v>
      </c>
      <c r="F2054" s="154" t="s">
        <v>4987</v>
      </c>
      <c r="G2054" s="156">
        <v>0.0</v>
      </c>
      <c r="H2054" s="154" t="s">
        <v>4988</v>
      </c>
      <c r="I2054" s="154">
        <v>9.71504818932E11</v>
      </c>
      <c r="J2054" s="156">
        <v>0.0</v>
      </c>
      <c r="K2054" s="154" t="s">
        <v>776</v>
      </c>
    </row>
    <row r="2055">
      <c r="A2055" s="154" t="s">
        <v>4985</v>
      </c>
      <c r="B2055" s="155"/>
      <c r="C2055" s="154" t="s">
        <v>4986</v>
      </c>
      <c r="D2055" s="155"/>
      <c r="E2055" s="155"/>
      <c r="F2055" s="154" t="s">
        <v>4987</v>
      </c>
      <c r="G2055" s="156">
        <v>0.0</v>
      </c>
      <c r="H2055" s="154" t="s">
        <v>4988</v>
      </c>
      <c r="I2055" s="154">
        <v>9.71504818932E11</v>
      </c>
      <c r="J2055" s="156">
        <v>0.0</v>
      </c>
      <c r="K2055" s="154" t="s">
        <v>776</v>
      </c>
    </row>
    <row r="2056">
      <c r="A2056" s="154" t="s">
        <v>4989</v>
      </c>
      <c r="B2056" s="155"/>
      <c r="C2056" s="154" t="s">
        <v>4990</v>
      </c>
      <c r="D2056" s="155"/>
      <c r="E2056" s="155"/>
      <c r="F2056" s="154" t="s">
        <v>4782</v>
      </c>
      <c r="G2056" s="154">
        <v>4.394285E7</v>
      </c>
      <c r="H2056" s="156">
        <v>0.0</v>
      </c>
      <c r="I2056" s="154">
        <v>5.05502376E8</v>
      </c>
      <c r="J2056" s="156">
        <v>0.0</v>
      </c>
      <c r="K2056" s="154" t="s">
        <v>361</v>
      </c>
    </row>
    <row r="2057">
      <c r="A2057" s="154" t="s">
        <v>4989</v>
      </c>
      <c r="B2057" s="154" t="s">
        <v>4990</v>
      </c>
      <c r="D2057" s="154">
        <v>2.0</v>
      </c>
      <c r="E2057" s="154" t="s">
        <v>761</v>
      </c>
      <c r="F2057" s="154" t="s">
        <v>4782</v>
      </c>
      <c r="G2057" s="154">
        <v>4.394285E7</v>
      </c>
      <c r="H2057" s="156">
        <v>0.0</v>
      </c>
      <c r="I2057" s="154">
        <v>5.05502376E8</v>
      </c>
      <c r="J2057" s="156">
        <v>0.0</v>
      </c>
      <c r="K2057" s="154" t="s">
        <v>361</v>
      </c>
    </row>
    <row r="2058">
      <c r="A2058" s="154" t="s">
        <v>4991</v>
      </c>
      <c r="B2058" s="154" t="s">
        <v>4992</v>
      </c>
      <c r="D2058" s="154">
        <v>2.0</v>
      </c>
      <c r="E2058" s="154" t="s">
        <v>761</v>
      </c>
      <c r="F2058" s="154" t="s">
        <v>4993</v>
      </c>
      <c r="G2058" s="154">
        <v>5.06522801E8</v>
      </c>
      <c r="H2058" s="156">
        <v>0.0</v>
      </c>
      <c r="I2058" s="154">
        <v>9.05333865733E11</v>
      </c>
      <c r="J2058" s="156">
        <v>0.0</v>
      </c>
      <c r="K2058" s="154" t="s">
        <v>259</v>
      </c>
    </row>
    <row r="2059">
      <c r="A2059" s="154" t="s">
        <v>4991</v>
      </c>
      <c r="B2059" s="155"/>
      <c r="C2059" s="154" t="s">
        <v>4992</v>
      </c>
      <c r="D2059" s="155"/>
      <c r="E2059" s="155"/>
      <c r="F2059" s="154" t="s">
        <v>4994</v>
      </c>
      <c r="G2059" s="154">
        <v>5.06522801E8</v>
      </c>
      <c r="H2059" s="156">
        <v>0.0</v>
      </c>
      <c r="I2059" s="154">
        <v>9.05333865733E11</v>
      </c>
      <c r="J2059" s="156">
        <v>0.0</v>
      </c>
      <c r="K2059" s="154" t="s">
        <v>860</v>
      </c>
    </row>
    <row r="2060">
      <c r="A2060" s="154" t="s">
        <v>4995</v>
      </c>
      <c r="B2060" s="155"/>
      <c r="C2060" s="154" t="s">
        <v>4996</v>
      </c>
      <c r="D2060" s="155"/>
      <c r="E2060" s="155"/>
      <c r="F2060" s="154" t="s">
        <v>4997</v>
      </c>
      <c r="G2060" s="154">
        <v>971.0</v>
      </c>
      <c r="H2060" s="156">
        <v>0.0</v>
      </c>
      <c r="I2060" s="154" t="s">
        <v>4998</v>
      </c>
      <c r="J2060" s="154" t="s">
        <v>4999</v>
      </c>
      <c r="K2060" s="154" t="s">
        <v>329</v>
      </c>
    </row>
    <row r="2061">
      <c r="A2061" s="154" t="s">
        <v>4995</v>
      </c>
      <c r="B2061" s="154" t="s">
        <v>4996</v>
      </c>
      <c r="D2061" s="154">
        <v>2.0</v>
      </c>
      <c r="E2061" s="154" t="s">
        <v>761</v>
      </c>
      <c r="F2061" s="154" t="s">
        <v>4997</v>
      </c>
      <c r="G2061" s="154">
        <v>971.0</v>
      </c>
      <c r="H2061" s="156">
        <v>0.0</v>
      </c>
      <c r="I2061" s="154" t="s">
        <v>4998</v>
      </c>
      <c r="J2061" s="154" t="s">
        <v>4999</v>
      </c>
      <c r="K2061" s="154" t="s">
        <v>329</v>
      </c>
    </row>
    <row r="2062">
      <c r="A2062" s="154" t="s">
        <v>5000</v>
      </c>
      <c r="B2062" s="155"/>
      <c r="C2062" s="154" t="s">
        <v>5001</v>
      </c>
      <c r="D2062" s="155"/>
      <c r="E2062" s="155"/>
      <c r="F2062" s="154" t="s">
        <v>4553</v>
      </c>
      <c r="G2062" s="156">
        <v>0.0</v>
      </c>
      <c r="H2062" s="154" t="s">
        <v>4554</v>
      </c>
      <c r="I2062" s="154" t="s">
        <v>4555</v>
      </c>
      <c r="J2062" s="154" t="s">
        <v>1133</v>
      </c>
      <c r="K2062" s="154" t="s">
        <v>217</v>
      </c>
    </row>
    <row r="2063">
      <c r="A2063" s="154" t="s">
        <v>5000</v>
      </c>
      <c r="B2063" s="154" t="s">
        <v>5001</v>
      </c>
      <c r="D2063" s="154">
        <v>2.0</v>
      </c>
      <c r="E2063" s="154" t="s">
        <v>761</v>
      </c>
      <c r="F2063" s="154" t="s">
        <v>4553</v>
      </c>
      <c r="G2063" s="156">
        <v>0.0</v>
      </c>
      <c r="H2063" s="154" t="s">
        <v>4554</v>
      </c>
      <c r="I2063" s="154" t="s">
        <v>4555</v>
      </c>
      <c r="J2063" s="154" t="s">
        <v>1133</v>
      </c>
      <c r="K2063" s="154" t="s">
        <v>217</v>
      </c>
    </row>
    <row r="2064">
      <c r="A2064" s="154" t="s">
        <v>5002</v>
      </c>
      <c r="B2064" s="154" t="s">
        <v>5003</v>
      </c>
      <c r="D2064" s="154">
        <v>2.0</v>
      </c>
      <c r="E2064" s="154" t="s">
        <v>761</v>
      </c>
      <c r="F2064" s="154" t="s">
        <v>5004</v>
      </c>
      <c r="G2064" s="154">
        <v>4.2223333E7</v>
      </c>
      <c r="H2064" s="156">
        <v>0.0</v>
      </c>
      <c r="I2064" s="154">
        <v>0.0</v>
      </c>
      <c r="J2064" s="156">
        <v>0.0</v>
      </c>
      <c r="K2064" s="154" t="s">
        <v>760</v>
      </c>
    </row>
    <row r="2065">
      <c r="A2065" s="154" t="s">
        <v>5002</v>
      </c>
      <c r="B2065" s="155"/>
      <c r="C2065" s="154" t="s">
        <v>5003</v>
      </c>
      <c r="D2065" s="155"/>
      <c r="E2065" s="155"/>
      <c r="F2065" s="154" t="s">
        <v>849</v>
      </c>
      <c r="G2065" s="154" t="s">
        <v>850</v>
      </c>
      <c r="H2065" s="154" t="s">
        <v>851</v>
      </c>
      <c r="I2065" s="156">
        <v>0.0</v>
      </c>
      <c r="J2065" s="156">
        <v>0.0</v>
      </c>
      <c r="K2065" s="156">
        <v>0.0</v>
      </c>
    </row>
    <row r="2066">
      <c r="A2066" s="154" t="s">
        <v>5005</v>
      </c>
      <c r="B2066" s="155"/>
      <c r="C2066" s="154" t="s">
        <v>5006</v>
      </c>
      <c r="D2066" s="155"/>
      <c r="E2066" s="155"/>
      <c r="F2066" s="154" t="s">
        <v>5007</v>
      </c>
      <c r="G2066" s="154">
        <v>5.06455309E8</v>
      </c>
      <c r="H2066" s="154" t="s">
        <v>5008</v>
      </c>
      <c r="I2066" s="154" t="s">
        <v>5009</v>
      </c>
      <c r="J2066" s="156">
        <v>0.0</v>
      </c>
      <c r="K2066" s="154" t="s">
        <v>361</v>
      </c>
    </row>
    <row r="2067">
      <c r="A2067" s="154" t="s">
        <v>5005</v>
      </c>
      <c r="B2067" s="154" t="s">
        <v>5006</v>
      </c>
      <c r="D2067" s="154">
        <v>2.0</v>
      </c>
      <c r="E2067" s="154" t="s">
        <v>761</v>
      </c>
      <c r="F2067" s="154" t="s">
        <v>5007</v>
      </c>
      <c r="G2067" s="154">
        <v>5.06455309E8</v>
      </c>
      <c r="H2067" s="154" t="s">
        <v>5008</v>
      </c>
      <c r="I2067" s="154" t="s">
        <v>5009</v>
      </c>
      <c r="J2067" s="156">
        <v>0.0</v>
      </c>
      <c r="K2067" s="154" t="s">
        <v>361</v>
      </c>
    </row>
    <row r="2068">
      <c r="A2068" s="154" t="s">
        <v>5010</v>
      </c>
      <c r="B2068" s="154" t="s">
        <v>5011</v>
      </c>
      <c r="D2068" s="154">
        <v>2.0</v>
      </c>
      <c r="E2068" s="154" t="s">
        <v>761</v>
      </c>
      <c r="F2068" s="154" t="s">
        <v>5012</v>
      </c>
      <c r="G2068" s="154">
        <v>5.01483351E8</v>
      </c>
      <c r="H2068" s="156">
        <v>0.0</v>
      </c>
      <c r="I2068" s="155">
        <f t="shared" ref="I2068:I2069" si="11">+971527152111</f>
        <v>971527152111</v>
      </c>
      <c r="J2068" s="156">
        <v>0.0</v>
      </c>
      <c r="K2068" s="154" t="s">
        <v>846</v>
      </c>
    </row>
    <row r="2069">
      <c r="A2069" s="154" t="s">
        <v>5010</v>
      </c>
      <c r="B2069" s="155"/>
      <c r="C2069" s="154" t="s">
        <v>5011</v>
      </c>
      <c r="D2069" s="155"/>
      <c r="E2069" s="155"/>
      <c r="F2069" s="154" t="s">
        <v>5012</v>
      </c>
      <c r="G2069" s="154">
        <v>5.01483351E8</v>
      </c>
      <c r="H2069" s="156">
        <v>0.0</v>
      </c>
      <c r="I2069" s="155">
        <f t="shared" si="11"/>
        <v>971527152111</v>
      </c>
      <c r="J2069" s="156">
        <v>0.0</v>
      </c>
      <c r="K2069" s="154" t="s">
        <v>846</v>
      </c>
    </row>
    <row r="2070">
      <c r="A2070" s="154" t="s">
        <v>5013</v>
      </c>
      <c r="B2070" s="154" t="s">
        <v>5014</v>
      </c>
      <c r="D2070" s="154">
        <v>2.0</v>
      </c>
      <c r="E2070" s="154" t="s">
        <v>761</v>
      </c>
      <c r="F2070" s="154" t="s">
        <v>5015</v>
      </c>
      <c r="G2070" s="154" t="s">
        <v>5016</v>
      </c>
      <c r="H2070" s="154" t="s">
        <v>5017</v>
      </c>
      <c r="I2070" s="154" t="s">
        <v>5018</v>
      </c>
      <c r="J2070" s="154" t="s">
        <v>5016</v>
      </c>
      <c r="K2070" s="154" t="s">
        <v>197</v>
      </c>
    </row>
    <row r="2071">
      <c r="A2071" s="154" t="s">
        <v>5013</v>
      </c>
      <c r="B2071" s="155"/>
      <c r="C2071" s="154" t="s">
        <v>5014</v>
      </c>
      <c r="D2071" s="155"/>
      <c r="E2071" s="155"/>
      <c r="F2071" s="154" t="s">
        <v>5015</v>
      </c>
      <c r="G2071" s="154" t="s">
        <v>5016</v>
      </c>
      <c r="H2071" s="154" t="s">
        <v>5017</v>
      </c>
      <c r="I2071" s="154" t="s">
        <v>5018</v>
      </c>
      <c r="J2071" s="154" t="s">
        <v>5016</v>
      </c>
      <c r="K2071" s="154" t="s">
        <v>197</v>
      </c>
    </row>
    <row r="2072">
      <c r="A2072" s="154" t="s">
        <v>5019</v>
      </c>
      <c r="B2072" s="154" t="s">
        <v>5020</v>
      </c>
      <c r="D2072" s="154">
        <v>2.0</v>
      </c>
      <c r="E2072" s="154" t="s">
        <v>761</v>
      </c>
      <c r="F2072" s="154" t="s">
        <v>5021</v>
      </c>
      <c r="G2072" s="156">
        <v>0.0</v>
      </c>
      <c r="H2072" s="154" t="s">
        <v>2192</v>
      </c>
      <c r="I2072" s="154" t="s">
        <v>5022</v>
      </c>
      <c r="J2072" s="154" t="s">
        <v>5023</v>
      </c>
      <c r="K2072" s="154" t="s">
        <v>361</v>
      </c>
    </row>
    <row r="2073">
      <c r="A2073" s="154" t="s">
        <v>5019</v>
      </c>
      <c r="B2073" s="155"/>
      <c r="C2073" s="154" t="s">
        <v>5020</v>
      </c>
      <c r="D2073" s="155"/>
      <c r="E2073" s="155"/>
      <c r="F2073" s="154" t="s">
        <v>5021</v>
      </c>
      <c r="G2073" s="156">
        <v>0.0</v>
      </c>
      <c r="H2073" s="154" t="s">
        <v>2192</v>
      </c>
      <c r="I2073" s="154" t="s">
        <v>5022</v>
      </c>
      <c r="J2073" s="154" t="s">
        <v>5023</v>
      </c>
      <c r="K2073" s="154" t="s">
        <v>361</v>
      </c>
    </row>
    <row r="2074">
      <c r="A2074" s="154" t="s">
        <v>5024</v>
      </c>
      <c r="B2074" s="154" t="s">
        <v>5025</v>
      </c>
      <c r="D2074" s="154">
        <v>2.0</v>
      </c>
      <c r="E2074" s="154" t="s">
        <v>761</v>
      </c>
      <c r="F2074" s="154" t="s">
        <v>5026</v>
      </c>
      <c r="G2074" s="154">
        <v>4.0E7</v>
      </c>
      <c r="H2074" s="156">
        <v>0.0</v>
      </c>
      <c r="I2074" s="154">
        <v>5.04788027E8</v>
      </c>
      <c r="J2074" s="156">
        <v>0.0</v>
      </c>
      <c r="K2074" s="154" t="s">
        <v>301</v>
      </c>
    </row>
    <row r="2075">
      <c r="A2075" s="154" t="s">
        <v>5024</v>
      </c>
      <c r="B2075" s="155"/>
      <c r="C2075" s="154" t="s">
        <v>5025</v>
      </c>
      <c r="D2075" s="155"/>
      <c r="E2075" s="155"/>
      <c r="F2075" s="154" t="s">
        <v>5026</v>
      </c>
      <c r="G2075" s="154">
        <v>4.0E7</v>
      </c>
      <c r="H2075" s="156">
        <v>0.0</v>
      </c>
      <c r="I2075" s="154">
        <v>5.04788027E8</v>
      </c>
      <c r="J2075" s="156">
        <v>0.0</v>
      </c>
      <c r="K2075" s="154" t="s">
        <v>301</v>
      </c>
    </row>
    <row r="2076">
      <c r="A2076" s="154" t="s">
        <v>5027</v>
      </c>
      <c r="B2076" s="155"/>
      <c r="C2076" s="154" t="s">
        <v>5028</v>
      </c>
      <c r="D2076" s="155"/>
      <c r="E2076" s="155"/>
      <c r="F2076" s="154" t="s">
        <v>5029</v>
      </c>
      <c r="G2076" s="154">
        <v>4.3498188E7</v>
      </c>
      <c r="H2076" s="154" t="s">
        <v>5030</v>
      </c>
      <c r="I2076" s="154">
        <v>5.02886688E8</v>
      </c>
      <c r="J2076" s="154" t="s">
        <v>5031</v>
      </c>
      <c r="K2076" s="154" t="s">
        <v>207</v>
      </c>
    </row>
    <row r="2077">
      <c r="A2077" s="154" t="s">
        <v>5027</v>
      </c>
      <c r="B2077" s="154" t="s">
        <v>5028</v>
      </c>
      <c r="D2077" s="154">
        <v>2.0</v>
      </c>
      <c r="E2077" s="154" t="s">
        <v>761</v>
      </c>
      <c r="F2077" s="154" t="s">
        <v>5029</v>
      </c>
      <c r="G2077" s="154">
        <v>4.3498188E7</v>
      </c>
      <c r="H2077" s="154" t="s">
        <v>5030</v>
      </c>
      <c r="I2077" s="154">
        <v>5.02886688E8</v>
      </c>
      <c r="J2077" s="154" t="s">
        <v>5031</v>
      </c>
      <c r="K2077" s="154" t="s">
        <v>207</v>
      </c>
    </row>
    <row r="2078">
      <c r="A2078" s="154" t="s">
        <v>5032</v>
      </c>
      <c r="B2078" s="154" t="s">
        <v>5033</v>
      </c>
      <c r="D2078" s="154">
        <v>2.0</v>
      </c>
      <c r="E2078" s="154" t="s">
        <v>761</v>
      </c>
      <c r="F2078" s="154" t="s">
        <v>1619</v>
      </c>
      <c r="G2078" s="154">
        <v>4.3903333E7</v>
      </c>
      <c r="H2078" s="154" t="s">
        <v>1620</v>
      </c>
      <c r="I2078" s="156">
        <v>0.0</v>
      </c>
      <c r="J2078" s="156">
        <v>0.0</v>
      </c>
      <c r="K2078" s="156">
        <v>0.0</v>
      </c>
    </row>
    <row r="2079">
      <c r="A2079" s="154" t="s">
        <v>5032</v>
      </c>
      <c r="B2079" s="155"/>
      <c r="C2079" s="154" t="s">
        <v>5033</v>
      </c>
      <c r="D2079" s="155"/>
      <c r="E2079" s="155"/>
      <c r="F2079" s="154" t="s">
        <v>1619</v>
      </c>
      <c r="G2079" s="154">
        <v>4.3903333E7</v>
      </c>
      <c r="H2079" s="154" t="s">
        <v>1620</v>
      </c>
      <c r="I2079" s="156">
        <v>0.0</v>
      </c>
      <c r="J2079" s="156">
        <v>0.0</v>
      </c>
      <c r="K2079" s="156">
        <v>0.0</v>
      </c>
    </row>
    <row r="2080">
      <c r="A2080" s="154" t="s">
        <v>5034</v>
      </c>
      <c r="B2080" s="155"/>
      <c r="C2080" s="154" t="s">
        <v>5035</v>
      </c>
      <c r="D2080" s="155"/>
      <c r="E2080" s="155"/>
      <c r="F2080" s="154" t="s">
        <v>5036</v>
      </c>
      <c r="G2080" s="154">
        <v>3452666.0</v>
      </c>
      <c r="H2080" s="156">
        <v>0.0</v>
      </c>
      <c r="I2080" s="154">
        <v>5.69099445E8</v>
      </c>
      <c r="J2080" s="156">
        <v>0.0</v>
      </c>
      <c r="K2080" s="154" t="s">
        <v>776</v>
      </c>
    </row>
    <row r="2081">
      <c r="A2081" s="154" t="s">
        <v>5034</v>
      </c>
      <c r="B2081" s="154" t="s">
        <v>5035</v>
      </c>
      <c r="D2081" s="154">
        <v>2.0</v>
      </c>
      <c r="E2081" s="154" t="s">
        <v>761</v>
      </c>
      <c r="F2081" s="154" t="s">
        <v>5036</v>
      </c>
      <c r="G2081" s="154">
        <v>3452666.0</v>
      </c>
      <c r="H2081" s="156">
        <v>0.0</v>
      </c>
      <c r="I2081" s="154">
        <v>5.69099445E8</v>
      </c>
      <c r="J2081" s="156">
        <v>0.0</v>
      </c>
      <c r="K2081" s="154" t="s">
        <v>776</v>
      </c>
    </row>
    <row r="2082">
      <c r="A2082" s="154" t="s">
        <v>5037</v>
      </c>
      <c r="B2082" s="155"/>
      <c r="C2082" s="154" t="s">
        <v>5038</v>
      </c>
      <c r="D2082" s="155"/>
      <c r="E2082" s="155"/>
      <c r="F2082" s="154" t="s">
        <v>1157</v>
      </c>
      <c r="G2082" s="154" t="s">
        <v>1158</v>
      </c>
      <c r="H2082" s="154" t="s">
        <v>1159</v>
      </c>
      <c r="I2082" s="156">
        <v>0.0</v>
      </c>
      <c r="J2082" s="156">
        <v>0.0</v>
      </c>
      <c r="K2082" s="156">
        <v>0.0</v>
      </c>
    </row>
    <row r="2083">
      <c r="A2083" s="154" t="s">
        <v>5037</v>
      </c>
      <c r="B2083" s="154" t="s">
        <v>5038</v>
      </c>
      <c r="D2083" s="154">
        <v>2.0</v>
      </c>
      <c r="E2083" s="154" t="s">
        <v>761</v>
      </c>
      <c r="F2083" s="154" t="s">
        <v>1157</v>
      </c>
      <c r="G2083" s="154" t="s">
        <v>1158</v>
      </c>
      <c r="H2083" s="154" t="s">
        <v>1159</v>
      </c>
      <c r="I2083" s="156">
        <v>0.0</v>
      </c>
      <c r="J2083" s="156">
        <v>0.0</v>
      </c>
      <c r="K2083" s="156">
        <v>0.0</v>
      </c>
    </row>
    <row r="2084">
      <c r="A2084" s="154" t="s">
        <v>5039</v>
      </c>
      <c r="B2084" s="154" t="s">
        <v>5040</v>
      </c>
      <c r="D2084" s="154">
        <v>2.0</v>
      </c>
      <c r="E2084" s="154" t="s">
        <v>761</v>
      </c>
      <c r="F2084" s="154" t="s">
        <v>5041</v>
      </c>
      <c r="G2084" s="154">
        <v>4.29444E7</v>
      </c>
      <c r="H2084" s="156">
        <v>0.0</v>
      </c>
      <c r="I2084" s="154">
        <v>5.03156623E8</v>
      </c>
      <c r="J2084" s="156">
        <v>0.0</v>
      </c>
      <c r="K2084" s="154" t="s">
        <v>361</v>
      </c>
    </row>
    <row r="2085">
      <c r="A2085" s="154" t="s">
        <v>5039</v>
      </c>
      <c r="B2085" s="155"/>
      <c r="C2085" s="154" t="s">
        <v>5040</v>
      </c>
      <c r="D2085" s="155"/>
      <c r="E2085" s="155"/>
      <c r="F2085" s="154" t="s">
        <v>5041</v>
      </c>
      <c r="G2085" s="154">
        <v>4.29444E7</v>
      </c>
      <c r="H2085" s="156">
        <v>0.0</v>
      </c>
      <c r="I2085" s="154">
        <v>5.03156623E8</v>
      </c>
      <c r="J2085" s="156">
        <v>0.0</v>
      </c>
      <c r="K2085" s="154" t="s">
        <v>361</v>
      </c>
    </row>
    <row r="2086">
      <c r="A2086" s="154" t="s">
        <v>5042</v>
      </c>
      <c r="B2086" s="155"/>
      <c r="C2086" s="154" t="s">
        <v>5043</v>
      </c>
      <c r="D2086" s="155"/>
      <c r="E2086" s="155"/>
      <c r="F2086" s="154" t="s">
        <v>3820</v>
      </c>
      <c r="G2086" s="156">
        <v>0.0</v>
      </c>
      <c r="H2086" s="154" t="s">
        <v>3821</v>
      </c>
      <c r="I2086" s="154" t="s">
        <v>3822</v>
      </c>
      <c r="J2086" s="154" t="s">
        <v>3823</v>
      </c>
      <c r="K2086" s="154" t="s">
        <v>361</v>
      </c>
    </row>
    <row r="2087">
      <c r="A2087" s="154" t="s">
        <v>5042</v>
      </c>
      <c r="B2087" s="154" t="s">
        <v>5043</v>
      </c>
      <c r="D2087" s="154">
        <v>2.0</v>
      </c>
      <c r="E2087" s="154" t="s">
        <v>761</v>
      </c>
      <c r="F2087" s="154" t="s">
        <v>3820</v>
      </c>
      <c r="G2087" s="156">
        <v>0.0</v>
      </c>
      <c r="H2087" s="154" t="s">
        <v>3821</v>
      </c>
      <c r="I2087" s="154" t="s">
        <v>3822</v>
      </c>
      <c r="J2087" s="154" t="s">
        <v>3823</v>
      </c>
      <c r="K2087" s="154" t="s">
        <v>361</v>
      </c>
    </row>
    <row r="2088">
      <c r="A2088" s="154" t="s">
        <v>5044</v>
      </c>
      <c r="B2088" s="154" t="s">
        <v>5045</v>
      </c>
      <c r="D2088" s="154">
        <v>2.0</v>
      </c>
      <c r="E2088" s="154" t="s">
        <v>761</v>
      </c>
      <c r="F2088" s="154" t="s">
        <v>4328</v>
      </c>
      <c r="G2088" s="154" t="s">
        <v>4329</v>
      </c>
      <c r="H2088" s="154" t="s">
        <v>4330</v>
      </c>
      <c r="I2088" s="154" t="s">
        <v>4331</v>
      </c>
      <c r="J2088" s="154" t="s">
        <v>3823</v>
      </c>
      <c r="K2088" s="154" t="s">
        <v>361</v>
      </c>
    </row>
    <row r="2089">
      <c r="A2089" s="154" t="s">
        <v>5044</v>
      </c>
      <c r="B2089" s="155"/>
      <c r="C2089" s="154" t="s">
        <v>5045</v>
      </c>
      <c r="D2089" s="155"/>
      <c r="E2089" s="155"/>
      <c r="F2089" s="154" t="s">
        <v>4328</v>
      </c>
      <c r="G2089" s="154" t="s">
        <v>4329</v>
      </c>
      <c r="H2089" s="154" t="s">
        <v>4330</v>
      </c>
      <c r="I2089" s="154" t="s">
        <v>4331</v>
      </c>
      <c r="J2089" s="154" t="s">
        <v>3823</v>
      </c>
      <c r="K2089" s="154" t="s">
        <v>361</v>
      </c>
    </row>
    <row r="2090">
      <c r="A2090" s="154" t="s">
        <v>5046</v>
      </c>
      <c r="B2090" s="154" t="s">
        <v>5047</v>
      </c>
      <c r="D2090" s="154">
        <v>2.0</v>
      </c>
      <c r="E2090" s="154" t="s">
        <v>761</v>
      </c>
      <c r="F2090" s="154" t="s">
        <v>3670</v>
      </c>
      <c r="G2090" s="154">
        <v>4.6442633E7</v>
      </c>
      <c r="H2090" s="156">
        <v>0.0</v>
      </c>
      <c r="I2090" s="156">
        <v>0.0</v>
      </c>
      <c r="J2090" s="156">
        <v>0.0</v>
      </c>
      <c r="K2090" s="156">
        <v>0.0</v>
      </c>
    </row>
    <row r="2091">
      <c r="A2091" s="154" t="s">
        <v>5046</v>
      </c>
      <c r="B2091" s="155"/>
      <c r="C2091" s="154" t="s">
        <v>5047</v>
      </c>
      <c r="D2091" s="155"/>
      <c r="E2091" s="155"/>
      <c r="F2091" s="154" t="s">
        <v>3670</v>
      </c>
      <c r="G2091" s="154">
        <v>4.6442633E7</v>
      </c>
      <c r="H2091" s="156">
        <v>0.0</v>
      </c>
      <c r="I2091" s="156">
        <v>0.0</v>
      </c>
      <c r="J2091" s="156">
        <v>0.0</v>
      </c>
      <c r="K2091" s="156">
        <v>0.0</v>
      </c>
    </row>
    <row r="2092">
      <c r="A2092" s="154" t="s">
        <v>5048</v>
      </c>
      <c r="B2092" s="154" t="s">
        <v>5049</v>
      </c>
      <c r="D2092" s="154">
        <v>2.0</v>
      </c>
      <c r="E2092" s="154" t="s">
        <v>761</v>
      </c>
      <c r="F2092" s="154" t="s">
        <v>5050</v>
      </c>
      <c r="G2092" s="154" t="s">
        <v>5051</v>
      </c>
      <c r="H2092" s="156">
        <v>0.0</v>
      </c>
      <c r="I2092" s="154" t="s">
        <v>5052</v>
      </c>
      <c r="J2092" s="154" t="s">
        <v>5053</v>
      </c>
      <c r="K2092" s="154" t="s">
        <v>206</v>
      </c>
    </row>
    <row r="2093">
      <c r="A2093" s="154" t="s">
        <v>5048</v>
      </c>
      <c r="B2093" s="155"/>
      <c r="C2093" s="154" t="s">
        <v>5049</v>
      </c>
      <c r="D2093" s="155"/>
      <c r="E2093" s="155"/>
      <c r="F2093" s="154" t="s">
        <v>5050</v>
      </c>
      <c r="G2093" s="154" t="s">
        <v>5051</v>
      </c>
      <c r="H2093" s="156">
        <v>0.0</v>
      </c>
      <c r="I2093" s="154" t="s">
        <v>5052</v>
      </c>
      <c r="J2093" s="154" t="s">
        <v>5053</v>
      </c>
      <c r="K2093" s="154" t="s">
        <v>206</v>
      </c>
    </row>
    <row r="2094">
      <c r="A2094" s="154" t="s">
        <v>5054</v>
      </c>
      <c r="B2094" s="154" t="s">
        <v>5055</v>
      </c>
      <c r="D2094" s="154">
        <v>2.0</v>
      </c>
      <c r="E2094" s="154" t="s">
        <v>761</v>
      </c>
      <c r="F2094" s="154" t="s">
        <v>5056</v>
      </c>
      <c r="G2094" s="154">
        <v>4.3663166E7</v>
      </c>
      <c r="H2094" s="156">
        <v>0.0</v>
      </c>
      <c r="I2094" s="154">
        <v>5.07868371E8</v>
      </c>
      <c r="J2094" s="156">
        <v>0.0</v>
      </c>
      <c r="K2094" s="154" t="s">
        <v>760</v>
      </c>
    </row>
    <row r="2095">
      <c r="A2095" s="154" t="s">
        <v>5054</v>
      </c>
      <c r="B2095" s="155"/>
      <c r="C2095" s="154" t="s">
        <v>5055</v>
      </c>
      <c r="D2095" s="155"/>
      <c r="E2095" s="155"/>
      <c r="F2095" s="154" t="s">
        <v>5056</v>
      </c>
      <c r="G2095" s="154">
        <v>4.3663166E7</v>
      </c>
      <c r="H2095" s="156">
        <v>0.0</v>
      </c>
      <c r="I2095" s="154">
        <v>5.07868371E8</v>
      </c>
      <c r="J2095" s="156">
        <v>0.0</v>
      </c>
      <c r="K2095" s="154" t="s">
        <v>760</v>
      </c>
    </row>
    <row r="2096">
      <c r="A2096" s="154" t="s">
        <v>5057</v>
      </c>
      <c r="B2096" s="154" t="s">
        <v>5058</v>
      </c>
      <c r="D2096" s="154">
        <v>2.0</v>
      </c>
      <c r="E2096" s="154" t="s">
        <v>761</v>
      </c>
      <c r="F2096" s="154" t="s">
        <v>5059</v>
      </c>
      <c r="G2096" s="154" t="s">
        <v>5060</v>
      </c>
      <c r="H2096" s="156">
        <v>0.0</v>
      </c>
      <c r="I2096" s="154">
        <v>5.04522043E8</v>
      </c>
      <c r="J2096" s="156">
        <v>0.0</v>
      </c>
      <c r="K2096" s="154" t="s">
        <v>361</v>
      </c>
    </row>
    <row r="2097">
      <c r="A2097" s="154" t="s">
        <v>5057</v>
      </c>
      <c r="B2097" s="155"/>
      <c r="C2097" s="154" t="s">
        <v>5058</v>
      </c>
      <c r="D2097" s="155"/>
      <c r="E2097" s="155"/>
      <c r="F2097" s="154" t="s">
        <v>5059</v>
      </c>
      <c r="G2097" s="154" t="s">
        <v>5060</v>
      </c>
      <c r="H2097" s="156">
        <v>0.0</v>
      </c>
      <c r="I2097" s="154">
        <v>5.04522043E8</v>
      </c>
      <c r="J2097" s="156">
        <v>0.0</v>
      </c>
      <c r="K2097" s="154" t="s">
        <v>361</v>
      </c>
    </row>
    <row r="2098">
      <c r="A2098" s="154" t="s">
        <v>5061</v>
      </c>
      <c r="B2098" s="154" t="s">
        <v>5062</v>
      </c>
      <c r="D2098" s="154">
        <v>2.0</v>
      </c>
      <c r="E2098" s="154" t="s">
        <v>761</v>
      </c>
      <c r="F2098" s="154" t="s">
        <v>1206</v>
      </c>
      <c r="G2098" s="154" t="s">
        <v>1207</v>
      </c>
      <c r="H2098" s="154" t="s">
        <v>1208</v>
      </c>
      <c r="I2098" s="156">
        <v>0.0</v>
      </c>
      <c r="J2098" s="156">
        <v>0.0</v>
      </c>
      <c r="K2098" s="156">
        <v>0.0</v>
      </c>
    </row>
    <row r="2099">
      <c r="A2099" s="154" t="s">
        <v>5061</v>
      </c>
      <c r="B2099" s="155"/>
      <c r="C2099" s="154" t="s">
        <v>5062</v>
      </c>
      <c r="D2099" s="155"/>
      <c r="E2099" s="155"/>
      <c r="F2099" s="154" t="s">
        <v>1206</v>
      </c>
      <c r="G2099" s="154" t="s">
        <v>1207</v>
      </c>
      <c r="H2099" s="154" t="s">
        <v>1208</v>
      </c>
      <c r="I2099" s="156">
        <v>0.0</v>
      </c>
      <c r="J2099" s="156">
        <v>0.0</v>
      </c>
      <c r="K2099" s="156">
        <v>0.0</v>
      </c>
    </row>
    <row r="2100">
      <c r="A2100" s="154" t="s">
        <v>5063</v>
      </c>
      <c r="B2100" s="154" t="s">
        <v>5064</v>
      </c>
      <c r="D2100" s="154">
        <v>2.0</v>
      </c>
      <c r="E2100" s="154" t="s">
        <v>761</v>
      </c>
      <c r="F2100" s="154" t="s">
        <v>5065</v>
      </c>
      <c r="G2100" s="156">
        <v>0.0</v>
      </c>
      <c r="H2100" s="156">
        <v>0.0</v>
      </c>
      <c r="I2100" s="154">
        <v>5.0455628E8</v>
      </c>
      <c r="J2100" s="156">
        <v>0.0</v>
      </c>
      <c r="K2100" s="154" t="s">
        <v>361</v>
      </c>
    </row>
    <row r="2101">
      <c r="A2101" s="154" t="s">
        <v>5063</v>
      </c>
      <c r="B2101" s="155"/>
      <c r="C2101" s="154" t="s">
        <v>5064</v>
      </c>
      <c r="D2101" s="155"/>
      <c r="E2101" s="155"/>
      <c r="F2101" s="154" t="s">
        <v>5065</v>
      </c>
      <c r="G2101" s="156">
        <v>0.0</v>
      </c>
      <c r="H2101" s="156">
        <v>0.0</v>
      </c>
      <c r="I2101" s="154">
        <v>5.0455628E8</v>
      </c>
      <c r="J2101" s="156">
        <v>0.0</v>
      </c>
      <c r="K2101" s="154" t="s">
        <v>361</v>
      </c>
    </row>
    <row r="2102">
      <c r="A2102" s="154" t="s">
        <v>5066</v>
      </c>
      <c r="B2102" s="154" t="s">
        <v>5067</v>
      </c>
      <c r="D2102" s="154">
        <v>2.0</v>
      </c>
      <c r="E2102" s="154" t="s">
        <v>761</v>
      </c>
      <c r="F2102" s="154" t="s">
        <v>5068</v>
      </c>
      <c r="G2102" s="154">
        <v>4.2027174E7</v>
      </c>
      <c r="H2102" s="156">
        <v>0.0</v>
      </c>
      <c r="I2102" s="154">
        <v>5.56039777E8</v>
      </c>
      <c r="J2102" s="156">
        <v>0.0</v>
      </c>
      <c r="K2102" s="154" t="s">
        <v>259</v>
      </c>
    </row>
    <row r="2103">
      <c r="A2103" s="154" t="s">
        <v>5066</v>
      </c>
      <c r="B2103" s="155"/>
      <c r="C2103" s="154" t="s">
        <v>5067</v>
      </c>
      <c r="D2103" s="155"/>
      <c r="E2103" s="155"/>
      <c r="F2103" s="154" t="s">
        <v>5068</v>
      </c>
      <c r="G2103" s="154">
        <v>4.2027174E7</v>
      </c>
      <c r="H2103" s="156">
        <v>0.0</v>
      </c>
      <c r="I2103" s="154">
        <v>5.56039777E8</v>
      </c>
      <c r="J2103" s="156">
        <v>0.0</v>
      </c>
      <c r="K2103" s="154" t="s">
        <v>259</v>
      </c>
    </row>
    <row r="2104">
      <c r="A2104" s="154" t="s">
        <v>5069</v>
      </c>
      <c r="B2104" s="154" t="s">
        <v>5070</v>
      </c>
      <c r="D2104" s="154">
        <v>2.0</v>
      </c>
      <c r="E2104" s="154" t="s">
        <v>761</v>
      </c>
      <c r="F2104" s="154" t="s">
        <v>5071</v>
      </c>
      <c r="G2104" s="154">
        <v>5.05383031E8</v>
      </c>
      <c r="H2104" s="156">
        <v>0.0</v>
      </c>
      <c r="I2104" s="154">
        <v>5.05383031E8</v>
      </c>
      <c r="J2104" s="156">
        <v>0.0</v>
      </c>
      <c r="K2104" s="154" t="s">
        <v>1731</v>
      </c>
    </row>
    <row r="2105">
      <c r="A2105" s="154" t="s">
        <v>5069</v>
      </c>
      <c r="B2105" s="155"/>
      <c r="C2105" s="154" t="s">
        <v>5070</v>
      </c>
      <c r="D2105" s="155"/>
      <c r="E2105" s="155"/>
      <c r="F2105" s="154" t="s">
        <v>5071</v>
      </c>
      <c r="G2105" s="154">
        <v>5.05383031E8</v>
      </c>
      <c r="H2105" s="156">
        <v>0.0</v>
      </c>
      <c r="I2105" s="154">
        <v>5.05383031E8</v>
      </c>
      <c r="J2105" s="156">
        <v>0.0</v>
      </c>
      <c r="K2105" s="154" t="s">
        <v>1731</v>
      </c>
    </row>
    <row r="2106">
      <c r="A2106" s="154" t="s">
        <v>5072</v>
      </c>
      <c r="B2106" s="154" t="s">
        <v>5073</v>
      </c>
      <c r="D2106" s="154">
        <v>2.0</v>
      </c>
      <c r="E2106" s="154" t="s">
        <v>761</v>
      </c>
      <c r="F2106" s="154" t="s">
        <v>5074</v>
      </c>
      <c r="G2106" s="154" t="s">
        <v>5075</v>
      </c>
      <c r="H2106" s="154" t="s">
        <v>5076</v>
      </c>
      <c r="I2106" s="154" t="s">
        <v>5077</v>
      </c>
      <c r="J2106" s="154" t="s">
        <v>5075</v>
      </c>
      <c r="K2106" s="154" t="s">
        <v>207</v>
      </c>
    </row>
    <row r="2107">
      <c r="A2107" s="154" t="s">
        <v>5072</v>
      </c>
      <c r="B2107" s="155"/>
      <c r="C2107" s="154" t="s">
        <v>5073</v>
      </c>
      <c r="D2107" s="155"/>
      <c r="E2107" s="155"/>
      <c r="F2107" s="154" t="s">
        <v>5074</v>
      </c>
      <c r="G2107" s="154" t="s">
        <v>5075</v>
      </c>
      <c r="H2107" s="154" t="s">
        <v>5076</v>
      </c>
      <c r="I2107" s="154" t="s">
        <v>5077</v>
      </c>
      <c r="J2107" s="154" t="s">
        <v>5075</v>
      </c>
      <c r="K2107" s="154" t="s">
        <v>207</v>
      </c>
    </row>
    <row r="2108">
      <c r="A2108" s="154" t="s">
        <v>5078</v>
      </c>
      <c r="B2108" s="154" t="s">
        <v>5079</v>
      </c>
      <c r="D2108" s="154">
        <v>2.0</v>
      </c>
      <c r="E2108" s="154" t="s">
        <v>761</v>
      </c>
      <c r="F2108" s="154" t="s">
        <v>5080</v>
      </c>
      <c r="G2108" s="156">
        <v>0.0</v>
      </c>
      <c r="H2108" s="156">
        <v>0.0</v>
      </c>
      <c r="I2108" s="154" t="s">
        <v>5081</v>
      </c>
      <c r="J2108" s="154" t="s">
        <v>5082</v>
      </c>
      <c r="K2108" s="154" t="s">
        <v>361</v>
      </c>
    </row>
    <row r="2109">
      <c r="A2109" s="154" t="s">
        <v>5078</v>
      </c>
      <c r="B2109" s="155"/>
      <c r="C2109" s="154" t="s">
        <v>5079</v>
      </c>
      <c r="D2109" s="155"/>
      <c r="E2109" s="155"/>
      <c r="F2109" s="154" t="s">
        <v>5080</v>
      </c>
      <c r="G2109" s="156">
        <v>0.0</v>
      </c>
      <c r="H2109" s="156">
        <v>0.0</v>
      </c>
      <c r="I2109" s="154" t="s">
        <v>5081</v>
      </c>
      <c r="J2109" s="154" t="s">
        <v>5082</v>
      </c>
      <c r="K2109" s="154" t="s">
        <v>361</v>
      </c>
    </row>
    <row r="2110">
      <c r="A2110" s="154" t="s">
        <v>5083</v>
      </c>
      <c r="B2110" s="155"/>
      <c r="C2110" s="154" t="s">
        <v>5084</v>
      </c>
      <c r="D2110" s="155"/>
      <c r="E2110" s="155"/>
      <c r="F2110" s="154" t="s">
        <v>5085</v>
      </c>
      <c r="G2110" s="154">
        <v>4.3627788E7</v>
      </c>
      <c r="H2110" s="154" t="s">
        <v>5086</v>
      </c>
      <c r="I2110" s="154">
        <v>9.71509260022E11</v>
      </c>
      <c r="J2110" s="156">
        <v>0.0</v>
      </c>
      <c r="K2110" s="154" t="s">
        <v>914</v>
      </c>
    </row>
    <row r="2111">
      <c r="A2111" s="154" t="s">
        <v>5083</v>
      </c>
      <c r="B2111" s="154" t="s">
        <v>5084</v>
      </c>
      <c r="D2111" s="154">
        <v>2.0</v>
      </c>
      <c r="E2111" s="154" t="s">
        <v>761</v>
      </c>
      <c r="F2111" s="154" t="s">
        <v>5087</v>
      </c>
      <c r="G2111" s="156">
        <v>0.0</v>
      </c>
      <c r="H2111" s="156">
        <v>0.0</v>
      </c>
      <c r="I2111" s="154" t="s">
        <v>5088</v>
      </c>
      <c r="J2111" s="154" t="s">
        <v>5089</v>
      </c>
      <c r="K2111" s="154" t="s">
        <v>2195</v>
      </c>
    </row>
    <row r="2112">
      <c r="A2112" s="154" t="s">
        <v>5090</v>
      </c>
      <c r="B2112" s="154" t="s">
        <v>5091</v>
      </c>
      <c r="D2112" s="154">
        <v>2.0</v>
      </c>
      <c r="E2112" s="154" t="s">
        <v>761</v>
      </c>
      <c r="F2112" s="154" t="s">
        <v>5092</v>
      </c>
      <c r="G2112" s="154">
        <v>5.04499819E8</v>
      </c>
      <c r="H2112" s="156">
        <v>0.0</v>
      </c>
      <c r="I2112" s="154">
        <v>5.05833351E8</v>
      </c>
      <c r="J2112" s="156">
        <v>0.0</v>
      </c>
      <c r="K2112" s="154" t="s">
        <v>301</v>
      </c>
    </row>
    <row r="2113">
      <c r="A2113" s="154" t="s">
        <v>5090</v>
      </c>
      <c r="B2113" s="155"/>
      <c r="C2113" s="154" t="s">
        <v>5091</v>
      </c>
      <c r="D2113" s="155"/>
      <c r="E2113" s="155"/>
      <c r="F2113" s="154" t="s">
        <v>5092</v>
      </c>
      <c r="G2113" s="154">
        <v>5.04499819E8</v>
      </c>
      <c r="H2113" s="156">
        <v>0.0</v>
      </c>
      <c r="I2113" s="154">
        <v>5.05833351E8</v>
      </c>
      <c r="J2113" s="156">
        <v>0.0</v>
      </c>
      <c r="K2113" s="154" t="s">
        <v>301</v>
      </c>
    </row>
    <row r="2114">
      <c r="A2114" s="154" t="s">
        <v>5093</v>
      </c>
      <c r="B2114" s="154" t="s">
        <v>5094</v>
      </c>
      <c r="D2114" s="154">
        <v>2.0</v>
      </c>
      <c r="E2114" s="154" t="s">
        <v>761</v>
      </c>
      <c r="F2114" s="154" t="s">
        <v>5095</v>
      </c>
      <c r="G2114" s="154">
        <v>0.0</v>
      </c>
      <c r="H2114" s="156">
        <v>0.0</v>
      </c>
      <c r="I2114" s="156">
        <v>0.0</v>
      </c>
      <c r="J2114" s="156">
        <v>0.0</v>
      </c>
      <c r="K2114" s="156">
        <v>0.0</v>
      </c>
    </row>
    <row r="2115">
      <c r="A2115" s="154" t="s">
        <v>5093</v>
      </c>
      <c r="B2115" s="155"/>
      <c r="C2115" s="154" t="s">
        <v>5094</v>
      </c>
      <c r="D2115" s="155"/>
      <c r="E2115" s="155"/>
      <c r="F2115" s="154" t="s">
        <v>5095</v>
      </c>
      <c r="G2115" s="154">
        <v>0.0</v>
      </c>
      <c r="H2115" s="156">
        <v>0.0</v>
      </c>
      <c r="I2115" s="156">
        <v>0.0</v>
      </c>
      <c r="J2115" s="156">
        <v>0.0</v>
      </c>
      <c r="K2115" s="156">
        <v>0.0</v>
      </c>
    </row>
    <row r="2116">
      <c r="A2116" s="154" t="s">
        <v>5096</v>
      </c>
      <c r="B2116" s="155"/>
      <c r="C2116" s="154" t="s">
        <v>5097</v>
      </c>
      <c r="D2116" s="155"/>
      <c r="E2116" s="155"/>
      <c r="F2116" s="154" t="s">
        <v>5098</v>
      </c>
      <c r="G2116" s="156">
        <v>0.0</v>
      </c>
      <c r="H2116" s="154" t="s">
        <v>5099</v>
      </c>
      <c r="I2116" s="154" t="s">
        <v>5100</v>
      </c>
      <c r="J2116" s="156">
        <v>0.0</v>
      </c>
      <c r="K2116" s="154" t="s">
        <v>240</v>
      </c>
    </row>
    <row r="2117">
      <c r="A2117" s="154" t="s">
        <v>5096</v>
      </c>
      <c r="B2117" s="154" t="s">
        <v>5097</v>
      </c>
      <c r="D2117" s="154">
        <v>2.0</v>
      </c>
      <c r="E2117" s="154" t="s">
        <v>761</v>
      </c>
      <c r="F2117" s="154" t="s">
        <v>5098</v>
      </c>
      <c r="G2117" s="156">
        <v>0.0</v>
      </c>
      <c r="H2117" s="154" t="s">
        <v>5099</v>
      </c>
      <c r="I2117" s="154" t="s">
        <v>5100</v>
      </c>
      <c r="J2117" s="156">
        <v>0.0</v>
      </c>
      <c r="K2117" s="154" t="s">
        <v>240</v>
      </c>
    </row>
    <row r="2118">
      <c r="A2118" s="154" t="s">
        <v>5101</v>
      </c>
      <c r="B2118" s="155"/>
      <c r="C2118" s="154" t="s">
        <v>5102</v>
      </c>
      <c r="D2118" s="155"/>
      <c r="E2118" s="155"/>
      <c r="F2118" s="154" t="s">
        <v>5103</v>
      </c>
      <c r="G2118" s="154">
        <v>4.0E7</v>
      </c>
      <c r="H2118" s="156">
        <v>0.0</v>
      </c>
      <c r="I2118" s="154">
        <v>5.55668064E8</v>
      </c>
      <c r="J2118" s="156">
        <v>0.0</v>
      </c>
      <c r="K2118" s="154" t="s">
        <v>776</v>
      </c>
    </row>
    <row r="2119">
      <c r="A2119" s="154" t="s">
        <v>5101</v>
      </c>
      <c r="B2119" s="154" t="s">
        <v>5102</v>
      </c>
      <c r="D2119" s="154">
        <v>2.0</v>
      </c>
      <c r="E2119" s="154" t="s">
        <v>761</v>
      </c>
      <c r="F2119" s="154" t="s">
        <v>5103</v>
      </c>
      <c r="G2119" s="154">
        <v>4.0E7</v>
      </c>
      <c r="H2119" s="156">
        <v>0.0</v>
      </c>
      <c r="I2119" s="154">
        <v>5.55668064E8</v>
      </c>
      <c r="J2119" s="156">
        <v>0.0</v>
      </c>
      <c r="K2119" s="154" t="s">
        <v>776</v>
      </c>
    </row>
    <row r="2120">
      <c r="A2120" s="154" t="s">
        <v>5104</v>
      </c>
      <c r="B2120" s="155"/>
      <c r="C2120" s="154" t="s">
        <v>5105</v>
      </c>
      <c r="D2120" s="155"/>
      <c r="E2120" s="155"/>
      <c r="F2120" s="154" t="s">
        <v>5106</v>
      </c>
      <c r="G2120" s="156">
        <v>0.0</v>
      </c>
      <c r="H2120" s="156">
        <v>0.0</v>
      </c>
      <c r="I2120" s="154">
        <v>9.71504530455E11</v>
      </c>
      <c r="J2120" s="156">
        <v>0.0</v>
      </c>
      <c r="K2120" s="154" t="s">
        <v>240</v>
      </c>
    </row>
    <row r="2121">
      <c r="A2121" s="154" t="s">
        <v>5104</v>
      </c>
      <c r="B2121" s="154" t="s">
        <v>5105</v>
      </c>
      <c r="D2121" s="154">
        <v>2.0</v>
      </c>
      <c r="E2121" s="154" t="s">
        <v>761</v>
      </c>
      <c r="F2121" s="154" t="s">
        <v>5106</v>
      </c>
      <c r="G2121" s="156">
        <v>0.0</v>
      </c>
      <c r="H2121" s="156">
        <v>0.0</v>
      </c>
      <c r="I2121" s="154">
        <v>9.71504530455E11</v>
      </c>
      <c r="J2121" s="156">
        <v>0.0</v>
      </c>
      <c r="K2121" s="154" t="s">
        <v>240</v>
      </c>
    </row>
    <row r="2122">
      <c r="A2122" s="154" t="s">
        <v>5107</v>
      </c>
      <c r="B2122" s="154" t="s">
        <v>5108</v>
      </c>
      <c r="D2122" s="154">
        <v>2.0</v>
      </c>
      <c r="E2122" s="154" t="s">
        <v>761</v>
      </c>
      <c r="F2122" s="154" t="s">
        <v>5109</v>
      </c>
      <c r="G2122" s="154">
        <v>4.36E7</v>
      </c>
      <c r="H2122" s="156">
        <v>0.0</v>
      </c>
      <c r="I2122" s="156">
        <v>0.0</v>
      </c>
      <c r="J2122" s="156">
        <v>0.0</v>
      </c>
      <c r="K2122" s="154" t="s">
        <v>253</v>
      </c>
    </row>
    <row r="2123">
      <c r="A2123" s="154" t="s">
        <v>5107</v>
      </c>
      <c r="B2123" s="155"/>
      <c r="C2123" s="154" t="s">
        <v>5108</v>
      </c>
      <c r="D2123" s="155"/>
      <c r="E2123" s="155"/>
      <c r="F2123" s="154" t="s">
        <v>5109</v>
      </c>
      <c r="G2123" s="154">
        <v>4.36E7</v>
      </c>
      <c r="H2123" s="156">
        <v>0.0</v>
      </c>
      <c r="I2123" s="156">
        <v>0.0</v>
      </c>
      <c r="J2123" s="156">
        <v>0.0</v>
      </c>
      <c r="K2123" s="154" t="s">
        <v>253</v>
      </c>
    </row>
    <row r="2124">
      <c r="A2124" s="154" t="s">
        <v>5110</v>
      </c>
      <c r="B2124" s="155"/>
      <c r="C2124" s="154" t="s">
        <v>5111</v>
      </c>
      <c r="D2124" s="155"/>
      <c r="E2124" s="155"/>
      <c r="F2124" s="154" t="s">
        <v>5112</v>
      </c>
      <c r="G2124" s="154">
        <v>5.03756774E8</v>
      </c>
      <c r="H2124" s="156">
        <v>0.0</v>
      </c>
      <c r="I2124" s="154">
        <v>5.04870266E8</v>
      </c>
      <c r="J2124" s="156">
        <v>0.0</v>
      </c>
      <c r="K2124" s="154" t="s">
        <v>361</v>
      </c>
    </row>
    <row r="2125">
      <c r="A2125" s="154" t="s">
        <v>5110</v>
      </c>
      <c r="B2125" s="154" t="s">
        <v>5111</v>
      </c>
      <c r="D2125" s="154">
        <v>2.0</v>
      </c>
      <c r="E2125" s="154" t="s">
        <v>761</v>
      </c>
      <c r="F2125" s="154" t="s">
        <v>3084</v>
      </c>
      <c r="G2125" s="156">
        <v>0.0</v>
      </c>
      <c r="H2125" s="154" t="s">
        <v>3085</v>
      </c>
      <c r="I2125" s="154" t="s">
        <v>3086</v>
      </c>
      <c r="J2125" s="154" t="s">
        <v>3087</v>
      </c>
      <c r="K2125" s="154" t="s">
        <v>361</v>
      </c>
    </row>
    <row r="2126">
      <c r="A2126" s="154" t="s">
        <v>5113</v>
      </c>
      <c r="B2126" s="154" t="s">
        <v>5114</v>
      </c>
      <c r="D2126" s="154">
        <v>2.0</v>
      </c>
      <c r="E2126" s="154" t="s">
        <v>761</v>
      </c>
      <c r="F2126" s="154" t="s">
        <v>5115</v>
      </c>
      <c r="G2126" s="154">
        <v>4.8812222E7</v>
      </c>
      <c r="H2126" s="156">
        <v>0.0</v>
      </c>
      <c r="I2126" s="154">
        <v>5.04513756E8</v>
      </c>
      <c r="J2126" s="156">
        <v>0.0</v>
      </c>
      <c r="K2126" s="154" t="s">
        <v>2195</v>
      </c>
    </row>
    <row r="2127">
      <c r="A2127" s="154" t="s">
        <v>5113</v>
      </c>
      <c r="B2127" s="155"/>
      <c r="C2127" s="154" t="s">
        <v>5114</v>
      </c>
      <c r="D2127" s="155"/>
      <c r="E2127" s="155"/>
      <c r="F2127" s="154" t="s">
        <v>5115</v>
      </c>
      <c r="G2127" s="154">
        <v>4.8812222E7</v>
      </c>
      <c r="H2127" s="156">
        <v>0.0</v>
      </c>
      <c r="I2127" s="154">
        <v>5.04513756E8</v>
      </c>
      <c r="J2127" s="156">
        <v>0.0</v>
      </c>
      <c r="K2127" s="154" t="s">
        <v>2195</v>
      </c>
    </row>
    <row r="2128">
      <c r="A2128" s="154" t="s">
        <v>5116</v>
      </c>
      <c r="B2128" s="154" t="s">
        <v>5117</v>
      </c>
      <c r="D2128" s="154">
        <v>2.0</v>
      </c>
      <c r="E2128" s="154" t="s">
        <v>761</v>
      </c>
      <c r="F2128" s="154" t="s">
        <v>5118</v>
      </c>
      <c r="G2128" s="154" t="s">
        <v>5119</v>
      </c>
      <c r="H2128" s="154" t="s">
        <v>5120</v>
      </c>
      <c r="I2128" s="154" t="s">
        <v>5121</v>
      </c>
      <c r="J2128" s="154" t="s">
        <v>5122</v>
      </c>
      <c r="K2128" s="154" t="s">
        <v>217</v>
      </c>
    </row>
    <row r="2129">
      <c r="A2129" s="154" t="s">
        <v>5116</v>
      </c>
      <c r="B2129" s="155"/>
      <c r="C2129" s="154" t="s">
        <v>5117</v>
      </c>
      <c r="D2129" s="155"/>
      <c r="E2129" s="155"/>
      <c r="F2129" s="154" t="s">
        <v>5118</v>
      </c>
      <c r="G2129" s="154" t="s">
        <v>5119</v>
      </c>
      <c r="H2129" s="154" t="s">
        <v>5120</v>
      </c>
      <c r="I2129" s="154" t="s">
        <v>5121</v>
      </c>
      <c r="J2129" s="154" t="s">
        <v>5122</v>
      </c>
      <c r="K2129" s="154" t="s">
        <v>217</v>
      </c>
    </row>
    <row r="2130">
      <c r="A2130" s="154" t="s">
        <v>5123</v>
      </c>
      <c r="B2130" s="154" t="s">
        <v>5124</v>
      </c>
      <c r="D2130" s="154">
        <v>2.0</v>
      </c>
      <c r="E2130" s="154" t="s">
        <v>761</v>
      </c>
      <c r="F2130" s="154" t="s">
        <v>5125</v>
      </c>
      <c r="G2130" s="154">
        <v>4.4419549E7</v>
      </c>
      <c r="H2130" s="156">
        <v>0.0</v>
      </c>
      <c r="I2130" s="154">
        <v>5.52201236E8</v>
      </c>
      <c r="J2130" s="156">
        <v>0.0</v>
      </c>
      <c r="K2130" s="154" t="s">
        <v>361</v>
      </c>
    </row>
    <row r="2131">
      <c r="A2131" s="154" t="s">
        <v>5123</v>
      </c>
      <c r="B2131" s="155"/>
      <c r="C2131" s="154" t="s">
        <v>5124</v>
      </c>
      <c r="D2131" s="155"/>
      <c r="E2131" s="155"/>
      <c r="F2131" s="154" t="s">
        <v>5125</v>
      </c>
      <c r="G2131" s="154">
        <v>4.4419549E7</v>
      </c>
      <c r="H2131" s="156">
        <v>0.0</v>
      </c>
      <c r="I2131" s="154">
        <v>5.52201236E8</v>
      </c>
      <c r="J2131" s="156">
        <v>0.0</v>
      </c>
      <c r="K2131" s="154" t="s">
        <v>361</v>
      </c>
    </row>
    <row r="2132">
      <c r="A2132" s="154" t="s">
        <v>5126</v>
      </c>
      <c r="B2132" s="154" t="s">
        <v>5127</v>
      </c>
      <c r="D2132" s="154">
        <v>2.0</v>
      </c>
      <c r="E2132" s="154" t="s">
        <v>761</v>
      </c>
      <c r="F2132" s="154" t="s">
        <v>5128</v>
      </c>
      <c r="G2132" s="156">
        <v>0.0</v>
      </c>
      <c r="H2132" s="154" t="s">
        <v>5129</v>
      </c>
      <c r="I2132" s="154" t="s">
        <v>5130</v>
      </c>
      <c r="J2132" s="154" t="s">
        <v>5131</v>
      </c>
      <c r="K2132" s="154" t="s">
        <v>361</v>
      </c>
    </row>
    <row r="2133">
      <c r="A2133" s="154" t="s">
        <v>5126</v>
      </c>
      <c r="B2133" s="155"/>
      <c r="C2133" s="154" t="s">
        <v>5127</v>
      </c>
      <c r="D2133" s="155"/>
      <c r="E2133" s="155"/>
      <c r="F2133" s="154" t="s">
        <v>5128</v>
      </c>
      <c r="G2133" s="156">
        <v>0.0</v>
      </c>
      <c r="H2133" s="154" t="s">
        <v>5129</v>
      </c>
      <c r="I2133" s="154" t="s">
        <v>5130</v>
      </c>
      <c r="J2133" s="154" t="s">
        <v>5131</v>
      </c>
      <c r="K2133" s="154" t="s">
        <v>361</v>
      </c>
    </row>
    <row r="2134">
      <c r="A2134" s="154" t="s">
        <v>5132</v>
      </c>
      <c r="B2134" s="155"/>
      <c r="C2134" s="154" t="s">
        <v>5133</v>
      </c>
      <c r="D2134" s="155"/>
      <c r="E2134" s="155"/>
      <c r="F2134" s="154" t="s">
        <v>5134</v>
      </c>
      <c r="G2134" s="154">
        <v>5.66037925E8</v>
      </c>
      <c r="H2134" s="156">
        <v>0.0</v>
      </c>
      <c r="I2134" s="154">
        <v>5.66037925E8</v>
      </c>
      <c r="J2134" s="156">
        <v>0.0</v>
      </c>
      <c r="K2134" s="154" t="s">
        <v>1461</v>
      </c>
    </row>
    <row r="2135">
      <c r="A2135" s="154" t="s">
        <v>5132</v>
      </c>
      <c r="B2135" s="154" t="s">
        <v>5133</v>
      </c>
      <c r="D2135" s="154">
        <v>2.0</v>
      </c>
      <c r="E2135" s="154" t="s">
        <v>761</v>
      </c>
      <c r="F2135" s="154" t="s">
        <v>5134</v>
      </c>
      <c r="G2135" s="154">
        <v>5.66037925E8</v>
      </c>
      <c r="H2135" s="156">
        <v>0.0</v>
      </c>
      <c r="I2135" s="154">
        <v>5.66037925E8</v>
      </c>
      <c r="J2135" s="156">
        <v>0.0</v>
      </c>
      <c r="K2135" s="154" t="s">
        <v>1461</v>
      </c>
    </row>
    <row r="2136">
      <c r="A2136" s="154" t="s">
        <v>5135</v>
      </c>
      <c r="B2136" s="154" t="s">
        <v>5136</v>
      </c>
      <c r="D2136" s="154">
        <v>2.0</v>
      </c>
      <c r="E2136" s="154" t="s">
        <v>761</v>
      </c>
      <c r="F2136" s="154" t="s">
        <v>5137</v>
      </c>
      <c r="G2136" s="154">
        <v>4.2648646E7</v>
      </c>
      <c r="H2136" s="156">
        <v>0.0</v>
      </c>
      <c r="I2136" s="154">
        <v>9.71506699369E11</v>
      </c>
      <c r="J2136" s="156">
        <v>0.0</v>
      </c>
      <c r="K2136" s="154" t="s">
        <v>760</v>
      </c>
    </row>
    <row r="2137">
      <c r="A2137" s="154" t="s">
        <v>5135</v>
      </c>
      <c r="B2137" s="155"/>
      <c r="C2137" s="154" t="s">
        <v>5136</v>
      </c>
      <c r="D2137" s="155"/>
      <c r="E2137" s="155"/>
      <c r="F2137" s="154" t="s">
        <v>5137</v>
      </c>
      <c r="G2137" s="154">
        <v>4.2648646E7</v>
      </c>
      <c r="H2137" s="156">
        <v>0.0</v>
      </c>
      <c r="I2137" s="154">
        <v>9.71506699369E11</v>
      </c>
      <c r="J2137" s="156">
        <v>0.0</v>
      </c>
      <c r="K2137" s="154" t="s">
        <v>760</v>
      </c>
    </row>
    <row r="2138">
      <c r="A2138" s="154" t="s">
        <v>5138</v>
      </c>
      <c r="B2138" s="154" t="s">
        <v>5139</v>
      </c>
      <c r="D2138" s="154">
        <v>2.0</v>
      </c>
      <c r="E2138" s="154" t="s">
        <v>761</v>
      </c>
      <c r="F2138" s="154" t="s">
        <v>5140</v>
      </c>
      <c r="G2138" s="156">
        <v>0.0</v>
      </c>
      <c r="H2138" s="154" t="s">
        <v>5141</v>
      </c>
      <c r="I2138" s="154" t="s">
        <v>5142</v>
      </c>
      <c r="J2138" s="156">
        <v>0.0</v>
      </c>
      <c r="K2138" s="154" t="s">
        <v>197</v>
      </c>
    </row>
    <row r="2139">
      <c r="A2139" s="154" t="s">
        <v>5138</v>
      </c>
      <c r="B2139" s="155"/>
      <c r="C2139" s="154" t="s">
        <v>5139</v>
      </c>
      <c r="D2139" s="155"/>
      <c r="E2139" s="155"/>
      <c r="F2139" s="154" t="s">
        <v>5140</v>
      </c>
      <c r="G2139" s="156">
        <v>0.0</v>
      </c>
      <c r="H2139" s="154" t="s">
        <v>5141</v>
      </c>
      <c r="I2139" s="154" t="s">
        <v>5142</v>
      </c>
      <c r="J2139" s="156">
        <v>0.0</v>
      </c>
      <c r="K2139" s="154" t="s">
        <v>197</v>
      </c>
    </row>
    <row r="2140">
      <c r="A2140" s="154" t="s">
        <v>5143</v>
      </c>
      <c r="B2140" s="155"/>
      <c r="C2140" s="154" t="s">
        <v>5144</v>
      </c>
      <c r="D2140" s="155"/>
      <c r="E2140" s="155"/>
      <c r="F2140" s="154" t="s">
        <v>5145</v>
      </c>
      <c r="G2140" s="154">
        <v>971.0</v>
      </c>
      <c r="H2140" s="154" t="s">
        <v>5146</v>
      </c>
      <c r="I2140" s="154" t="s">
        <v>5147</v>
      </c>
      <c r="J2140" s="156">
        <v>0.0</v>
      </c>
      <c r="K2140" s="154" t="s">
        <v>207</v>
      </c>
    </row>
    <row r="2141">
      <c r="A2141" s="154" t="s">
        <v>5143</v>
      </c>
      <c r="B2141" s="154" t="s">
        <v>5144</v>
      </c>
      <c r="D2141" s="154">
        <v>2.0</v>
      </c>
      <c r="E2141" s="154" t="s">
        <v>761</v>
      </c>
      <c r="F2141" s="154" t="s">
        <v>5145</v>
      </c>
      <c r="G2141" s="154">
        <v>971.0</v>
      </c>
      <c r="H2141" s="154" t="s">
        <v>5146</v>
      </c>
      <c r="I2141" s="154" t="s">
        <v>5147</v>
      </c>
      <c r="J2141" s="156">
        <v>0.0</v>
      </c>
      <c r="K2141" s="154" t="s">
        <v>207</v>
      </c>
    </row>
    <row r="2142">
      <c r="A2142" s="154" t="s">
        <v>5148</v>
      </c>
      <c r="B2142" s="155"/>
      <c r="C2142" s="154" t="s">
        <v>5149</v>
      </c>
      <c r="D2142" s="155"/>
      <c r="E2142" s="155"/>
      <c r="F2142" s="154" t="s">
        <v>5150</v>
      </c>
      <c r="G2142" s="156">
        <v>0.0</v>
      </c>
      <c r="H2142" s="156">
        <v>0.0</v>
      </c>
      <c r="I2142" s="154" t="s">
        <v>5151</v>
      </c>
      <c r="J2142" s="156">
        <v>0.0</v>
      </c>
      <c r="K2142" s="154" t="s">
        <v>914</v>
      </c>
    </row>
    <row r="2143">
      <c r="A2143" s="154" t="s">
        <v>5148</v>
      </c>
      <c r="B2143" s="154" t="s">
        <v>5149</v>
      </c>
      <c r="D2143" s="154">
        <v>2.0</v>
      </c>
      <c r="E2143" s="154" t="s">
        <v>761</v>
      </c>
      <c r="F2143" s="154" t="s">
        <v>5150</v>
      </c>
      <c r="G2143" s="156">
        <v>0.0</v>
      </c>
      <c r="H2143" s="156">
        <v>0.0</v>
      </c>
      <c r="I2143" s="154" t="s">
        <v>5151</v>
      </c>
      <c r="J2143" s="156">
        <v>0.0</v>
      </c>
      <c r="K2143" s="154" t="s">
        <v>914</v>
      </c>
    </row>
    <row r="2144">
      <c r="A2144" s="154" t="s">
        <v>5152</v>
      </c>
      <c r="B2144" s="154" t="s">
        <v>5153</v>
      </c>
      <c r="D2144" s="154">
        <v>2.0</v>
      </c>
      <c r="E2144" s="154" t="s">
        <v>761</v>
      </c>
      <c r="F2144" s="154" t="s">
        <v>5154</v>
      </c>
      <c r="G2144" s="156">
        <v>0.0</v>
      </c>
      <c r="H2144" s="156">
        <v>0.0</v>
      </c>
      <c r="I2144" s="154">
        <v>0.0</v>
      </c>
      <c r="J2144" s="156">
        <v>0.0</v>
      </c>
      <c r="K2144" s="154" t="s">
        <v>301</v>
      </c>
    </row>
    <row r="2145">
      <c r="A2145" s="154" t="s">
        <v>5152</v>
      </c>
      <c r="B2145" s="155"/>
      <c r="C2145" s="154" t="s">
        <v>5153</v>
      </c>
      <c r="D2145" s="155"/>
      <c r="E2145" s="155"/>
      <c r="F2145" s="154" t="s">
        <v>5154</v>
      </c>
      <c r="G2145" s="156">
        <v>0.0</v>
      </c>
      <c r="H2145" s="156">
        <v>0.0</v>
      </c>
      <c r="I2145" s="154">
        <v>0.0</v>
      </c>
      <c r="J2145" s="156">
        <v>0.0</v>
      </c>
      <c r="K2145" s="154" t="s">
        <v>301</v>
      </c>
    </row>
    <row r="2146">
      <c r="A2146" s="154" t="s">
        <v>5155</v>
      </c>
      <c r="B2146" s="154" t="s">
        <v>5156</v>
      </c>
      <c r="D2146" s="154">
        <v>2.0</v>
      </c>
      <c r="E2146" s="154" t="s">
        <v>761</v>
      </c>
      <c r="F2146" s="154" t="s">
        <v>5157</v>
      </c>
      <c r="G2146" s="156">
        <v>0.0</v>
      </c>
      <c r="H2146" s="156">
        <v>0.0</v>
      </c>
      <c r="I2146" s="156">
        <v>0.0</v>
      </c>
      <c r="J2146" s="156">
        <v>0.0</v>
      </c>
      <c r="K2146" s="154" t="s">
        <v>259</v>
      </c>
    </row>
    <row r="2147">
      <c r="A2147" s="154" t="s">
        <v>5155</v>
      </c>
      <c r="B2147" s="155"/>
      <c r="C2147" s="154" t="s">
        <v>5156</v>
      </c>
      <c r="D2147" s="155"/>
      <c r="E2147" s="155"/>
      <c r="F2147" s="154" t="s">
        <v>5157</v>
      </c>
      <c r="G2147" s="156">
        <v>0.0</v>
      </c>
      <c r="H2147" s="156">
        <v>0.0</v>
      </c>
      <c r="I2147" s="156">
        <v>0.0</v>
      </c>
      <c r="J2147" s="156">
        <v>0.0</v>
      </c>
      <c r="K2147" s="154" t="s">
        <v>259</v>
      </c>
    </row>
    <row r="2148">
      <c r="A2148" s="154" t="s">
        <v>5158</v>
      </c>
      <c r="B2148" s="154" t="s">
        <v>5159</v>
      </c>
      <c r="D2148" s="154">
        <v>2.0</v>
      </c>
      <c r="E2148" s="154" t="s">
        <v>761</v>
      </c>
      <c r="F2148" s="154" t="s">
        <v>5160</v>
      </c>
      <c r="G2148" s="156">
        <v>0.0</v>
      </c>
      <c r="H2148" s="156">
        <v>0.0</v>
      </c>
      <c r="I2148" s="154">
        <v>9.71509508596E11</v>
      </c>
      <c r="J2148" s="156">
        <v>0.0</v>
      </c>
      <c r="K2148" s="154" t="s">
        <v>1465</v>
      </c>
    </row>
    <row r="2149">
      <c r="A2149" s="154" t="s">
        <v>5158</v>
      </c>
      <c r="B2149" s="155"/>
      <c r="C2149" s="154" t="s">
        <v>5159</v>
      </c>
      <c r="D2149" s="155"/>
      <c r="E2149" s="155"/>
      <c r="F2149" s="154" t="s">
        <v>5161</v>
      </c>
      <c r="G2149" s="154">
        <v>2032416.0</v>
      </c>
      <c r="H2149" s="156">
        <v>0.0</v>
      </c>
      <c r="I2149" s="154">
        <v>9.71508768747E11</v>
      </c>
      <c r="J2149" s="156">
        <v>0.0</v>
      </c>
      <c r="K2149" s="154" t="s">
        <v>1874</v>
      </c>
    </row>
    <row r="2150">
      <c r="A2150" s="154" t="s">
        <v>5162</v>
      </c>
      <c r="B2150" s="154" t="s">
        <v>5163</v>
      </c>
      <c r="D2150" s="154">
        <v>2.0</v>
      </c>
      <c r="E2150" s="154" t="s">
        <v>761</v>
      </c>
      <c r="F2150" s="154" t="s">
        <v>5164</v>
      </c>
      <c r="G2150" s="156">
        <v>0.0</v>
      </c>
      <c r="H2150" s="154" t="s">
        <v>5165</v>
      </c>
      <c r="I2150" s="154" t="s">
        <v>5166</v>
      </c>
      <c r="J2150" s="154" t="s">
        <v>5167</v>
      </c>
      <c r="K2150" s="154" t="s">
        <v>259</v>
      </c>
    </row>
    <row r="2151">
      <c r="A2151" s="154" t="s">
        <v>5162</v>
      </c>
      <c r="B2151" s="155"/>
      <c r="C2151" s="154" t="s">
        <v>5163</v>
      </c>
      <c r="D2151" s="155"/>
      <c r="E2151" s="155"/>
      <c r="F2151" s="154" t="s">
        <v>5168</v>
      </c>
      <c r="G2151" s="154">
        <v>971.0</v>
      </c>
      <c r="H2151" s="156">
        <v>0.0</v>
      </c>
      <c r="I2151" s="154" t="s">
        <v>5169</v>
      </c>
      <c r="J2151" s="154" t="s">
        <v>809</v>
      </c>
      <c r="K2151" s="154" t="s">
        <v>259</v>
      </c>
    </row>
    <row r="2152">
      <c r="A2152" s="154" t="s">
        <v>5170</v>
      </c>
      <c r="B2152" s="155"/>
      <c r="C2152" s="154" t="s">
        <v>5171</v>
      </c>
      <c r="D2152" s="155"/>
      <c r="E2152" s="155"/>
      <c r="F2152" s="154" t="s">
        <v>5172</v>
      </c>
      <c r="G2152" s="156">
        <v>0.0</v>
      </c>
      <c r="H2152" s="156">
        <v>0.0</v>
      </c>
      <c r="I2152" s="154">
        <v>9.71556029886E11</v>
      </c>
      <c r="J2152" s="156">
        <v>0.0</v>
      </c>
      <c r="K2152" s="154" t="s">
        <v>939</v>
      </c>
    </row>
    <row r="2153">
      <c r="A2153" s="154" t="s">
        <v>5170</v>
      </c>
      <c r="B2153" s="154" t="s">
        <v>5171</v>
      </c>
      <c r="D2153" s="154">
        <v>2.0</v>
      </c>
      <c r="E2153" s="154" t="s">
        <v>761</v>
      </c>
      <c r="F2153" s="154" t="s">
        <v>5172</v>
      </c>
      <c r="G2153" s="156">
        <v>0.0</v>
      </c>
      <c r="H2153" s="156">
        <v>0.0</v>
      </c>
      <c r="I2153" s="154">
        <v>9.71556029886E11</v>
      </c>
      <c r="J2153" s="156">
        <v>0.0</v>
      </c>
      <c r="K2153" s="154" t="s">
        <v>939</v>
      </c>
    </row>
    <row r="2154">
      <c r="A2154" s="154" t="s">
        <v>5173</v>
      </c>
      <c r="B2154" s="154" t="s">
        <v>5174</v>
      </c>
      <c r="D2154" s="154">
        <v>2.0</v>
      </c>
      <c r="E2154" s="154" t="s">
        <v>761</v>
      </c>
      <c r="F2154" s="154" t="s">
        <v>5175</v>
      </c>
      <c r="G2154" s="154">
        <v>2.2017499E7</v>
      </c>
      <c r="H2154" s="156">
        <v>0.0</v>
      </c>
      <c r="I2154" s="154">
        <v>9.71552017499E11</v>
      </c>
      <c r="J2154" s="156">
        <v>0.0</v>
      </c>
      <c r="K2154" s="154" t="s">
        <v>206</v>
      </c>
    </row>
    <row r="2155">
      <c r="A2155" s="154" t="s">
        <v>5173</v>
      </c>
      <c r="B2155" s="155"/>
      <c r="C2155" s="154" t="s">
        <v>5174</v>
      </c>
      <c r="D2155" s="155"/>
      <c r="E2155" s="155"/>
      <c r="F2155" s="154" t="s">
        <v>5175</v>
      </c>
      <c r="G2155" s="154">
        <v>2.2017499E7</v>
      </c>
      <c r="H2155" s="156">
        <v>0.0</v>
      </c>
      <c r="I2155" s="154">
        <v>9.71552017499E11</v>
      </c>
      <c r="J2155" s="156">
        <v>0.0</v>
      </c>
      <c r="K2155" s="154" t="s">
        <v>206</v>
      </c>
    </row>
    <row r="2156">
      <c r="A2156" s="154" t="s">
        <v>5176</v>
      </c>
      <c r="B2156" s="155"/>
      <c r="C2156" s="154" t="s">
        <v>5177</v>
      </c>
      <c r="D2156" s="155"/>
      <c r="E2156" s="155"/>
      <c r="F2156" s="154" t="s">
        <v>5178</v>
      </c>
      <c r="G2156" s="154">
        <v>9.71506001111E11</v>
      </c>
      <c r="H2156" s="156">
        <v>0.0</v>
      </c>
      <c r="I2156" s="154">
        <v>9.71506521756E11</v>
      </c>
      <c r="J2156" s="156">
        <v>0.0</v>
      </c>
      <c r="K2156" s="154" t="s">
        <v>760</v>
      </c>
    </row>
    <row r="2157">
      <c r="A2157" s="154" t="s">
        <v>5176</v>
      </c>
      <c r="B2157" s="154" t="s">
        <v>5177</v>
      </c>
      <c r="D2157" s="154">
        <v>2.0</v>
      </c>
      <c r="E2157" s="154" t="s">
        <v>761</v>
      </c>
      <c r="F2157" s="154" t="s">
        <v>5178</v>
      </c>
      <c r="G2157" s="154">
        <v>9.71506001111E11</v>
      </c>
      <c r="H2157" s="156">
        <v>0.0</v>
      </c>
      <c r="I2157" s="154">
        <v>9.71506521756E11</v>
      </c>
      <c r="J2157" s="156">
        <v>0.0</v>
      </c>
      <c r="K2157" s="154" t="s">
        <v>760</v>
      </c>
    </row>
    <row r="2158">
      <c r="A2158" s="154" t="s">
        <v>5179</v>
      </c>
      <c r="B2158" s="154" t="s">
        <v>5180</v>
      </c>
      <c r="D2158" s="154">
        <v>2.0</v>
      </c>
      <c r="E2158" s="154" t="s">
        <v>761</v>
      </c>
      <c r="F2158" s="154" t="s">
        <v>5181</v>
      </c>
      <c r="G2158" s="154">
        <v>4.3911111E7</v>
      </c>
      <c r="H2158" s="156">
        <v>0.0</v>
      </c>
      <c r="I2158" s="154">
        <v>5.05027849E8</v>
      </c>
      <c r="J2158" s="156">
        <v>0.0</v>
      </c>
      <c r="K2158" s="154" t="s">
        <v>259</v>
      </c>
    </row>
    <row r="2159">
      <c r="A2159" s="154" t="s">
        <v>5179</v>
      </c>
      <c r="B2159" s="155"/>
      <c r="C2159" s="154" t="s">
        <v>5180</v>
      </c>
      <c r="D2159" s="155"/>
      <c r="E2159" s="155"/>
      <c r="F2159" s="154" t="s">
        <v>5181</v>
      </c>
      <c r="G2159" s="154">
        <v>4.3911111E7</v>
      </c>
      <c r="H2159" s="156">
        <v>0.0</v>
      </c>
      <c r="I2159" s="154">
        <v>5.05027849E8</v>
      </c>
      <c r="J2159" s="156">
        <v>0.0</v>
      </c>
      <c r="K2159" s="154" t="s">
        <v>259</v>
      </c>
    </row>
    <row r="2160">
      <c r="A2160" s="154" t="s">
        <v>5182</v>
      </c>
      <c r="B2160" s="155"/>
      <c r="C2160" s="154" t="s">
        <v>5183</v>
      </c>
      <c r="D2160" s="155"/>
      <c r="E2160" s="155"/>
      <c r="F2160" s="154" t="s">
        <v>5184</v>
      </c>
      <c r="G2160" s="156">
        <v>0.0</v>
      </c>
      <c r="H2160" s="156">
        <v>0.0</v>
      </c>
      <c r="I2160" s="154" t="s">
        <v>5185</v>
      </c>
      <c r="J2160" s="154" t="s">
        <v>5186</v>
      </c>
      <c r="K2160" s="154" t="s">
        <v>206</v>
      </c>
    </row>
    <row r="2161">
      <c r="A2161" s="154" t="s">
        <v>5182</v>
      </c>
      <c r="B2161" s="154" t="s">
        <v>5183</v>
      </c>
      <c r="D2161" s="154">
        <v>2.0</v>
      </c>
      <c r="E2161" s="154" t="s">
        <v>761</v>
      </c>
      <c r="F2161" s="154" t="s">
        <v>5184</v>
      </c>
      <c r="G2161" s="156">
        <v>0.0</v>
      </c>
      <c r="H2161" s="156">
        <v>0.0</v>
      </c>
      <c r="I2161" s="154" t="s">
        <v>5185</v>
      </c>
      <c r="J2161" s="154" t="s">
        <v>5186</v>
      </c>
      <c r="K2161" s="154" t="s">
        <v>206</v>
      </c>
    </row>
    <row r="2162">
      <c r="A2162" s="154" t="s">
        <v>5187</v>
      </c>
      <c r="B2162" s="155"/>
      <c r="C2162" s="154" t="s">
        <v>5188</v>
      </c>
      <c r="D2162" s="155"/>
      <c r="E2162" s="155"/>
      <c r="F2162" s="154" t="s">
        <v>5189</v>
      </c>
      <c r="G2162" s="156">
        <v>0.0</v>
      </c>
      <c r="H2162" s="156">
        <v>0.0</v>
      </c>
      <c r="I2162" s="154" t="s">
        <v>5190</v>
      </c>
      <c r="J2162" s="154" t="s">
        <v>5191</v>
      </c>
      <c r="K2162" s="154" t="s">
        <v>329</v>
      </c>
    </row>
    <row r="2163">
      <c r="A2163" s="154" t="s">
        <v>5187</v>
      </c>
      <c r="B2163" s="154" t="s">
        <v>5188</v>
      </c>
      <c r="D2163" s="154">
        <v>2.0</v>
      </c>
      <c r="E2163" s="154" t="s">
        <v>761</v>
      </c>
      <c r="F2163" s="154" t="s">
        <v>792</v>
      </c>
      <c r="G2163" s="154" t="s">
        <v>793</v>
      </c>
      <c r="H2163" s="154" t="s">
        <v>794</v>
      </c>
      <c r="I2163" s="156">
        <v>0.0</v>
      </c>
      <c r="J2163" s="156">
        <v>0.0</v>
      </c>
      <c r="K2163" s="156">
        <v>0.0</v>
      </c>
    </row>
    <row r="2164">
      <c r="A2164" s="154" t="s">
        <v>5192</v>
      </c>
      <c r="B2164" s="154" t="s">
        <v>5193</v>
      </c>
      <c r="D2164" s="154">
        <v>2.0</v>
      </c>
      <c r="E2164" s="154" t="s">
        <v>761</v>
      </c>
      <c r="F2164" s="154" t="s">
        <v>5194</v>
      </c>
      <c r="G2164" s="154">
        <v>1.0</v>
      </c>
      <c r="H2164" s="156">
        <v>0.0</v>
      </c>
      <c r="I2164" s="154">
        <v>5.06552464E8</v>
      </c>
      <c r="J2164" s="156">
        <v>0.0</v>
      </c>
      <c r="K2164" s="154" t="s">
        <v>361</v>
      </c>
    </row>
    <row r="2165">
      <c r="A2165" s="154" t="s">
        <v>5192</v>
      </c>
      <c r="B2165" s="155"/>
      <c r="C2165" s="154" t="s">
        <v>5193</v>
      </c>
      <c r="D2165" s="155"/>
      <c r="E2165" s="155"/>
      <c r="F2165" s="154" t="s">
        <v>1190</v>
      </c>
      <c r="G2165" s="154">
        <v>5.0851975E8</v>
      </c>
      <c r="H2165" s="154" t="s">
        <v>1191</v>
      </c>
      <c r="I2165" s="156">
        <v>0.0</v>
      </c>
      <c r="J2165" s="156">
        <v>0.0</v>
      </c>
      <c r="K2165" s="156">
        <v>0.0</v>
      </c>
    </row>
    <row r="2166">
      <c r="A2166" s="154" t="s">
        <v>5195</v>
      </c>
      <c r="B2166" s="155"/>
      <c r="C2166" s="154" t="s">
        <v>5196</v>
      </c>
      <c r="D2166" s="155"/>
      <c r="E2166" s="155"/>
      <c r="F2166" s="154" t="s">
        <v>849</v>
      </c>
      <c r="G2166" s="154" t="s">
        <v>850</v>
      </c>
      <c r="H2166" s="154" t="s">
        <v>851</v>
      </c>
      <c r="I2166" s="156">
        <v>0.0</v>
      </c>
      <c r="J2166" s="156">
        <v>0.0</v>
      </c>
      <c r="K2166" s="156">
        <v>0.0</v>
      </c>
    </row>
    <row r="2167">
      <c r="A2167" s="154" t="s">
        <v>5195</v>
      </c>
      <c r="B2167" s="154" t="s">
        <v>5196</v>
      </c>
      <c r="D2167" s="154">
        <v>2.0</v>
      </c>
      <c r="E2167" s="154" t="s">
        <v>761</v>
      </c>
      <c r="F2167" s="154" t="s">
        <v>5197</v>
      </c>
      <c r="G2167" s="156">
        <v>0.0</v>
      </c>
      <c r="H2167" s="156">
        <v>0.0</v>
      </c>
      <c r="I2167" s="154">
        <v>5.6004061E7</v>
      </c>
      <c r="J2167" s="156">
        <v>0.0</v>
      </c>
      <c r="K2167" s="154" t="s">
        <v>361</v>
      </c>
    </row>
    <row r="2168">
      <c r="A2168" s="154" t="s">
        <v>5198</v>
      </c>
      <c r="B2168" s="154" t="s">
        <v>5199</v>
      </c>
      <c r="D2168" s="154">
        <v>2.0</v>
      </c>
      <c r="E2168" s="154" t="s">
        <v>761</v>
      </c>
      <c r="F2168" s="154" t="s">
        <v>5200</v>
      </c>
      <c r="G2168" s="154">
        <v>5.06371944E8</v>
      </c>
      <c r="H2168" s="156">
        <v>0.0</v>
      </c>
      <c r="I2168" s="154">
        <v>5.05695281E8</v>
      </c>
      <c r="J2168" s="156">
        <v>0.0</v>
      </c>
      <c r="K2168" s="154" t="s">
        <v>1408</v>
      </c>
    </row>
    <row r="2169">
      <c r="A2169" s="154" t="s">
        <v>5198</v>
      </c>
      <c r="B2169" s="155"/>
      <c r="C2169" s="154" t="s">
        <v>5199</v>
      </c>
      <c r="D2169" s="155"/>
      <c r="E2169" s="155"/>
      <c r="F2169" s="154" t="s">
        <v>5200</v>
      </c>
      <c r="G2169" s="154">
        <v>5.06371944E8</v>
      </c>
      <c r="H2169" s="156">
        <v>0.0</v>
      </c>
      <c r="I2169" s="154">
        <v>5.05695281E8</v>
      </c>
      <c r="J2169" s="156">
        <v>0.0</v>
      </c>
      <c r="K2169" s="154" t="s">
        <v>1408</v>
      </c>
    </row>
    <row r="2170">
      <c r="A2170" s="154" t="s">
        <v>5201</v>
      </c>
      <c r="B2170" s="154" t="s">
        <v>5202</v>
      </c>
      <c r="D2170" s="154">
        <v>2.0</v>
      </c>
      <c r="E2170" s="154" t="s">
        <v>761</v>
      </c>
      <c r="F2170" s="154" t="s">
        <v>5203</v>
      </c>
      <c r="G2170" s="156">
        <v>0.0</v>
      </c>
      <c r="H2170" s="154" t="s">
        <v>5204</v>
      </c>
      <c r="I2170" s="154" t="s">
        <v>5205</v>
      </c>
      <c r="J2170" s="154" t="s">
        <v>5206</v>
      </c>
      <c r="K2170" s="154" t="s">
        <v>361</v>
      </c>
    </row>
    <row r="2171">
      <c r="A2171" s="154" t="s">
        <v>5201</v>
      </c>
      <c r="B2171" s="155"/>
      <c r="C2171" s="154" t="s">
        <v>5202</v>
      </c>
      <c r="D2171" s="155"/>
      <c r="E2171" s="155"/>
      <c r="F2171" s="154" t="s">
        <v>5207</v>
      </c>
      <c r="G2171" s="154">
        <v>0.0</v>
      </c>
      <c r="H2171" s="156">
        <v>0.0</v>
      </c>
      <c r="I2171" s="154">
        <v>5.59027535E8</v>
      </c>
      <c r="J2171" s="156">
        <v>0.0</v>
      </c>
      <c r="K2171" s="154" t="s">
        <v>361</v>
      </c>
    </row>
    <row r="2172">
      <c r="A2172" s="154" t="s">
        <v>5208</v>
      </c>
      <c r="B2172" s="154" t="s">
        <v>5209</v>
      </c>
      <c r="D2172" s="154">
        <v>2.0</v>
      </c>
      <c r="E2172" s="154" t="s">
        <v>761</v>
      </c>
      <c r="F2172" s="154" t="s">
        <v>5210</v>
      </c>
      <c r="G2172" s="154" t="s">
        <v>5211</v>
      </c>
      <c r="H2172" s="156">
        <v>0.0</v>
      </c>
      <c r="I2172" s="154">
        <v>9.71504558836E11</v>
      </c>
      <c r="J2172" s="156">
        <v>0.0</v>
      </c>
      <c r="K2172" s="154" t="s">
        <v>207</v>
      </c>
    </row>
    <row r="2173">
      <c r="A2173" s="154" t="s">
        <v>5208</v>
      </c>
      <c r="B2173" s="155"/>
      <c r="C2173" s="154" t="s">
        <v>5209</v>
      </c>
      <c r="D2173" s="155"/>
      <c r="E2173" s="155"/>
      <c r="F2173" s="154" t="s">
        <v>5210</v>
      </c>
      <c r="G2173" s="154" t="s">
        <v>5211</v>
      </c>
      <c r="H2173" s="156">
        <v>0.0</v>
      </c>
      <c r="I2173" s="154">
        <v>9.71504558836E11</v>
      </c>
      <c r="J2173" s="156">
        <v>0.0</v>
      </c>
      <c r="K2173" s="154" t="s">
        <v>207</v>
      </c>
    </row>
    <row r="2174">
      <c r="A2174" s="154" t="s">
        <v>5212</v>
      </c>
      <c r="B2174" s="155"/>
      <c r="C2174" s="154" t="s">
        <v>5213</v>
      </c>
      <c r="D2174" s="155"/>
      <c r="E2174" s="155"/>
      <c r="F2174" s="154" t="s">
        <v>5214</v>
      </c>
      <c r="G2174" s="154">
        <v>4.3441449E7</v>
      </c>
      <c r="H2174" s="156">
        <v>0.0</v>
      </c>
      <c r="I2174" s="154">
        <v>9.71506517707E11</v>
      </c>
      <c r="J2174" s="156">
        <v>0.0</v>
      </c>
      <c r="K2174" s="154" t="s">
        <v>207</v>
      </c>
    </row>
    <row r="2175">
      <c r="A2175" s="154" t="s">
        <v>5212</v>
      </c>
      <c r="B2175" s="154" t="s">
        <v>5213</v>
      </c>
      <c r="D2175" s="154">
        <v>2.0</v>
      </c>
      <c r="E2175" s="154" t="s">
        <v>761</v>
      </c>
      <c r="F2175" s="154" t="s">
        <v>5214</v>
      </c>
      <c r="G2175" s="154">
        <v>4.3441449E7</v>
      </c>
      <c r="H2175" s="156">
        <v>0.0</v>
      </c>
      <c r="I2175" s="154">
        <v>9.71506517707E11</v>
      </c>
      <c r="J2175" s="156">
        <v>0.0</v>
      </c>
      <c r="K2175" s="154" t="s">
        <v>207</v>
      </c>
    </row>
    <row r="2176">
      <c r="A2176" s="154" t="s">
        <v>5215</v>
      </c>
      <c r="B2176" s="155"/>
      <c r="C2176" s="154" t="s">
        <v>5216</v>
      </c>
      <c r="D2176" s="155"/>
      <c r="E2176" s="155"/>
      <c r="F2176" s="154" t="s">
        <v>5217</v>
      </c>
      <c r="G2176" s="154" t="s">
        <v>5218</v>
      </c>
      <c r="H2176" s="154" t="s">
        <v>5219</v>
      </c>
      <c r="I2176" s="154" t="s">
        <v>5220</v>
      </c>
      <c r="J2176" s="154" t="s">
        <v>5218</v>
      </c>
      <c r="K2176" s="154" t="s">
        <v>240</v>
      </c>
    </row>
    <row r="2177">
      <c r="A2177" s="154" t="s">
        <v>5215</v>
      </c>
      <c r="B2177" s="154" t="s">
        <v>5216</v>
      </c>
      <c r="D2177" s="154">
        <v>2.0</v>
      </c>
      <c r="E2177" s="154" t="s">
        <v>761</v>
      </c>
      <c r="F2177" s="154" t="s">
        <v>5217</v>
      </c>
      <c r="G2177" s="154" t="s">
        <v>5218</v>
      </c>
      <c r="H2177" s="154" t="s">
        <v>5219</v>
      </c>
      <c r="I2177" s="154" t="s">
        <v>5220</v>
      </c>
      <c r="J2177" s="154" t="s">
        <v>5218</v>
      </c>
      <c r="K2177" s="154" t="s">
        <v>240</v>
      </c>
    </row>
    <row r="2178">
      <c r="A2178" s="154" t="s">
        <v>5221</v>
      </c>
      <c r="B2178" s="154" t="s">
        <v>5222</v>
      </c>
      <c r="D2178" s="154">
        <v>2.0</v>
      </c>
      <c r="E2178" s="154" t="s">
        <v>761</v>
      </c>
      <c r="F2178" s="154" t="s">
        <v>5223</v>
      </c>
      <c r="G2178" s="154">
        <v>4.4554454E7</v>
      </c>
      <c r="H2178" s="156">
        <v>0.0</v>
      </c>
      <c r="I2178" s="154">
        <v>5.0559528E8</v>
      </c>
      <c r="J2178" s="156">
        <v>0.0</v>
      </c>
      <c r="K2178" s="154" t="s">
        <v>259</v>
      </c>
    </row>
    <row r="2179">
      <c r="A2179" s="154" t="s">
        <v>5221</v>
      </c>
      <c r="B2179" s="155"/>
      <c r="C2179" s="154" t="s">
        <v>5222</v>
      </c>
      <c r="D2179" s="155"/>
      <c r="E2179" s="155"/>
      <c r="F2179" s="154" t="s">
        <v>5224</v>
      </c>
      <c r="G2179" s="154">
        <v>4.3366136E7</v>
      </c>
      <c r="H2179" s="156">
        <v>0.0</v>
      </c>
      <c r="I2179" s="154">
        <v>5.0559528E8</v>
      </c>
      <c r="J2179" s="156">
        <v>0.0</v>
      </c>
      <c r="K2179" s="154" t="s">
        <v>259</v>
      </c>
    </row>
    <row r="2180">
      <c r="A2180" s="154" t="s">
        <v>5225</v>
      </c>
      <c r="B2180" s="154" t="s">
        <v>5226</v>
      </c>
      <c r="D2180" s="154">
        <v>2.0</v>
      </c>
      <c r="E2180" s="154" t="s">
        <v>761</v>
      </c>
      <c r="F2180" s="154" t="s">
        <v>5227</v>
      </c>
      <c r="G2180" s="154">
        <v>2.54735953601E11</v>
      </c>
      <c r="H2180" s="156">
        <v>0.0</v>
      </c>
      <c r="I2180" s="154">
        <v>2.54719865483E11</v>
      </c>
      <c r="J2180" s="156">
        <v>0.0</v>
      </c>
      <c r="K2180" s="154" t="s">
        <v>259</v>
      </c>
    </row>
    <row r="2181">
      <c r="A2181" s="154" t="s">
        <v>5225</v>
      </c>
      <c r="B2181" s="155"/>
      <c r="C2181" s="154" t="s">
        <v>5226</v>
      </c>
      <c r="D2181" s="155"/>
      <c r="E2181" s="155"/>
      <c r="F2181" s="154" t="s">
        <v>5227</v>
      </c>
      <c r="G2181" s="154">
        <v>2.54735953601E11</v>
      </c>
      <c r="H2181" s="156">
        <v>0.0</v>
      </c>
      <c r="I2181" s="154">
        <v>2.54719865483E11</v>
      </c>
      <c r="J2181" s="156">
        <v>0.0</v>
      </c>
      <c r="K2181" s="154" t="s">
        <v>259</v>
      </c>
    </row>
    <row r="2182">
      <c r="A2182" s="154" t="s">
        <v>5228</v>
      </c>
      <c r="B2182" s="155"/>
      <c r="C2182" s="154" t="s">
        <v>5229</v>
      </c>
      <c r="D2182" s="155"/>
      <c r="E2182" s="155"/>
      <c r="F2182" s="154" t="s">
        <v>5230</v>
      </c>
      <c r="G2182" s="154">
        <v>971.0</v>
      </c>
      <c r="H2182" s="156">
        <v>0.0</v>
      </c>
      <c r="I2182" s="154" t="s">
        <v>5231</v>
      </c>
      <c r="J2182" s="154" t="s">
        <v>5232</v>
      </c>
      <c r="K2182" s="154" t="s">
        <v>760</v>
      </c>
    </row>
    <row r="2183">
      <c r="A2183" s="154" t="s">
        <v>5228</v>
      </c>
      <c r="B2183" s="154" t="s">
        <v>5229</v>
      </c>
      <c r="D2183" s="154">
        <v>2.0</v>
      </c>
      <c r="E2183" s="154" t="s">
        <v>761</v>
      </c>
      <c r="F2183" s="154" t="s">
        <v>5230</v>
      </c>
      <c r="G2183" s="154">
        <v>971.0</v>
      </c>
      <c r="H2183" s="156">
        <v>0.0</v>
      </c>
      <c r="I2183" s="154" t="s">
        <v>5231</v>
      </c>
      <c r="J2183" s="154" t="s">
        <v>5232</v>
      </c>
      <c r="K2183" s="154" t="s">
        <v>760</v>
      </c>
    </row>
    <row r="2184">
      <c r="A2184" s="154" t="s">
        <v>5233</v>
      </c>
      <c r="B2184" s="155"/>
      <c r="C2184" s="154" t="s">
        <v>5234</v>
      </c>
      <c r="D2184" s="155"/>
      <c r="E2184" s="155"/>
      <c r="F2184" s="154" t="s">
        <v>5235</v>
      </c>
      <c r="G2184" s="154">
        <v>4.80351E7</v>
      </c>
      <c r="H2184" s="156">
        <v>0.0</v>
      </c>
      <c r="I2184" s="154">
        <v>9.71504505479E11</v>
      </c>
      <c r="J2184" s="156">
        <v>0.0</v>
      </c>
      <c r="K2184" s="154" t="s">
        <v>361</v>
      </c>
    </row>
    <row r="2185">
      <c r="A2185" s="154" t="s">
        <v>5233</v>
      </c>
      <c r="B2185" s="154" t="s">
        <v>5234</v>
      </c>
      <c r="D2185" s="154">
        <v>2.0</v>
      </c>
      <c r="E2185" s="154" t="s">
        <v>761</v>
      </c>
      <c r="F2185" s="154" t="s">
        <v>5235</v>
      </c>
      <c r="G2185" s="154">
        <v>4.80351E7</v>
      </c>
      <c r="H2185" s="156">
        <v>0.0</v>
      </c>
      <c r="I2185" s="154">
        <v>9.71504505479E11</v>
      </c>
      <c r="J2185" s="156">
        <v>0.0</v>
      </c>
      <c r="K2185" s="154" t="s">
        <v>361</v>
      </c>
    </row>
    <row r="2186">
      <c r="A2186" s="154" t="s">
        <v>5236</v>
      </c>
      <c r="B2186" s="154" t="s">
        <v>5237</v>
      </c>
      <c r="D2186" s="154">
        <v>2.0</v>
      </c>
      <c r="E2186" s="154" t="s">
        <v>761</v>
      </c>
      <c r="F2186" s="154" t="s">
        <v>5238</v>
      </c>
      <c r="G2186" s="154">
        <v>4.2729869E7</v>
      </c>
      <c r="H2186" s="156">
        <v>0.0</v>
      </c>
      <c r="I2186" s="154">
        <v>0.0</v>
      </c>
      <c r="J2186" s="156">
        <v>0.0</v>
      </c>
      <c r="K2186" s="154" t="s">
        <v>259</v>
      </c>
    </row>
    <row r="2187">
      <c r="A2187" s="154" t="s">
        <v>5236</v>
      </c>
      <c r="B2187" s="155"/>
      <c r="C2187" s="154" t="s">
        <v>5237</v>
      </c>
      <c r="D2187" s="155"/>
      <c r="E2187" s="155"/>
      <c r="F2187" s="154" t="s">
        <v>5238</v>
      </c>
      <c r="G2187" s="154">
        <v>4.2729869E7</v>
      </c>
      <c r="H2187" s="156">
        <v>0.0</v>
      </c>
      <c r="I2187" s="154">
        <v>0.0</v>
      </c>
      <c r="J2187" s="156">
        <v>0.0</v>
      </c>
      <c r="K2187" s="154" t="s">
        <v>259</v>
      </c>
    </row>
    <row r="2188">
      <c r="A2188" s="154" t="s">
        <v>5239</v>
      </c>
      <c r="B2188" s="154" t="s">
        <v>5240</v>
      </c>
      <c r="D2188" s="154">
        <v>2.0</v>
      </c>
      <c r="E2188" s="154" t="s">
        <v>761</v>
      </c>
      <c r="F2188" s="154" t="s">
        <v>5241</v>
      </c>
      <c r="G2188" s="156">
        <v>0.0</v>
      </c>
      <c r="H2188" s="154" t="s">
        <v>5242</v>
      </c>
      <c r="I2188" s="154" t="s">
        <v>5243</v>
      </c>
      <c r="J2188" s="156">
        <v>0.0</v>
      </c>
      <c r="K2188" s="154" t="s">
        <v>206</v>
      </c>
    </row>
    <row r="2189">
      <c r="A2189" s="154" t="s">
        <v>5239</v>
      </c>
      <c r="B2189" s="155"/>
      <c r="C2189" s="154" t="s">
        <v>5240</v>
      </c>
      <c r="D2189" s="155"/>
      <c r="E2189" s="155"/>
      <c r="F2189" s="154" t="s">
        <v>5241</v>
      </c>
      <c r="G2189" s="156">
        <v>0.0</v>
      </c>
      <c r="H2189" s="154" t="s">
        <v>5242</v>
      </c>
      <c r="I2189" s="154" t="s">
        <v>5243</v>
      </c>
      <c r="J2189" s="156">
        <v>0.0</v>
      </c>
      <c r="K2189" s="154" t="s">
        <v>206</v>
      </c>
    </row>
    <row r="2190">
      <c r="A2190" s="154" t="s">
        <v>5244</v>
      </c>
      <c r="B2190" s="155"/>
      <c r="C2190" s="154" t="s">
        <v>5245</v>
      </c>
      <c r="D2190" s="155"/>
      <c r="E2190" s="155"/>
      <c r="F2190" s="154" t="s">
        <v>5246</v>
      </c>
      <c r="G2190" s="156">
        <v>0.0</v>
      </c>
      <c r="H2190" s="156">
        <v>0.0</v>
      </c>
      <c r="I2190" s="154" t="s">
        <v>879</v>
      </c>
      <c r="J2190" s="154" t="s">
        <v>1369</v>
      </c>
      <c r="K2190" s="154" t="s">
        <v>301</v>
      </c>
    </row>
    <row r="2191">
      <c r="A2191" s="154" t="s">
        <v>5244</v>
      </c>
      <c r="B2191" s="154" t="s">
        <v>5245</v>
      </c>
      <c r="D2191" s="154">
        <v>2.0</v>
      </c>
      <c r="E2191" s="154" t="s">
        <v>761</v>
      </c>
      <c r="F2191" s="154" t="s">
        <v>5246</v>
      </c>
      <c r="G2191" s="156">
        <v>0.0</v>
      </c>
      <c r="H2191" s="156">
        <v>0.0</v>
      </c>
      <c r="I2191" s="154">
        <v>9.71508296421E11</v>
      </c>
      <c r="J2191" s="156">
        <v>0.0</v>
      </c>
      <c r="K2191" s="154" t="s">
        <v>301</v>
      </c>
    </row>
    <row r="2192">
      <c r="A2192" s="154" t="s">
        <v>5247</v>
      </c>
      <c r="B2192" s="155"/>
      <c r="C2192" s="154" t="s">
        <v>5248</v>
      </c>
      <c r="D2192" s="155"/>
      <c r="E2192" s="155"/>
      <c r="F2192" s="154" t="s">
        <v>5249</v>
      </c>
      <c r="G2192" s="154">
        <v>5.04405352E8</v>
      </c>
      <c r="H2192" s="156">
        <v>0.0</v>
      </c>
      <c r="I2192" s="154">
        <v>0.0</v>
      </c>
      <c r="J2192" s="156">
        <v>0.0</v>
      </c>
      <c r="K2192" s="154" t="s">
        <v>361</v>
      </c>
    </row>
    <row r="2193">
      <c r="A2193" s="154" t="s">
        <v>5247</v>
      </c>
      <c r="B2193" s="154" t="s">
        <v>5248</v>
      </c>
      <c r="D2193" s="154">
        <v>2.0</v>
      </c>
      <c r="E2193" s="154" t="s">
        <v>761</v>
      </c>
      <c r="F2193" s="154" t="s">
        <v>5249</v>
      </c>
      <c r="G2193" s="154">
        <v>5.04405352E8</v>
      </c>
      <c r="H2193" s="156">
        <v>0.0</v>
      </c>
      <c r="I2193" s="154">
        <v>0.0</v>
      </c>
      <c r="J2193" s="156">
        <v>0.0</v>
      </c>
      <c r="K2193" s="154" t="s">
        <v>361</v>
      </c>
    </row>
    <row r="2194">
      <c r="A2194" s="154" t="s">
        <v>5250</v>
      </c>
      <c r="B2194" s="154" t="s">
        <v>5251</v>
      </c>
      <c r="D2194" s="154">
        <v>2.0</v>
      </c>
      <c r="E2194" s="154" t="s">
        <v>761</v>
      </c>
      <c r="F2194" s="154" t="s">
        <v>5252</v>
      </c>
      <c r="G2194" s="156">
        <v>0.0</v>
      </c>
      <c r="H2194" s="156">
        <v>0.0</v>
      </c>
      <c r="I2194" s="154" t="s">
        <v>5253</v>
      </c>
      <c r="J2194" s="154" t="s">
        <v>5254</v>
      </c>
      <c r="K2194" s="154" t="s">
        <v>1069</v>
      </c>
    </row>
    <row r="2195">
      <c r="A2195" s="154" t="s">
        <v>5250</v>
      </c>
      <c r="B2195" s="155"/>
      <c r="C2195" s="154" t="s">
        <v>5251</v>
      </c>
      <c r="D2195" s="155"/>
      <c r="E2195" s="155"/>
      <c r="F2195" s="154" t="s">
        <v>5252</v>
      </c>
      <c r="G2195" s="156">
        <v>0.0</v>
      </c>
      <c r="H2195" s="156">
        <v>0.0</v>
      </c>
      <c r="I2195" s="154" t="s">
        <v>5253</v>
      </c>
      <c r="J2195" s="154" t="s">
        <v>5254</v>
      </c>
      <c r="K2195" s="154" t="s">
        <v>1069</v>
      </c>
    </row>
    <row r="2196">
      <c r="A2196" s="154" t="s">
        <v>5255</v>
      </c>
      <c r="B2196" s="154" t="s">
        <v>5256</v>
      </c>
      <c r="D2196" s="154">
        <v>2.0</v>
      </c>
      <c r="E2196" s="154" t="s">
        <v>761</v>
      </c>
      <c r="F2196" s="154" t="s">
        <v>5257</v>
      </c>
      <c r="G2196" s="156">
        <v>0.0</v>
      </c>
      <c r="H2196" s="154" t="s">
        <v>5258</v>
      </c>
      <c r="I2196" s="154" t="s">
        <v>5259</v>
      </c>
      <c r="J2196" s="154" t="s">
        <v>5260</v>
      </c>
      <c r="K2196" s="154" t="s">
        <v>776</v>
      </c>
    </row>
    <row r="2197">
      <c r="A2197" s="154" t="s">
        <v>5255</v>
      </c>
      <c r="B2197" s="155"/>
      <c r="C2197" s="154" t="s">
        <v>5256</v>
      </c>
      <c r="D2197" s="155"/>
      <c r="E2197" s="155"/>
      <c r="F2197" s="154" t="s">
        <v>5257</v>
      </c>
      <c r="G2197" s="156">
        <v>0.0</v>
      </c>
      <c r="H2197" s="154" t="s">
        <v>5258</v>
      </c>
      <c r="I2197" s="154" t="s">
        <v>5259</v>
      </c>
      <c r="J2197" s="154" t="s">
        <v>5260</v>
      </c>
      <c r="K2197" s="154" t="s">
        <v>776</v>
      </c>
    </row>
    <row r="2198">
      <c r="A2198" s="154" t="s">
        <v>5261</v>
      </c>
      <c r="B2198" s="155"/>
      <c r="C2198" s="154" t="s">
        <v>5262</v>
      </c>
      <c r="D2198" s="155"/>
      <c r="E2198" s="155"/>
      <c r="F2198" s="154" t="s">
        <v>5263</v>
      </c>
      <c r="G2198" s="154" t="s">
        <v>5264</v>
      </c>
      <c r="H2198" s="154" t="s">
        <v>2049</v>
      </c>
      <c r="I2198" s="154" t="s">
        <v>5265</v>
      </c>
      <c r="J2198" s="156">
        <v>0.0</v>
      </c>
      <c r="K2198" s="154" t="s">
        <v>914</v>
      </c>
    </row>
    <row r="2199">
      <c r="A2199" s="154" t="s">
        <v>5261</v>
      </c>
      <c r="B2199" s="154" t="s">
        <v>5262</v>
      </c>
      <c r="D2199" s="154">
        <v>2.0</v>
      </c>
      <c r="E2199" s="154" t="s">
        <v>761</v>
      </c>
      <c r="F2199" s="154" t="s">
        <v>5263</v>
      </c>
      <c r="G2199" s="154" t="s">
        <v>5264</v>
      </c>
      <c r="H2199" s="154" t="s">
        <v>2049</v>
      </c>
      <c r="I2199" s="154" t="s">
        <v>5265</v>
      </c>
      <c r="J2199" s="156">
        <v>0.0</v>
      </c>
      <c r="K2199" s="154" t="s">
        <v>914</v>
      </c>
    </row>
    <row r="2200">
      <c r="A2200" s="154" t="s">
        <v>5266</v>
      </c>
      <c r="B2200" s="155"/>
      <c r="C2200" s="154" t="s">
        <v>5267</v>
      </c>
      <c r="D2200" s="155"/>
      <c r="E2200" s="155"/>
      <c r="F2200" s="154" t="s">
        <v>5268</v>
      </c>
      <c r="G2200" s="154">
        <v>9.71503103793E11</v>
      </c>
      <c r="H2200" s="156">
        <v>0.0</v>
      </c>
      <c r="I2200" s="154">
        <v>9.71506542751E11</v>
      </c>
      <c r="J2200" s="156">
        <v>0.0</v>
      </c>
      <c r="K2200" s="154" t="s">
        <v>776</v>
      </c>
    </row>
    <row r="2201">
      <c r="A2201" s="154" t="s">
        <v>5266</v>
      </c>
      <c r="B2201" s="154" t="s">
        <v>5267</v>
      </c>
      <c r="D2201" s="154">
        <v>2.0</v>
      </c>
      <c r="E2201" s="154" t="s">
        <v>761</v>
      </c>
      <c r="F2201" s="154" t="s">
        <v>5268</v>
      </c>
      <c r="G2201" s="154">
        <v>9.71503103793E11</v>
      </c>
      <c r="H2201" s="156">
        <v>0.0</v>
      </c>
      <c r="I2201" s="154">
        <v>9.71506542751E11</v>
      </c>
      <c r="J2201" s="156">
        <v>0.0</v>
      </c>
      <c r="K2201" s="154" t="s">
        <v>776</v>
      </c>
    </row>
    <row r="2202">
      <c r="A2202" s="154" t="s">
        <v>5269</v>
      </c>
      <c r="B2202" s="154" t="s">
        <v>5270</v>
      </c>
      <c r="D2202" s="154">
        <v>2.0</v>
      </c>
      <c r="E2202" s="154" t="s">
        <v>761</v>
      </c>
      <c r="F2202" s="154" t="s">
        <v>5271</v>
      </c>
      <c r="G2202" s="156">
        <v>0.0</v>
      </c>
      <c r="H2202" s="154" t="s">
        <v>5272</v>
      </c>
      <c r="I2202" s="154" t="s">
        <v>5273</v>
      </c>
      <c r="J2202" s="154" t="s">
        <v>5274</v>
      </c>
      <c r="K2202" s="154" t="s">
        <v>5275</v>
      </c>
    </row>
    <row r="2203">
      <c r="A2203" s="154" t="s">
        <v>5269</v>
      </c>
      <c r="B2203" s="155"/>
      <c r="C2203" s="154" t="s">
        <v>5270</v>
      </c>
      <c r="D2203" s="155"/>
      <c r="E2203" s="155"/>
      <c r="F2203" s="154" t="s">
        <v>5271</v>
      </c>
      <c r="G2203" s="156">
        <v>0.0</v>
      </c>
      <c r="H2203" s="154" t="s">
        <v>5272</v>
      </c>
      <c r="I2203" s="154" t="s">
        <v>5273</v>
      </c>
      <c r="J2203" s="154" t="s">
        <v>5274</v>
      </c>
      <c r="K2203" s="154" t="s">
        <v>5275</v>
      </c>
    </row>
    <row r="2204">
      <c r="A2204" s="154" t="s">
        <v>5276</v>
      </c>
      <c r="B2204" s="155"/>
      <c r="C2204" s="154" t="s">
        <v>5277</v>
      </c>
      <c r="D2204" s="155"/>
      <c r="E2204" s="155"/>
      <c r="F2204" s="154" t="s">
        <v>5278</v>
      </c>
      <c r="G2204" s="154">
        <v>5.05542903E8</v>
      </c>
      <c r="H2204" s="156">
        <v>0.0</v>
      </c>
      <c r="I2204" s="156">
        <v>0.0</v>
      </c>
      <c r="J2204" s="156">
        <v>0.0</v>
      </c>
      <c r="K2204" s="154" t="s">
        <v>361</v>
      </c>
    </row>
    <row r="2205">
      <c r="A2205" s="154" t="s">
        <v>5276</v>
      </c>
      <c r="B2205" s="154" t="s">
        <v>5277</v>
      </c>
      <c r="D2205" s="154">
        <v>2.0</v>
      </c>
      <c r="E2205" s="154" t="s">
        <v>761</v>
      </c>
      <c r="F2205" s="154" t="s">
        <v>5278</v>
      </c>
      <c r="G2205" s="154">
        <v>5.05542903E8</v>
      </c>
      <c r="H2205" s="156">
        <v>0.0</v>
      </c>
      <c r="I2205" s="156">
        <v>0.0</v>
      </c>
      <c r="J2205" s="156">
        <v>0.0</v>
      </c>
      <c r="K2205" s="154" t="s">
        <v>361</v>
      </c>
    </row>
    <row r="2206">
      <c r="A2206" s="154" t="s">
        <v>5279</v>
      </c>
      <c r="B2206" s="154" t="s">
        <v>5280</v>
      </c>
      <c r="D2206" s="154">
        <v>2.0</v>
      </c>
      <c r="E2206" s="154" t="s">
        <v>761</v>
      </c>
      <c r="F2206" s="154" t="s">
        <v>5281</v>
      </c>
      <c r="G2206" s="154">
        <v>971.0</v>
      </c>
      <c r="H2206" s="156">
        <v>0.0</v>
      </c>
      <c r="I2206" s="154" t="s">
        <v>5282</v>
      </c>
      <c r="J2206" s="154" t="s">
        <v>5283</v>
      </c>
      <c r="K2206" s="154" t="s">
        <v>846</v>
      </c>
    </row>
    <row r="2207">
      <c r="A2207" s="154" t="s">
        <v>5279</v>
      </c>
      <c r="B2207" s="155"/>
      <c r="C2207" s="154" t="s">
        <v>5280</v>
      </c>
      <c r="D2207" s="155"/>
      <c r="E2207" s="155"/>
      <c r="F2207" s="154" t="s">
        <v>5281</v>
      </c>
      <c r="G2207" s="154">
        <v>971.0</v>
      </c>
      <c r="H2207" s="156">
        <v>0.0</v>
      </c>
      <c r="I2207" s="154" t="s">
        <v>5282</v>
      </c>
      <c r="J2207" s="154" t="s">
        <v>5283</v>
      </c>
      <c r="K2207" s="154" t="s">
        <v>846</v>
      </c>
    </row>
    <row r="2208">
      <c r="A2208" s="154" t="s">
        <v>5284</v>
      </c>
      <c r="B2208" s="154" t="s">
        <v>5285</v>
      </c>
      <c r="D2208" s="154">
        <v>2.0</v>
      </c>
      <c r="E2208" s="154" t="s">
        <v>761</v>
      </c>
      <c r="F2208" s="154" t="s">
        <v>1941</v>
      </c>
      <c r="G2208" s="156">
        <v>0.0</v>
      </c>
      <c r="H2208" s="154" t="s">
        <v>1942</v>
      </c>
      <c r="I2208" s="154" t="s">
        <v>1943</v>
      </c>
      <c r="J2208" s="154" t="s">
        <v>1944</v>
      </c>
      <c r="K2208" s="154" t="s">
        <v>1945</v>
      </c>
    </row>
    <row r="2209">
      <c r="A2209" s="154" t="s">
        <v>5284</v>
      </c>
      <c r="B2209" s="155"/>
      <c r="C2209" s="154" t="s">
        <v>5285</v>
      </c>
      <c r="D2209" s="155"/>
      <c r="E2209" s="155"/>
      <c r="F2209" s="154" t="s">
        <v>1941</v>
      </c>
      <c r="G2209" s="156">
        <v>0.0</v>
      </c>
      <c r="H2209" s="154" t="s">
        <v>1942</v>
      </c>
      <c r="I2209" s="154" t="s">
        <v>1943</v>
      </c>
      <c r="J2209" s="154" t="s">
        <v>1944</v>
      </c>
      <c r="K2209" s="154" t="s">
        <v>1945</v>
      </c>
    </row>
    <row r="2210">
      <c r="A2210" s="154" t="s">
        <v>5286</v>
      </c>
      <c r="B2210" s="154" t="s">
        <v>5287</v>
      </c>
      <c r="D2210" s="154">
        <v>2.0</v>
      </c>
      <c r="E2210" s="154" t="s">
        <v>761</v>
      </c>
      <c r="F2210" s="154" t="s">
        <v>5288</v>
      </c>
      <c r="G2210" s="156">
        <v>0.0</v>
      </c>
      <c r="H2210" s="154" t="s">
        <v>5289</v>
      </c>
      <c r="I2210" s="154" t="s">
        <v>5290</v>
      </c>
      <c r="J2210" s="154" t="s">
        <v>5291</v>
      </c>
      <c r="K2210" s="154" t="s">
        <v>361</v>
      </c>
    </row>
    <row r="2211">
      <c r="A2211" s="154" t="s">
        <v>5286</v>
      </c>
      <c r="B2211" s="155"/>
      <c r="C2211" s="154" t="s">
        <v>5287</v>
      </c>
      <c r="D2211" s="155"/>
      <c r="E2211" s="155"/>
      <c r="F2211" s="154" t="s">
        <v>5288</v>
      </c>
      <c r="G2211" s="156">
        <v>0.0</v>
      </c>
      <c r="H2211" s="154" t="s">
        <v>5289</v>
      </c>
      <c r="I2211" s="154" t="s">
        <v>5290</v>
      </c>
      <c r="J2211" s="154" t="s">
        <v>5291</v>
      </c>
      <c r="K2211" s="154" t="s">
        <v>361</v>
      </c>
    </row>
    <row r="2212">
      <c r="A2212" s="154" t="s">
        <v>5292</v>
      </c>
      <c r="B2212" s="154" t="s">
        <v>5293</v>
      </c>
      <c r="D2212" s="154">
        <v>2.0</v>
      </c>
      <c r="E2212" s="154" t="s">
        <v>761</v>
      </c>
      <c r="F2212" s="154" t="s">
        <v>5294</v>
      </c>
      <c r="G2212" s="156">
        <v>0.0</v>
      </c>
      <c r="H2212" s="154" t="s">
        <v>5295</v>
      </c>
      <c r="I2212" s="154" t="s">
        <v>5296</v>
      </c>
      <c r="J2212" s="156">
        <v>0.0</v>
      </c>
      <c r="K2212" s="154" t="s">
        <v>320</v>
      </c>
    </row>
    <row r="2213">
      <c r="A2213" s="154" t="s">
        <v>5292</v>
      </c>
      <c r="B2213" s="155"/>
      <c r="C2213" s="154" t="s">
        <v>5293</v>
      </c>
      <c r="D2213" s="155"/>
      <c r="E2213" s="155"/>
      <c r="F2213" s="154" t="s">
        <v>5294</v>
      </c>
      <c r="G2213" s="156">
        <v>0.0</v>
      </c>
      <c r="H2213" s="154" t="s">
        <v>5295</v>
      </c>
      <c r="I2213" s="154" t="s">
        <v>5296</v>
      </c>
      <c r="J2213" s="156">
        <v>0.0</v>
      </c>
      <c r="K2213" s="154" t="s">
        <v>320</v>
      </c>
    </row>
    <row r="2214">
      <c r="A2214" s="154" t="s">
        <v>5297</v>
      </c>
      <c r="B2214" s="154" t="s">
        <v>5298</v>
      </c>
      <c r="D2214" s="154">
        <v>2.0</v>
      </c>
      <c r="E2214" s="154" t="s">
        <v>761</v>
      </c>
      <c r="F2214" s="154" t="s">
        <v>5299</v>
      </c>
      <c r="G2214" s="156">
        <v>0.0</v>
      </c>
      <c r="H2214" s="156">
        <v>0.0</v>
      </c>
      <c r="I2214" s="154">
        <v>9.71509666129E11</v>
      </c>
      <c r="J2214" s="156">
        <v>0.0</v>
      </c>
      <c r="K2214" s="154" t="s">
        <v>760</v>
      </c>
    </row>
    <row r="2215">
      <c r="A2215" s="154" t="s">
        <v>5297</v>
      </c>
      <c r="B2215" s="155"/>
      <c r="C2215" s="154" t="s">
        <v>5298</v>
      </c>
      <c r="D2215" s="155"/>
      <c r="E2215" s="155"/>
      <c r="F2215" s="154" t="s">
        <v>5299</v>
      </c>
      <c r="G2215" s="156">
        <v>0.0</v>
      </c>
      <c r="H2215" s="156">
        <v>0.0</v>
      </c>
      <c r="I2215" s="154">
        <v>9.71509666129E11</v>
      </c>
      <c r="J2215" s="156">
        <v>0.0</v>
      </c>
      <c r="K2215" s="154" t="s">
        <v>760</v>
      </c>
    </row>
    <row r="2216">
      <c r="A2216" s="154" t="s">
        <v>5300</v>
      </c>
      <c r="B2216" s="155"/>
      <c r="C2216" s="154" t="s">
        <v>5301</v>
      </c>
      <c r="D2216" s="155"/>
      <c r="E2216" s="155"/>
      <c r="F2216" s="154" t="s">
        <v>5302</v>
      </c>
      <c r="G2216" s="156">
        <v>0.0</v>
      </c>
      <c r="H2216" s="154" t="s">
        <v>2238</v>
      </c>
      <c r="I2216" s="154" t="s">
        <v>3157</v>
      </c>
      <c r="J2216" s="156">
        <v>0.0</v>
      </c>
      <c r="K2216" s="154" t="s">
        <v>206</v>
      </c>
    </row>
    <row r="2217">
      <c r="A2217" s="154" t="s">
        <v>5300</v>
      </c>
      <c r="B2217" s="154" t="s">
        <v>5301</v>
      </c>
      <c r="D2217" s="154">
        <v>2.0</v>
      </c>
      <c r="E2217" s="154" t="s">
        <v>761</v>
      </c>
      <c r="F2217" s="154" t="s">
        <v>5302</v>
      </c>
      <c r="G2217" s="156">
        <v>0.0</v>
      </c>
      <c r="H2217" s="154" t="s">
        <v>2238</v>
      </c>
      <c r="I2217" s="154" t="s">
        <v>3157</v>
      </c>
      <c r="J2217" s="156">
        <v>0.0</v>
      </c>
      <c r="K2217" s="154" t="s">
        <v>206</v>
      </c>
    </row>
    <row r="2218">
      <c r="A2218" s="154" t="s">
        <v>5303</v>
      </c>
      <c r="B2218" s="155"/>
      <c r="C2218" s="154" t="s">
        <v>5304</v>
      </c>
      <c r="D2218" s="155"/>
      <c r="E2218" s="155"/>
      <c r="F2218" s="154" t="s">
        <v>5305</v>
      </c>
      <c r="G2218" s="156">
        <v>0.0</v>
      </c>
      <c r="H2218" s="156">
        <v>0.0</v>
      </c>
      <c r="I2218" s="154" t="s">
        <v>5306</v>
      </c>
      <c r="J2218" s="156">
        <v>0.0</v>
      </c>
      <c r="K2218" s="154" t="s">
        <v>760</v>
      </c>
    </row>
    <row r="2219">
      <c r="A2219" s="154" t="s">
        <v>5303</v>
      </c>
      <c r="B2219" s="154" t="s">
        <v>5304</v>
      </c>
      <c r="D2219" s="154">
        <v>2.0</v>
      </c>
      <c r="E2219" s="154" t="s">
        <v>761</v>
      </c>
      <c r="F2219" s="154" t="s">
        <v>5305</v>
      </c>
      <c r="G2219" s="156">
        <v>0.0</v>
      </c>
      <c r="H2219" s="156">
        <v>0.0</v>
      </c>
      <c r="I2219" s="154" t="s">
        <v>5306</v>
      </c>
      <c r="J2219" s="156">
        <v>0.0</v>
      </c>
      <c r="K2219" s="154" t="s">
        <v>760</v>
      </c>
    </row>
    <row r="2220">
      <c r="A2220" s="154" t="s">
        <v>5307</v>
      </c>
      <c r="B2220" s="155"/>
      <c r="C2220" s="154" t="s">
        <v>5308</v>
      </c>
      <c r="D2220" s="155"/>
      <c r="E2220" s="155"/>
      <c r="F2220" s="154" t="s">
        <v>5309</v>
      </c>
      <c r="G2220" s="154">
        <v>4.3962884E7</v>
      </c>
      <c r="H2220" s="156">
        <v>0.0</v>
      </c>
      <c r="I2220" s="154">
        <v>9.71504507203E11</v>
      </c>
      <c r="J2220" s="156">
        <v>0.0</v>
      </c>
      <c r="K2220" s="154" t="s">
        <v>361</v>
      </c>
    </row>
    <row r="2221">
      <c r="A2221" s="154" t="s">
        <v>5307</v>
      </c>
      <c r="B2221" s="154" t="s">
        <v>5308</v>
      </c>
      <c r="D2221" s="154">
        <v>2.0</v>
      </c>
      <c r="E2221" s="154" t="s">
        <v>761</v>
      </c>
      <c r="F2221" s="154" t="s">
        <v>5309</v>
      </c>
      <c r="G2221" s="154">
        <v>4.3962884E7</v>
      </c>
      <c r="H2221" s="156">
        <v>0.0</v>
      </c>
      <c r="I2221" s="154">
        <v>9.71504507203E11</v>
      </c>
      <c r="J2221" s="156">
        <v>0.0</v>
      </c>
      <c r="K2221" s="154" t="s">
        <v>361</v>
      </c>
    </row>
    <row r="2222">
      <c r="A2222" s="154" t="s">
        <v>5310</v>
      </c>
      <c r="B2222" s="155"/>
      <c r="C2222" s="154" t="s">
        <v>5311</v>
      </c>
      <c r="D2222" s="155"/>
      <c r="E2222" s="155"/>
      <c r="F2222" s="154" t="s">
        <v>792</v>
      </c>
      <c r="G2222" s="154" t="s">
        <v>793</v>
      </c>
      <c r="H2222" s="154" t="s">
        <v>794</v>
      </c>
      <c r="I2222" s="156">
        <v>0.0</v>
      </c>
      <c r="J2222" s="156">
        <v>0.0</v>
      </c>
      <c r="K2222" s="156">
        <v>0.0</v>
      </c>
    </row>
    <row r="2223">
      <c r="A2223" s="154" t="s">
        <v>5310</v>
      </c>
      <c r="B2223" s="154" t="s">
        <v>5311</v>
      </c>
      <c r="D2223" s="154">
        <v>2.0</v>
      </c>
      <c r="E2223" s="154" t="s">
        <v>761</v>
      </c>
      <c r="F2223" s="154" t="s">
        <v>5312</v>
      </c>
      <c r="G2223" s="154">
        <v>4.3322005E7</v>
      </c>
      <c r="H2223" s="156">
        <v>0.0</v>
      </c>
      <c r="I2223" s="154">
        <v>9.71506528793E11</v>
      </c>
      <c r="J2223" s="156">
        <v>0.0</v>
      </c>
      <c r="K2223" s="154" t="s">
        <v>217</v>
      </c>
    </row>
    <row r="2224">
      <c r="A2224" s="154" t="s">
        <v>5313</v>
      </c>
      <c r="B2224" s="154" t="s">
        <v>5314</v>
      </c>
      <c r="D2224" s="154">
        <v>2.0</v>
      </c>
      <c r="E2224" s="154" t="s">
        <v>761</v>
      </c>
      <c r="F2224" s="154" t="s">
        <v>2047</v>
      </c>
      <c r="G2224" s="154" t="s">
        <v>2048</v>
      </c>
      <c r="H2224" s="154" t="s">
        <v>2049</v>
      </c>
      <c r="I2224" s="154" t="s">
        <v>2050</v>
      </c>
      <c r="J2224" s="156">
        <v>0.0</v>
      </c>
      <c r="K2224" s="154" t="s">
        <v>207</v>
      </c>
    </row>
    <row r="2225">
      <c r="A2225" s="154" t="s">
        <v>5313</v>
      </c>
      <c r="B2225" s="155"/>
      <c r="C2225" s="154" t="s">
        <v>5314</v>
      </c>
      <c r="D2225" s="155"/>
      <c r="E2225" s="155"/>
      <c r="F2225" s="154" t="s">
        <v>2047</v>
      </c>
      <c r="G2225" s="154" t="s">
        <v>2048</v>
      </c>
      <c r="H2225" s="154" t="s">
        <v>2049</v>
      </c>
      <c r="I2225" s="154" t="s">
        <v>2050</v>
      </c>
      <c r="J2225" s="156">
        <v>0.0</v>
      </c>
      <c r="K2225" s="154" t="s">
        <v>207</v>
      </c>
    </row>
    <row r="2226">
      <c r="A2226" s="154" t="s">
        <v>5315</v>
      </c>
      <c r="B2226" s="154" t="s">
        <v>5316</v>
      </c>
      <c r="D2226" s="154">
        <v>2.0</v>
      </c>
      <c r="E2226" s="154" t="s">
        <v>761</v>
      </c>
      <c r="F2226" s="154" t="s">
        <v>5317</v>
      </c>
      <c r="G2226" s="154">
        <v>971.0</v>
      </c>
      <c r="H2226" s="156">
        <v>0.0</v>
      </c>
      <c r="I2226" s="154" t="s">
        <v>5318</v>
      </c>
      <c r="J2226" s="154" t="s">
        <v>5319</v>
      </c>
      <c r="K2226" s="154" t="s">
        <v>207</v>
      </c>
    </row>
    <row r="2227">
      <c r="A2227" s="154" t="s">
        <v>5315</v>
      </c>
      <c r="B2227" s="155"/>
      <c r="C2227" s="154" t="s">
        <v>5316</v>
      </c>
      <c r="D2227" s="155"/>
      <c r="E2227" s="155"/>
      <c r="F2227" s="154" t="s">
        <v>5317</v>
      </c>
      <c r="G2227" s="154">
        <v>971.0</v>
      </c>
      <c r="H2227" s="156">
        <v>0.0</v>
      </c>
      <c r="I2227" s="154" t="s">
        <v>5318</v>
      </c>
      <c r="J2227" s="154" t="s">
        <v>5319</v>
      </c>
      <c r="K2227" s="154" t="s">
        <v>207</v>
      </c>
    </row>
    <row r="2228">
      <c r="A2228" s="154" t="s">
        <v>5320</v>
      </c>
      <c r="B2228" s="154" t="s">
        <v>5321</v>
      </c>
      <c r="D2228" s="154">
        <v>2.0</v>
      </c>
      <c r="E2228" s="154" t="s">
        <v>761</v>
      </c>
      <c r="F2228" s="154" t="s">
        <v>5322</v>
      </c>
      <c r="G2228" s="156">
        <v>0.0</v>
      </c>
      <c r="H2228" s="156">
        <v>0.0</v>
      </c>
      <c r="I2228" s="154" t="s">
        <v>5323</v>
      </c>
      <c r="J2228" s="154" t="s">
        <v>5324</v>
      </c>
      <c r="K2228" s="154" t="s">
        <v>329</v>
      </c>
    </row>
    <row r="2229">
      <c r="A2229" s="154" t="s">
        <v>5320</v>
      </c>
      <c r="B2229" s="155"/>
      <c r="C2229" s="154" t="s">
        <v>5321</v>
      </c>
      <c r="D2229" s="155"/>
      <c r="E2229" s="155"/>
      <c r="F2229" s="154" t="s">
        <v>5322</v>
      </c>
      <c r="G2229" s="156">
        <v>0.0</v>
      </c>
      <c r="H2229" s="156">
        <v>0.0</v>
      </c>
      <c r="I2229" s="154" t="s">
        <v>5323</v>
      </c>
      <c r="J2229" s="154" t="s">
        <v>5324</v>
      </c>
      <c r="K2229" s="154" t="s">
        <v>329</v>
      </c>
    </row>
    <row r="2230">
      <c r="A2230" s="154" t="s">
        <v>5325</v>
      </c>
      <c r="B2230" s="154" t="s">
        <v>5326</v>
      </c>
      <c r="D2230" s="154">
        <v>2.0</v>
      </c>
      <c r="E2230" s="154" t="s">
        <v>761</v>
      </c>
      <c r="F2230" s="154" t="s">
        <v>5327</v>
      </c>
      <c r="G2230" s="156">
        <v>0.0</v>
      </c>
      <c r="H2230" s="154" t="s">
        <v>5328</v>
      </c>
      <c r="I2230" s="154" t="s">
        <v>5329</v>
      </c>
      <c r="J2230" s="156">
        <v>0.0</v>
      </c>
      <c r="K2230" s="154" t="s">
        <v>240</v>
      </c>
    </row>
    <row r="2231">
      <c r="A2231" s="154" t="s">
        <v>5325</v>
      </c>
      <c r="B2231" s="155"/>
      <c r="C2231" s="154" t="s">
        <v>5326</v>
      </c>
      <c r="D2231" s="155"/>
      <c r="E2231" s="155"/>
      <c r="F2231" s="154" t="s">
        <v>5327</v>
      </c>
      <c r="G2231" s="156">
        <v>0.0</v>
      </c>
      <c r="H2231" s="154" t="s">
        <v>5328</v>
      </c>
      <c r="I2231" s="154" t="s">
        <v>5329</v>
      </c>
      <c r="J2231" s="156">
        <v>0.0</v>
      </c>
      <c r="K2231" s="154" t="s">
        <v>240</v>
      </c>
    </row>
    <row r="2232">
      <c r="A2232" s="154" t="s">
        <v>5330</v>
      </c>
      <c r="B2232" s="154" t="s">
        <v>5331</v>
      </c>
      <c r="D2232" s="154">
        <v>2.0</v>
      </c>
      <c r="E2232" s="154" t="s">
        <v>761</v>
      </c>
      <c r="F2232" s="154" t="s">
        <v>1190</v>
      </c>
      <c r="G2232" s="154">
        <v>5.0851975E8</v>
      </c>
      <c r="H2232" s="154" t="s">
        <v>1191</v>
      </c>
      <c r="I2232" s="156">
        <v>0.0</v>
      </c>
      <c r="J2232" s="156">
        <v>0.0</v>
      </c>
      <c r="K2232" s="156">
        <v>0.0</v>
      </c>
    </row>
    <row r="2233">
      <c r="A2233" s="154" t="s">
        <v>5330</v>
      </c>
      <c r="B2233" s="155"/>
      <c r="C2233" s="154" t="s">
        <v>5331</v>
      </c>
      <c r="D2233" s="155"/>
      <c r="E2233" s="155"/>
      <c r="F2233" s="154" t="s">
        <v>1190</v>
      </c>
      <c r="G2233" s="154">
        <v>5.0851975E8</v>
      </c>
      <c r="H2233" s="154" t="s">
        <v>1191</v>
      </c>
      <c r="I2233" s="156">
        <v>0.0</v>
      </c>
      <c r="J2233" s="156">
        <v>0.0</v>
      </c>
      <c r="K2233" s="156">
        <v>0.0</v>
      </c>
    </row>
    <row r="2234">
      <c r="A2234" s="154" t="s">
        <v>5332</v>
      </c>
      <c r="B2234" s="155"/>
      <c r="C2234" s="154" t="s">
        <v>5333</v>
      </c>
      <c r="D2234" s="155"/>
      <c r="E2234" s="155"/>
      <c r="F2234" s="154" t="s">
        <v>5334</v>
      </c>
      <c r="G2234" s="154" t="s">
        <v>5335</v>
      </c>
      <c r="H2234" s="156">
        <v>0.0</v>
      </c>
      <c r="I2234" s="154" t="s">
        <v>5336</v>
      </c>
      <c r="J2234" s="154" t="s">
        <v>809</v>
      </c>
      <c r="K2234" s="154" t="s">
        <v>259</v>
      </c>
    </row>
    <row r="2235">
      <c r="A2235" s="154" t="s">
        <v>5332</v>
      </c>
      <c r="B2235" s="154" t="s">
        <v>5333</v>
      </c>
      <c r="D2235" s="154">
        <v>2.0</v>
      </c>
      <c r="E2235" s="154" t="s">
        <v>761</v>
      </c>
      <c r="F2235" s="154" t="s">
        <v>5334</v>
      </c>
      <c r="G2235" s="154" t="s">
        <v>5335</v>
      </c>
      <c r="H2235" s="156">
        <v>0.0</v>
      </c>
      <c r="I2235" s="154" t="s">
        <v>5336</v>
      </c>
      <c r="J2235" s="154" t="s">
        <v>809</v>
      </c>
      <c r="K2235" s="154" t="s">
        <v>259</v>
      </c>
    </row>
    <row r="2236">
      <c r="A2236" s="154" t="s">
        <v>5337</v>
      </c>
      <c r="B2236" s="155"/>
      <c r="C2236" s="154" t="s">
        <v>5338</v>
      </c>
      <c r="D2236" s="155"/>
      <c r="E2236" s="155"/>
      <c r="F2236" s="154" t="s">
        <v>5339</v>
      </c>
      <c r="G2236" s="156">
        <v>0.0</v>
      </c>
      <c r="H2236" s="154" t="s">
        <v>5340</v>
      </c>
      <c r="I2236" s="154" t="s">
        <v>5341</v>
      </c>
      <c r="J2236" s="154" t="s">
        <v>5342</v>
      </c>
      <c r="K2236" s="154" t="s">
        <v>361</v>
      </c>
    </row>
    <row r="2237">
      <c r="A2237" s="154" t="s">
        <v>5337</v>
      </c>
      <c r="B2237" s="154" t="s">
        <v>5338</v>
      </c>
      <c r="D2237" s="154">
        <v>2.0</v>
      </c>
      <c r="E2237" s="154" t="s">
        <v>761</v>
      </c>
      <c r="F2237" s="154" t="s">
        <v>5343</v>
      </c>
      <c r="G2237" s="156">
        <v>0.0</v>
      </c>
      <c r="H2237" s="154" t="s">
        <v>5340</v>
      </c>
      <c r="I2237" s="154" t="s">
        <v>5341</v>
      </c>
      <c r="J2237" s="154" t="s">
        <v>5342</v>
      </c>
      <c r="K2237" s="154" t="s">
        <v>361</v>
      </c>
    </row>
    <row r="2238">
      <c r="A2238" s="154" t="s">
        <v>5344</v>
      </c>
      <c r="B2238" s="154" t="s">
        <v>5345</v>
      </c>
      <c r="D2238" s="154">
        <v>2.0</v>
      </c>
      <c r="E2238" s="154" t="s">
        <v>761</v>
      </c>
      <c r="F2238" s="154" t="s">
        <v>5346</v>
      </c>
      <c r="G2238" s="156">
        <v>0.0</v>
      </c>
      <c r="H2238" s="154" t="s">
        <v>5347</v>
      </c>
      <c r="I2238" s="154" t="s">
        <v>5348</v>
      </c>
      <c r="J2238" s="156">
        <v>0.0</v>
      </c>
      <c r="K2238" s="154" t="s">
        <v>197</v>
      </c>
    </row>
    <row r="2239">
      <c r="A2239" s="154" t="s">
        <v>5344</v>
      </c>
      <c r="B2239" s="155"/>
      <c r="C2239" s="154" t="s">
        <v>5345</v>
      </c>
      <c r="D2239" s="155"/>
      <c r="E2239" s="155"/>
      <c r="F2239" s="154" t="s">
        <v>5346</v>
      </c>
      <c r="G2239" s="156">
        <v>0.0</v>
      </c>
      <c r="H2239" s="154" t="s">
        <v>5347</v>
      </c>
      <c r="I2239" s="154" t="s">
        <v>5348</v>
      </c>
      <c r="J2239" s="156">
        <v>0.0</v>
      </c>
      <c r="K2239" s="154" t="s">
        <v>197</v>
      </c>
    </row>
    <row r="2240">
      <c r="A2240" s="154" t="s">
        <v>5349</v>
      </c>
      <c r="B2240" s="154" t="s">
        <v>5350</v>
      </c>
      <c r="D2240" s="154">
        <v>2.0</v>
      </c>
      <c r="E2240" s="154" t="s">
        <v>761</v>
      </c>
      <c r="F2240" s="154" t="s">
        <v>5351</v>
      </c>
      <c r="G2240" s="154">
        <v>5.06453626E8</v>
      </c>
      <c r="H2240" s="156">
        <v>0.0</v>
      </c>
      <c r="I2240" s="154">
        <v>9.71506453626E11</v>
      </c>
      <c r="J2240" s="156">
        <v>0.0</v>
      </c>
      <c r="K2240" s="154" t="s">
        <v>361</v>
      </c>
    </row>
    <row r="2241">
      <c r="A2241" s="154" t="s">
        <v>5349</v>
      </c>
      <c r="B2241" s="155"/>
      <c r="C2241" s="154" t="s">
        <v>5350</v>
      </c>
      <c r="D2241" s="155"/>
      <c r="E2241" s="155"/>
      <c r="F2241" s="154" t="s">
        <v>5351</v>
      </c>
      <c r="G2241" s="154">
        <v>5.06453626E8</v>
      </c>
      <c r="H2241" s="156">
        <v>0.0</v>
      </c>
      <c r="I2241" s="154">
        <v>9.71506453626E11</v>
      </c>
      <c r="J2241" s="156">
        <v>0.0</v>
      </c>
      <c r="K2241" s="154" t="s">
        <v>361</v>
      </c>
    </row>
    <row r="2242">
      <c r="A2242" s="154" t="s">
        <v>5352</v>
      </c>
      <c r="B2242" s="155"/>
      <c r="C2242" s="154" t="s">
        <v>5353</v>
      </c>
      <c r="D2242" s="155"/>
      <c r="E2242" s="155"/>
      <c r="F2242" s="154" t="s">
        <v>5354</v>
      </c>
      <c r="G2242" s="154">
        <v>4.3989468E7</v>
      </c>
      <c r="H2242" s="156">
        <v>0.0</v>
      </c>
      <c r="I2242" s="154">
        <v>5.0552453E8</v>
      </c>
      <c r="J2242" s="156">
        <v>0.0</v>
      </c>
      <c r="K2242" s="154" t="s">
        <v>361</v>
      </c>
    </row>
    <row r="2243">
      <c r="A2243" s="154" t="s">
        <v>5352</v>
      </c>
      <c r="B2243" s="154" t="s">
        <v>5353</v>
      </c>
      <c r="D2243" s="154">
        <v>2.0</v>
      </c>
      <c r="E2243" s="154" t="s">
        <v>761</v>
      </c>
      <c r="F2243" s="154" t="s">
        <v>5355</v>
      </c>
      <c r="G2243" s="154">
        <v>4.3989468E7</v>
      </c>
      <c r="H2243" s="156">
        <v>0.0</v>
      </c>
      <c r="I2243" s="154">
        <v>5.0552453E8</v>
      </c>
      <c r="J2243" s="156">
        <v>0.0</v>
      </c>
      <c r="K2243" s="154" t="s">
        <v>361</v>
      </c>
    </row>
    <row r="2244">
      <c r="A2244" s="154" t="s">
        <v>5356</v>
      </c>
      <c r="B2244" s="155"/>
      <c r="C2244" s="154" t="s">
        <v>5357</v>
      </c>
      <c r="D2244" s="155"/>
      <c r="E2244" s="155"/>
      <c r="F2244" s="154" t="s">
        <v>5358</v>
      </c>
      <c r="G2244" s="154">
        <v>5.54400193E8</v>
      </c>
      <c r="H2244" s="156">
        <v>0.0</v>
      </c>
      <c r="I2244" s="156">
        <v>0.0</v>
      </c>
      <c r="J2244" s="156">
        <v>0.0</v>
      </c>
      <c r="K2244" s="154" t="s">
        <v>361</v>
      </c>
    </row>
    <row r="2245">
      <c r="A2245" s="154" t="s">
        <v>5356</v>
      </c>
      <c r="B2245" s="154" t="s">
        <v>5357</v>
      </c>
      <c r="D2245" s="154">
        <v>2.0</v>
      </c>
      <c r="E2245" s="154" t="s">
        <v>761</v>
      </c>
      <c r="F2245" s="154" t="s">
        <v>5358</v>
      </c>
      <c r="G2245" s="154">
        <v>5.54400193E8</v>
      </c>
      <c r="H2245" s="156">
        <v>0.0</v>
      </c>
      <c r="I2245" s="156">
        <v>0.0</v>
      </c>
      <c r="J2245" s="156">
        <v>0.0</v>
      </c>
      <c r="K2245" s="154" t="s">
        <v>361</v>
      </c>
    </row>
    <row r="2246">
      <c r="A2246" s="154" t="s">
        <v>5359</v>
      </c>
      <c r="B2246" s="154" t="s">
        <v>5360</v>
      </c>
      <c r="C2246" s="155"/>
      <c r="D2246" s="154">
        <v>2.0</v>
      </c>
      <c r="E2246" s="154" t="s">
        <v>1237</v>
      </c>
      <c r="F2246" s="154" t="s">
        <v>5361</v>
      </c>
      <c r="G2246" s="156">
        <v>0.0</v>
      </c>
      <c r="H2246" s="156">
        <v>0.0</v>
      </c>
      <c r="I2246" s="154" t="s">
        <v>5362</v>
      </c>
      <c r="J2246" s="156">
        <v>0.0</v>
      </c>
      <c r="K2246" s="154" t="s">
        <v>760</v>
      </c>
    </row>
    <row r="2247">
      <c r="A2247" s="154" t="s">
        <v>5359</v>
      </c>
      <c r="B2247" s="155"/>
      <c r="C2247" s="154" t="s">
        <v>5360</v>
      </c>
      <c r="D2247" s="155"/>
      <c r="E2247" s="155"/>
      <c r="F2247" s="154" t="s">
        <v>5361</v>
      </c>
      <c r="G2247" s="156">
        <v>0.0</v>
      </c>
      <c r="H2247" s="156">
        <v>0.0</v>
      </c>
      <c r="I2247" s="154" t="s">
        <v>5362</v>
      </c>
      <c r="J2247" s="156">
        <v>0.0</v>
      </c>
      <c r="K2247" s="154" t="s">
        <v>760</v>
      </c>
    </row>
    <row r="2248">
      <c r="A2248" s="154" t="s">
        <v>5363</v>
      </c>
      <c r="B2248" s="155"/>
      <c r="C2248" s="154" t="s">
        <v>5364</v>
      </c>
      <c r="D2248" s="155"/>
      <c r="E2248" s="155"/>
      <c r="F2248" s="154" t="s">
        <v>5365</v>
      </c>
      <c r="G2248" s="156">
        <v>0.0</v>
      </c>
      <c r="H2248" s="154" t="s">
        <v>5366</v>
      </c>
      <c r="I2248" s="154" t="s">
        <v>5367</v>
      </c>
      <c r="J2248" s="156">
        <v>0.0</v>
      </c>
      <c r="K2248" s="154" t="s">
        <v>207</v>
      </c>
    </row>
    <row r="2249">
      <c r="A2249" s="154" t="s">
        <v>5363</v>
      </c>
      <c r="B2249" s="154" t="s">
        <v>5364</v>
      </c>
      <c r="C2249" s="155"/>
      <c r="D2249" s="154">
        <v>2.0</v>
      </c>
      <c r="E2249" s="154" t="s">
        <v>1237</v>
      </c>
      <c r="F2249" s="154" t="s">
        <v>5365</v>
      </c>
      <c r="G2249" s="156">
        <v>0.0</v>
      </c>
      <c r="H2249" s="154" t="s">
        <v>5366</v>
      </c>
      <c r="I2249" s="154" t="s">
        <v>5367</v>
      </c>
      <c r="J2249" s="156">
        <v>0.0</v>
      </c>
      <c r="K2249" s="154" t="s">
        <v>207</v>
      </c>
    </row>
    <row r="2250">
      <c r="A2250" s="154" t="s">
        <v>5368</v>
      </c>
      <c r="B2250" s="155"/>
      <c r="C2250" s="154" t="s">
        <v>5369</v>
      </c>
      <c r="D2250" s="155"/>
      <c r="E2250" s="155"/>
      <c r="F2250" s="154" t="s">
        <v>5370</v>
      </c>
      <c r="G2250" s="156">
        <v>0.0</v>
      </c>
      <c r="H2250" s="156">
        <v>0.0</v>
      </c>
      <c r="I2250" s="154" t="s">
        <v>5371</v>
      </c>
      <c r="J2250" s="154" t="s">
        <v>5372</v>
      </c>
      <c r="K2250" s="154" t="s">
        <v>259</v>
      </c>
    </row>
    <row r="2251">
      <c r="A2251" s="154" t="s">
        <v>5368</v>
      </c>
      <c r="B2251" s="154" t="s">
        <v>5369</v>
      </c>
      <c r="C2251" s="155"/>
      <c r="D2251" s="154">
        <v>2.0</v>
      </c>
      <c r="E2251" s="154" t="s">
        <v>1237</v>
      </c>
      <c r="F2251" s="154" t="s">
        <v>5370</v>
      </c>
      <c r="G2251" s="156">
        <v>0.0</v>
      </c>
      <c r="H2251" s="156">
        <v>0.0</v>
      </c>
      <c r="I2251" s="154" t="s">
        <v>5371</v>
      </c>
      <c r="J2251" s="154" t="s">
        <v>5372</v>
      </c>
      <c r="K2251" s="154" t="s">
        <v>259</v>
      </c>
    </row>
    <row r="2252">
      <c r="A2252" s="154" t="s">
        <v>5373</v>
      </c>
      <c r="B2252" s="155"/>
      <c r="C2252" s="154" t="s">
        <v>5374</v>
      </c>
      <c r="D2252" s="155"/>
      <c r="E2252" s="155"/>
      <c r="F2252" s="154" t="s">
        <v>5375</v>
      </c>
      <c r="G2252" s="154">
        <v>0.0</v>
      </c>
      <c r="H2252" s="156">
        <v>0.0</v>
      </c>
      <c r="I2252" s="154">
        <v>9.71504582003E11</v>
      </c>
      <c r="J2252" s="156">
        <v>0.0</v>
      </c>
      <c r="K2252" s="154" t="s">
        <v>760</v>
      </c>
    </row>
    <row r="2253">
      <c r="A2253" s="154" t="s">
        <v>5373</v>
      </c>
      <c r="B2253" s="154" t="s">
        <v>5374</v>
      </c>
      <c r="C2253" s="155"/>
      <c r="D2253" s="154">
        <v>2.0</v>
      </c>
      <c r="E2253" s="154" t="s">
        <v>1237</v>
      </c>
      <c r="F2253" s="154" t="s">
        <v>5375</v>
      </c>
      <c r="G2253" s="154">
        <v>0.0</v>
      </c>
      <c r="H2253" s="156">
        <v>0.0</v>
      </c>
      <c r="I2253" s="154">
        <v>9.71504582003E11</v>
      </c>
      <c r="J2253" s="156">
        <v>0.0</v>
      </c>
      <c r="K2253" s="154" t="s">
        <v>760</v>
      </c>
    </row>
    <row r="2254">
      <c r="A2254" s="154" t="s">
        <v>5376</v>
      </c>
      <c r="B2254" s="154" t="s">
        <v>5377</v>
      </c>
      <c r="C2254" s="155"/>
      <c r="D2254" s="154">
        <v>2.0</v>
      </c>
      <c r="E2254" s="154" t="s">
        <v>1237</v>
      </c>
      <c r="F2254" s="154" t="s">
        <v>5378</v>
      </c>
      <c r="G2254" s="154">
        <v>9.7144520403E10</v>
      </c>
      <c r="H2254" s="156">
        <v>0.0</v>
      </c>
      <c r="I2254" s="154">
        <v>9.715038124E11</v>
      </c>
      <c r="J2254" s="156">
        <v>0.0</v>
      </c>
      <c r="K2254" s="154" t="s">
        <v>361</v>
      </c>
    </row>
    <row r="2255">
      <c r="A2255" s="154" t="s">
        <v>5376</v>
      </c>
      <c r="B2255" s="155"/>
      <c r="C2255" s="154" t="s">
        <v>5377</v>
      </c>
      <c r="D2255" s="155"/>
      <c r="E2255" s="155"/>
      <c r="F2255" s="154" t="s">
        <v>5378</v>
      </c>
      <c r="G2255" s="154">
        <v>9.7144520403E10</v>
      </c>
      <c r="H2255" s="156">
        <v>0.0</v>
      </c>
      <c r="I2255" s="154">
        <v>9.715038124E11</v>
      </c>
      <c r="J2255" s="156">
        <v>0.0</v>
      </c>
      <c r="K2255" s="154" t="s">
        <v>361</v>
      </c>
    </row>
    <row r="2256">
      <c r="A2256" s="154" t="s">
        <v>5379</v>
      </c>
      <c r="B2256" s="155"/>
      <c r="C2256" s="154" t="s">
        <v>5380</v>
      </c>
      <c r="D2256" s="155"/>
      <c r="E2256" s="155"/>
      <c r="F2256" s="154" t="s">
        <v>5381</v>
      </c>
      <c r="G2256" s="154">
        <v>0.0</v>
      </c>
      <c r="H2256" s="156">
        <v>0.0</v>
      </c>
      <c r="I2256" s="154">
        <v>9.7156101669E11</v>
      </c>
      <c r="J2256" s="156">
        <v>0.0</v>
      </c>
      <c r="K2256" s="154" t="s">
        <v>361</v>
      </c>
    </row>
    <row r="2257">
      <c r="A2257" s="154" t="s">
        <v>5379</v>
      </c>
      <c r="B2257" s="154" t="s">
        <v>5380</v>
      </c>
      <c r="C2257" s="155"/>
      <c r="D2257" s="154">
        <v>2.0</v>
      </c>
      <c r="E2257" s="154" t="s">
        <v>1237</v>
      </c>
      <c r="F2257" s="154" t="s">
        <v>5381</v>
      </c>
      <c r="G2257" s="154">
        <v>0.0</v>
      </c>
      <c r="H2257" s="156">
        <v>0.0</v>
      </c>
      <c r="I2257" s="154">
        <v>9.7156101669E11</v>
      </c>
      <c r="J2257" s="156">
        <v>0.0</v>
      </c>
      <c r="K2257" s="154" t="s">
        <v>361</v>
      </c>
    </row>
    <row r="2258">
      <c r="A2258" s="154" t="s">
        <v>5382</v>
      </c>
      <c r="B2258" s="155"/>
      <c r="C2258" s="154" t="s">
        <v>5383</v>
      </c>
      <c r="D2258" s="155"/>
      <c r="E2258" s="155"/>
      <c r="F2258" s="154" t="s">
        <v>5384</v>
      </c>
      <c r="G2258" s="156">
        <v>0.0</v>
      </c>
      <c r="H2258" s="154" t="s">
        <v>5385</v>
      </c>
      <c r="I2258" s="154" t="s">
        <v>5386</v>
      </c>
      <c r="J2258" s="156">
        <v>0.0</v>
      </c>
      <c r="K2258" s="154" t="s">
        <v>939</v>
      </c>
    </row>
    <row r="2259">
      <c r="A2259" s="154" t="s">
        <v>5382</v>
      </c>
      <c r="B2259" s="154" t="s">
        <v>5383</v>
      </c>
      <c r="C2259" s="155"/>
      <c r="D2259" s="154">
        <v>2.0</v>
      </c>
      <c r="E2259" s="154" t="s">
        <v>1237</v>
      </c>
      <c r="F2259" s="154" t="s">
        <v>5384</v>
      </c>
      <c r="G2259" s="156">
        <v>0.0</v>
      </c>
      <c r="H2259" s="154" t="s">
        <v>5385</v>
      </c>
      <c r="I2259" s="154" t="s">
        <v>5386</v>
      </c>
      <c r="J2259" s="156">
        <v>0.0</v>
      </c>
      <c r="K2259" s="154" t="s">
        <v>939</v>
      </c>
    </row>
    <row r="2260">
      <c r="A2260" s="154" t="s">
        <v>5387</v>
      </c>
      <c r="B2260" s="155"/>
      <c r="C2260" s="154" t="s">
        <v>5388</v>
      </c>
      <c r="D2260" s="155"/>
      <c r="E2260" s="155"/>
      <c r="F2260" s="154" t="s">
        <v>5389</v>
      </c>
      <c r="G2260" s="156">
        <v>0.0</v>
      </c>
      <c r="H2260" s="156">
        <v>0.0</v>
      </c>
      <c r="I2260" s="154" t="s">
        <v>5390</v>
      </c>
      <c r="J2260" s="156">
        <v>0.0</v>
      </c>
      <c r="K2260" s="154" t="s">
        <v>1731</v>
      </c>
    </row>
    <row r="2261">
      <c r="A2261" s="154" t="s">
        <v>5387</v>
      </c>
      <c r="B2261" s="154" t="s">
        <v>5388</v>
      </c>
      <c r="C2261" s="155"/>
      <c r="D2261" s="154">
        <v>2.0</v>
      </c>
      <c r="E2261" s="154" t="s">
        <v>1237</v>
      </c>
      <c r="F2261" s="154" t="s">
        <v>5389</v>
      </c>
      <c r="G2261" s="156">
        <v>0.0</v>
      </c>
      <c r="H2261" s="156">
        <v>0.0</v>
      </c>
      <c r="I2261" s="154" t="s">
        <v>5390</v>
      </c>
      <c r="J2261" s="156">
        <v>0.0</v>
      </c>
      <c r="K2261" s="154" t="s">
        <v>1731</v>
      </c>
    </row>
    <row r="2262">
      <c r="A2262" s="154" t="s">
        <v>5391</v>
      </c>
      <c r="B2262" s="155"/>
      <c r="C2262" s="154" t="s">
        <v>5392</v>
      </c>
      <c r="D2262" s="155"/>
      <c r="E2262" s="155"/>
      <c r="F2262" s="154" t="s">
        <v>5393</v>
      </c>
      <c r="G2262" s="156">
        <v>0.0</v>
      </c>
      <c r="H2262" s="156">
        <v>0.0</v>
      </c>
      <c r="I2262" s="154" t="s">
        <v>5394</v>
      </c>
      <c r="J2262" s="156">
        <v>0.0</v>
      </c>
      <c r="K2262" s="154" t="s">
        <v>207</v>
      </c>
    </row>
    <row r="2263">
      <c r="A2263" s="154" t="s">
        <v>5391</v>
      </c>
      <c r="B2263" s="154" t="s">
        <v>5392</v>
      </c>
      <c r="C2263" s="155"/>
      <c r="D2263" s="154">
        <v>2.0</v>
      </c>
      <c r="E2263" s="154" t="s">
        <v>1237</v>
      </c>
      <c r="F2263" s="154" t="s">
        <v>5393</v>
      </c>
      <c r="G2263" s="156">
        <v>0.0</v>
      </c>
      <c r="H2263" s="156">
        <v>0.0</v>
      </c>
      <c r="I2263" s="154" t="s">
        <v>5394</v>
      </c>
      <c r="J2263" s="156">
        <v>0.0</v>
      </c>
      <c r="K2263" s="154" t="s">
        <v>207</v>
      </c>
    </row>
    <row r="2264">
      <c r="A2264" s="154" t="s">
        <v>5395</v>
      </c>
      <c r="B2264" s="154" t="s">
        <v>5396</v>
      </c>
      <c r="C2264" s="155"/>
      <c r="D2264" s="154">
        <v>2.0</v>
      </c>
      <c r="E2264" s="154" t="s">
        <v>1237</v>
      </c>
      <c r="F2264" s="154" t="s">
        <v>5397</v>
      </c>
      <c r="G2264" s="156">
        <v>0.0</v>
      </c>
      <c r="H2264" s="156">
        <v>0.0</v>
      </c>
      <c r="I2264" s="154" t="s">
        <v>5398</v>
      </c>
      <c r="J2264" s="156">
        <v>0.0</v>
      </c>
      <c r="K2264" s="154" t="s">
        <v>361</v>
      </c>
    </row>
    <row r="2265">
      <c r="A2265" s="154" t="s">
        <v>5395</v>
      </c>
      <c r="B2265" s="155"/>
      <c r="C2265" s="154" t="s">
        <v>5396</v>
      </c>
      <c r="D2265" s="155"/>
      <c r="E2265" s="155"/>
      <c r="F2265" s="154" t="s">
        <v>5397</v>
      </c>
      <c r="G2265" s="156">
        <v>0.0</v>
      </c>
      <c r="H2265" s="156">
        <v>0.0</v>
      </c>
      <c r="I2265" s="154" t="s">
        <v>5398</v>
      </c>
      <c r="J2265" s="156">
        <v>0.0</v>
      </c>
      <c r="K2265" s="154" t="s">
        <v>361</v>
      </c>
    </row>
    <row r="2266">
      <c r="A2266" s="154" t="s">
        <v>5399</v>
      </c>
      <c r="B2266" s="154" t="s">
        <v>5400</v>
      </c>
      <c r="C2266" s="155"/>
      <c r="D2266" s="154">
        <v>2.0</v>
      </c>
      <c r="E2266" s="154" t="s">
        <v>1237</v>
      </c>
      <c r="F2266" s="154" t="s">
        <v>3436</v>
      </c>
      <c r="G2266" s="154" t="s">
        <v>3908</v>
      </c>
      <c r="H2266" s="154" t="s">
        <v>3909</v>
      </c>
      <c r="I2266" s="156">
        <v>0.0</v>
      </c>
      <c r="J2266" s="156">
        <v>0.0</v>
      </c>
      <c r="K2266" s="156">
        <v>0.0</v>
      </c>
    </row>
    <row r="2267">
      <c r="A2267" s="154" t="s">
        <v>5399</v>
      </c>
      <c r="B2267" s="155"/>
      <c r="C2267" s="154" t="s">
        <v>5400</v>
      </c>
      <c r="D2267" s="155"/>
      <c r="E2267" s="155"/>
      <c r="F2267" s="154" t="s">
        <v>3436</v>
      </c>
      <c r="G2267" s="154" t="s">
        <v>3908</v>
      </c>
      <c r="H2267" s="154" t="s">
        <v>3909</v>
      </c>
      <c r="I2267" s="156">
        <v>0.0</v>
      </c>
      <c r="J2267" s="156">
        <v>0.0</v>
      </c>
      <c r="K2267" s="156">
        <v>0.0</v>
      </c>
    </row>
    <row r="2268">
      <c r="A2268" s="154" t="s">
        <v>5401</v>
      </c>
      <c r="B2268" s="155"/>
      <c r="C2268" s="154" t="s">
        <v>5402</v>
      </c>
      <c r="D2268" s="155"/>
      <c r="E2268" s="155"/>
      <c r="F2268" s="154" t="s">
        <v>5403</v>
      </c>
      <c r="G2268" s="154">
        <v>40.0</v>
      </c>
      <c r="H2268" s="156">
        <v>0.0</v>
      </c>
      <c r="I2268" s="154">
        <v>9.71502441716E11</v>
      </c>
      <c r="J2268" s="156">
        <v>0.0</v>
      </c>
      <c r="K2268" s="154" t="s">
        <v>361</v>
      </c>
    </row>
    <row r="2269">
      <c r="A2269" s="154" t="s">
        <v>5401</v>
      </c>
      <c r="B2269" s="154" t="s">
        <v>5402</v>
      </c>
      <c r="C2269" s="155"/>
      <c r="D2269" s="154">
        <v>2.0</v>
      </c>
      <c r="E2269" s="154" t="s">
        <v>1237</v>
      </c>
      <c r="F2269" s="154" t="s">
        <v>5403</v>
      </c>
      <c r="G2269" s="154">
        <v>40.0</v>
      </c>
      <c r="H2269" s="156">
        <v>0.0</v>
      </c>
      <c r="I2269" s="154">
        <v>9.71502441716E11</v>
      </c>
      <c r="J2269" s="156">
        <v>0.0</v>
      </c>
      <c r="K2269" s="154" t="s">
        <v>361</v>
      </c>
    </row>
    <row r="2270">
      <c r="A2270" s="154" t="s">
        <v>5404</v>
      </c>
      <c r="B2270" s="155"/>
      <c r="C2270" s="154" t="s">
        <v>5405</v>
      </c>
      <c r="D2270" s="155"/>
      <c r="E2270" s="155"/>
      <c r="F2270" s="154" t="s">
        <v>994</v>
      </c>
      <c r="G2270" s="154">
        <v>5.0979726E8</v>
      </c>
      <c r="H2270" s="154" t="s">
        <v>995</v>
      </c>
      <c r="I2270" s="156">
        <v>0.0</v>
      </c>
      <c r="J2270" s="156">
        <v>0.0</v>
      </c>
      <c r="K2270" s="156">
        <v>0.0</v>
      </c>
    </row>
    <row r="2271">
      <c r="A2271" s="154" t="s">
        <v>5404</v>
      </c>
      <c r="B2271" s="154" t="s">
        <v>5405</v>
      </c>
      <c r="C2271" s="155"/>
      <c r="D2271" s="154">
        <v>2.0</v>
      </c>
      <c r="E2271" s="154" t="s">
        <v>1237</v>
      </c>
      <c r="F2271" s="154" t="s">
        <v>994</v>
      </c>
      <c r="G2271" s="154">
        <v>5.0979726E8</v>
      </c>
      <c r="H2271" s="154" t="s">
        <v>995</v>
      </c>
      <c r="I2271" s="156">
        <v>0.0</v>
      </c>
      <c r="J2271" s="156">
        <v>0.0</v>
      </c>
      <c r="K2271" s="156">
        <v>0.0</v>
      </c>
    </row>
    <row r="2272">
      <c r="A2272" s="154" t="s">
        <v>5406</v>
      </c>
      <c r="B2272" s="154" t="s">
        <v>5407</v>
      </c>
      <c r="C2272" s="155"/>
      <c r="D2272" s="154">
        <v>2.0</v>
      </c>
      <c r="E2272" s="154" t="s">
        <v>1237</v>
      </c>
      <c r="F2272" s="154" t="s">
        <v>5408</v>
      </c>
      <c r="G2272" s="156">
        <v>0.0</v>
      </c>
      <c r="H2272" s="154" t="s">
        <v>1185</v>
      </c>
      <c r="I2272" s="154" t="s">
        <v>5409</v>
      </c>
      <c r="J2272" s="154" t="s">
        <v>5410</v>
      </c>
      <c r="K2272" s="154" t="s">
        <v>207</v>
      </c>
    </row>
    <row r="2273">
      <c r="A2273" s="154" t="s">
        <v>5406</v>
      </c>
      <c r="B2273" s="155"/>
      <c r="C2273" s="154" t="s">
        <v>5407</v>
      </c>
      <c r="D2273" s="155"/>
      <c r="E2273" s="155"/>
      <c r="F2273" s="154" t="s">
        <v>5408</v>
      </c>
      <c r="G2273" s="156">
        <v>0.0</v>
      </c>
      <c r="H2273" s="154" t="s">
        <v>1185</v>
      </c>
      <c r="I2273" s="154" t="s">
        <v>5409</v>
      </c>
      <c r="J2273" s="154" t="s">
        <v>5410</v>
      </c>
      <c r="K2273" s="154" t="s">
        <v>207</v>
      </c>
    </row>
    <row r="2274">
      <c r="A2274" s="154" t="s">
        <v>5411</v>
      </c>
      <c r="B2274" s="155"/>
      <c r="C2274" s="154" t="s">
        <v>5412</v>
      </c>
      <c r="D2274" s="155"/>
      <c r="E2274" s="155"/>
      <c r="F2274" s="154" t="s">
        <v>5408</v>
      </c>
      <c r="G2274" s="156">
        <v>0.0</v>
      </c>
      <c r="H2274" s="154" t="s">
        <v>1185</v>
      </c>
      <c r="I2274" s="154" t="s">
        <v>5409</v>
      </c>
      <c r="J2274" s="154" t="s">
        <v>5410</v>
      </c>
      <c r="K2274" s="154" t="s">
        <v>207</v>
      </c>
    </row>
    <row r="2275">
      <c r="A2275" s="154" t="s">
        <v>5411</v>
      </c>
      <c r="B2275" s="154" t="s">
        <v>5412</v>
      </c>
      <c r="C2275" s="155"/>
      <c r="D2275" s="154">
        <v>2.0</v>
      </c>
      <c r="E2275" s="154" t="s">
        <v>1237</v>
      </c>
      <c r="F2275" s="154" t="s">
        <v>5408</v>
      </c>
      <c r="G2275" s="156">
        <v>0.0</v>
      </c>
      <c r="H2275" s="154" t="s">
        <v>1185</v>
      </c>
      <c r="I2275" s="154" t="s">
        <v>5409</v>
      </c>
      <c r="J2275" s="154" t="s">
        <v>5410</v>
      </c>
      <c r="K2275" s="154" t="s">
        <v>207</v>
      </c>
    </row>
    <row r="2276">
      <c r="A2276" s="154" t="s">
        <v>5413</v>
      </c>
      <c r="B2276" s="154" t="s">
        <v>5414</v>
      </c>
      <c r="C2276" s="155"/>
      <c r="D2276" s="154">
        <v>2.0</v>
      </c>
      <c r="E2276" s="154" t="s">
        <v>1237</v>
      </c>
      <c r="F2276" s="154" t="s">
        <v>5415</v>
      </c>
      <c r="G2276" s="154">
        <v>0.0</v>
      </c>
      <c r="H2276" s="156">
        <v>0.0</v>
      </c>
      <c r="I2276" s="154">
        <v>9.71507688306E11</v>
      </c>
      <c r="J2276" s="156">
        <v>0.0</v>
      </c>
      <c r="K2276" s="154" t="s">
        <v>320</v>
      </c>
    </row>
    <row r="2277">
      <c r="A2277" s="154" t="s">
        <v>5413</v>
      </c>
      <c r="B2277" s="155"/>
      <c r="C2277" s="154" t="s">
        <v>5414</v>
      </c>
      <c r="D2277" s="155"/>
      <c r="E2277" s="155"/>
      <c r="F2277" s="154" t="s">
        <v>5415</v>
      </c>
      <c r="G2277" s="154">
        <v>0.0</v>
      </c>
      <c r="H2277" s="156">
        <v>0.0</v>
      </c>
      <c r="I2277" s="154">
        <v>9.71507688306E11</v>
      </c>
      <c r="J2277" s="156">
        <v>0.0</v>
      </c>
      <c r="K2277" s="154" t="s">
        <v>320</v>
      </c>
    </row>
    <row r="2278">
      <c r="A2278" s="154" t="s">
        <v>5416</v>
      </c>
      <c r="B2278" s="155"/>
      <c r="C2278" s="154" t="s">
        <v>5417</v>
      </c>
      <c r="D2278" s="155"/>
      <c r="E2278" s="155"/>
      <c r="F2278" s="154" t="s">
        <v>5354</v>
      </c>
      <c r="G2278" s="156">
        <v>0.0</v>
      </c>
      <c r="H2278" s="156">
        <v>0.0</v>
      </c>
      <c r="I2278" s="154">
        <v>5.0552453E8</v>
      </c>
      <c r="J2278" s="156">
        <v>0.0</v>
      </c>
      <c r="K2278" s="154" t="s">
        <v>361</v>
      </c>
    </row>
    <row r="2279">
      <c r="A2279" s="154" t="s">
        <v>5416</v>
      </c>
      <c r="B2279" s="154" t="s">
        <v>5417</v>
      </c>
      <c r="C2279" s="155"/>
      <c r="D2279" s="154">
        <v>2.0</v>
      </c>
      <c r="E2279" s="154" t="s">
        <v>1237</v>
      </c>
      <c r="F2279" s="154" t="s">
        <v>5354</v>
      </c>
      <c r="G2279" s="156">
        <v>0.0</v>
      </c>
      <c r="H2279" s="156">
        <v>0.0</v>
      </c>
      <c r="I2279" s="154">
        <v>5.0552453E8</v>
      </c>
      <c r="J2279" s="156">
        <v>0.0</v>
      </c>
      <c r="K2279" s="154" t="s">
        <v>361</v>
      </c>
    </row>
    <row r="2280">
      <c r="A2280" s="154" t="s">
        <v>5418</v>
      </c>
      <c r="B2280" s="154" t="s">
        <v>5419</v>
      </c>
      <c r="C2280" s="155"/>
      <c r="D2280" s="154">
        <v>2.0</v>
      </c>
      <c r="E2280" s="154" t="s">
        <v>1237</v>
      </c>
      <c r="F2280" s="154" t="s">
        <v>5420</v>
      </c>
      <c r="G2280" s="156">
        <v>0.0</v>
      </c>
      <c r="H2280" s="156">
        <v>0.0</v>
      </c>
      <c r="I2280" s="154" t="s">
        <v>5421</v>
      </c>
      <c r="J2280" s="154" t="s">
        <v>5422</v>
      </c>
      <c r="K2280" s="154" t="s">
        <v>1474</v>
      </c>
    </row>
    <row r="2281">
      <c r="A2281" s="154" t="s">
        <v>5418</v>
      </c>
      <c r="B2281" s="155"/>
      <c r="C2281" s="154" t="s">
        <v>5419</v>
      </c>
      <c r="D2281" s="155"/>
      <c r="E2281" s="155"/>
      <c r="F2281" s="154" t="s">
        <v>5423</v>
      </c>
      <c r="G2281" s="154">
        <v>0.0</v>
      </c>
      <c r="H2281" s="156">
        <v>0.0</v>
      </c>
      <c r="I2281" s="156">
        <v>0.0</v>
      </c>
      <c r="J2281" s="156">
        <v>0.0</v>
      </c>
      <c r="K2281" s="154" t="s">
        <v>1474</v>
      </c>
    </row>
    <row r="2282">
      <c r="A2282" s="154" t="s">
        <v>5424</v>
      </c>
      <c r="B2282" s="155"/>
      <c r="C2282" s="154" t="s">
        <v>5425</v>
      </c>
      <c r="D2282" s="155"/>
      <c r="E2282" s="155"/>
      <c r="F2282" s="154" t="s">
        <v>921</v>
      </c>
      <c r="G2282" s="154" t="s">
        <v>922</v>
      </c>
      <c r="H2282" s="156">
        <v>0.0</v>
      </c>
      <c r="I2282" s="154">
        <v>9.71504486581E11</v>
      </c>
      <c r="J2282" s="156">
        <v>0.0</v>
      </c>
      <c r="K2282" s="154" t="s">
        <v>923</v>
      </c>
    </row>
    <row r="2283">
      <c r="A2283" s="154" t="s">
        <v>5424</v>
      </c>
      <c r="B2283" s="154" t="s">
        <v>5425</v>
      </c>
      <c r="C2283" s="155"/>
      <c r="D2283" s="154">
        <v>2.0</v>
      </c>
      <c r="E2283" s="154" t="s">
        <v>1237</v>
      </c>
      <c r="F2283" s="154" t="s">
        <v>921</v>
      </c>
      <c r="G2283" s="154" t="s">
        <v>922</v>
      </c>
      <c r="H2283" s="156">
        <v>0.0</v>
      </c>
      <c r="I2283" s="154">
        <v>9.71504486581E11</v>
      </c>
      <c r="J2283" s="156">
        <v>0.0</v>
      </c>
      <c r="K2283" s="154" t="s">
        <v>923</v>
      </c>
    </row>
    <row r="2284">
      <c r="A2284" s="154" t="s">
        <v>5426</v>
      </c>
      <c r="B2284" s="155"/>
      <c r="C2284" s="154" t="s">
        <v>5427</v>
      </c>
      <c r="D2284" s="155"/>
      <c r="E2284" s="155"/>
      <c r="F2284" s="154" t="s">
        <v>2466</v>
      </c>
      <c r="G2284" s="154" t="s">
        <v>2467</v>
      </c>
      <c r="H2284" s="156">
        <v>0.0</v>
      </c>
      <c r="I2284" s="154" t="s">
        <v>2468</v>
      </c>
      <c r="J2284" s="156">
        <v>0.0</v>
      </c>
      <c r="K2284" s="154" t="s">
        <v>760</v>
      </c>
    </row>
    <row r="2285">
      <c r="A2285" s="154" t="s">
        <v>5426</v>
      </c>
      <c r="B2285" s="154" t="s">
        <v>5427</v>
      </c>
      <c r="C2285" s="155"/>
      <c r="D2285" s="154">
        <v>2.0</v>
      </c>
      <c r="E2285" s="154" t="s">
        <v>1237</v>
      </c>
      <c r="F2285" s="154" t="s">
        <v>2466</v>
      </c>
      <c r="G2285" s="154" t="s">
        <v>2467</v>
      </c>
      <c r="H2285" s="156">
        <v>0.0</v>
      </c>
      <c r="I2285" s="154" t="s">
        <v>2468</v>
      </c>
      <c r="J2285" s="156">
        <v>0.0</v>
      </c>
      <c r="K2285" s="154" t="s">
        <v>760</v>
      </c>
      <c r="L2285" s="88" t="s">
        <v>5428</v>
      </c>
    </row>
    <row r="2286">
      <c r="A2286" s="154" t="s">
        <v>5429</v>
      </c>
      <c r="B2286" s="154" t="s">
        <v>5430</v>
      </c>
      <c r="C2286" s="155"/>
      <c r="D2286" s="154">
        <v>2.0</v>
      </c>
      <c r="E2286" s="154" t="s">
        <v>1237</v>
      </c>
      <c r="F2286" s="154" t="s">
        <v>5431</v>
      </c>
      <c r="G2286" s="154">
        <v>5.06524912E8</v>
      </c>
      <c r="H2286" s="156">
        <v>0.0</v>
      </c>
      <c r="I2286" s="154" t="s">
        <v>5432</v>
      </c>
      <c r="J2286" s="156">
        <v>0.0</v>
      </c>
      <c r="K2286" s="154" t="s">
        <v>197</v>
      </c>
    </row>
    <row r="2287">
      <c r="A2287" s="154" t="s">
        <v>5429</v>
      </c>
      <c r="B2287" s="155"/>
      <c r="C2287" s="154" t="s">
        <v>5430</v>
      </c>
      <c r="D2287" s="155"/>
      <c r="E2287" s="155"/>
      <c r="F2287" s="154" t="s">
        <v>5431</v>
      </c>
      <c r="G2287" s="154">
        <v>5.06524912E8</v>
      </c>
      <c r="H2287" s="156">
        <v>0.0</v>
      </c>
      <c r="I2287" s="154" t="s">
        <v>5432</v>
      </c>
      <c r="J2287" s="156">
        <v>0.0</v>
      </c>
      <c r="K2287" s="154" t="s">
        <v>197</v>
      </c>
    </row>
    <row r="2288">
      <c r="A2288" s="154" t="s">
        <v>5433</v>
      </c>
      <c r="B2288" s="155"/>
      <c r="C2288" s="154" t="s">
        <v>5434</v>
      </c>
      <c r="D2288" s="155"/>
      <c r="E2288" s="155"/>
      <c r="F2288" s="154" t="s">
        <v>5435</v>
      </c>
      <c r="G2288" s="154">
        <v>5.04966316E8</v>
      </c>
      <c r="H2288" s="156">
        <v>0.0</v>
      </c>
      <c r="I2288" s="155">
        <f t="shared" ref="I2288:I2289" si="12">+966539300998</f>
        <v>966539300998</v>
      </c>
      <c r="J2288" s="156">
        <v>0.0</v>
      </c>
      <c r="K2288" s="154" t="s">
        <v>914</v>
      </c>
    </row>
    <row r="2289">
      <c r="A2289" s="154" t="s">
        <v>5433</v>
      </c>
      <c r="B2289" s="154" t="s">
        <v>5434</v>
      </c>
      <c r="C2289" s="155"/>
      <c r="D2289" s="154">
        <v>2.0</v>
      </c>
      <c r="E2289" s="154" t="s">
        <v>1237</v>
      </c>
      <c r="F2289" s="154" t="s">
        <v>5435</v>
      </c>
      <c r="G2289" s="154">
        <v>5.04966316E8</v>
      </c>
      <c r="H2289" s="156">
        <v>0.0</v>
      </c>
      <c r="I2289" s="155">
        <f t="shared" si="12"/>
        <v>966539300998</v>
      </c>
      <c r="J2289" s="156">
        <v>0.0</v>
      </c>
      <c r="K2289" s="154" t="s">
        <v>914</v>
      </c>
    </row>
    <row r="2290">
      <c r="A2290" s="154" t="s">
        <v>5436</v>
      </c>
      <c r="B2290" s="154" t="s">
        <v>5437</v>
      </c>
      <c r="C2290" s="155"/>
      <c r="D2290" s="154">
        <v>2.0</v>
      </c>
      <c r="E2290" s="154" t="s">
        <v>1237</v>
      </c>
      <c r="F2290" s="154" t="s">
        <v>5438</v>
      </c>
      <c r="G2290" s="156">
        <v>0.0</v>
      </c>
      <c r="H2290" s="154" t="s">
        <v>5439</v>
      </c>
      <c r="I2290" s="154" t="s">
        <v>5440</v>
      </c>
      <c r="J2290" s="156">
        <v>0.0</v>
      </c>
      <c r="K2290" s="154" t="s">
        <v>207</v>
      </c>
    </row>
    <row r="2291">
      <c r="A2291" s="154" t="s">
        <v>5436</v>
      </c>
      <c r="B2291" s="155"/>
      <c r="C2291" s="154" t="s">
        <v>5437</v>
      </c>
      <c r="D2291" s="155"/>
      <c r="E2291" s="155"/>
      <c r="F2291" s="154" t="s">
        <v>5441</v>
      </c>
      <c r="G2291" s="156">
        <v>0.0</v>
      </c>
      <c r="H2291" s="154" t="s">
        <v>5439</v>
      </c>
      <c r="I2291" s="154" t="s">
        <v>5440</v>
      </c>
      <c r="J2291" s="156">
        <v>0.0</v>
      </c>
      <c r="K2291" s="154" t="s">
        <v>207</v>
      </c>
    </row>
    <row r="2292">
      <c r="A2292" s="154" t="s">
        <v>5442</v>
      </c>
      <c r="B2292" s="154" t="s">
        <v>5443</v>
      </c>
      <c r="C2292" s="155"/>
      <c r="D2292" s="154">
        <v>2.0</v>
      </c>
      <c r="E2292" s="154" t="s">
        <v>1237</v>
      </c>
      <c r="F2292" s="154" t="s">
        <v>5444</v>
      </c>
      <c r="G2292" s="154">
        <v>4.3900095E7</v>
      </c>
      <c r="H2292" s="156">
        <v>0.0</v>
      </c>
      <c r="I2292" s="154">
        <v>5.04612083E8</v>
      </c>
      <c r="J2292" s="156">
        <v>0.0</v>
      </c>
      <c r="K2292" s="154" t="s">
        <v>259</v>
      </c>
    </row>
    <row r="2293">
      <c r="A2293" s="154" t="s">
        <v>5442</v>
      </c>
      <c r="B2293" s="155"/>
      <c r="C2293" s="154" t="s">
        <v>5443</v>
      </c>
      <c r="D2293" s="155"/>
      <c r="E2293" s="155"/>
      <c r="F2293" s="154" t="s">
        <v>5445</v>
      </c>
      <c r="G2293" s="154">
        <v>5.04612083E8</v>
      </c>
      <c r="H2293" s="156">
        <v>0.0</v>
      </c>
      <c r="I2293" s="154">
        <v>5.04612083E8</v>
      </c>
      <c r="J2293" s="156">
        <v>0.0</v>
      </c>
      <c r="K2293" s="154" t="s">
        <v>259</v>
      </c>
    </row>
    <row r="2294">
      <c r="A2294" s="154" t="s">
        <v>5446</v>
      </c>
      <c r="B2294" s="155"/>
      <c r="C2294" s="154" t="s">
        <v>5447</v>
      </c>
      <c r="D2294" s="155"/>
      <c r="E2294" s="155"/>
      <c r="F2294" s="154" t="s">
        <v>3960</v>
      </c>
      <c r="G2294" s="154">
        <v>0.0</v>
      </c>
      <c r="H2294" s="156">
        <v>0.0</v>
      </c>
      <c r="I2294" s="154">
        <v>9.71506567061E11</v>
      </c>
      <c r="J2294" s="156">
        <v>0.0</v>
      </c>
      <c r="K2294" s="154" t="s">
        <v>361</v>
      </c>
    </row>
    <row r="2295">
      <c r="A2295" s="154" t="s">
        <v>5446</v>
      </c>
      <c r="B2295" s="154" t="s">
        <v>5447</v>
      </c>
      <c r="C2295" s="155"/>
      <c r="D2295" s="154">
        <v>2.0</v>
      </c>
      <c r="E2295" s="154" t="s">
        <v>1237</v>
      </c>
      <c r="F2295" s="154" t="s">
        <v>5448</v>
      </c>
      <c r="G2295" s="154">
        <v>3552413.0</v>
      </c>
      <c r="H2295" s="156">
        <v>0.0</v>
      </c>
      <c r="I2295" s="154">
        <v>5.04542741E8</v>
      </c>
      <c r="J2295" s="156">
        <v>0.0</v>
      </c>
      <c r="K2295" s="154" t="s">
        <v>361</v>
      </c>
    </row>
    <row r="2296">
      <c r="A2296" s="154" t="s">
        <v>5449</v>
      </c>
      <c r="B2296" s="155"/>
      <c r="C2296" s="154" t="s">
        <v>5450</v>
      </c>
      <c r="D2296" s="155"/>
      <c r="E2296" s="155"/>
      <c r="F2296" s="154" t="s">
        <v>849</v>
      </c>
      <c r="G2296" s="154" t="s">
        <v>850</v>
      </c>
      <c r="H2296" s="154" t="s">
        <v>851</v>
      </c>
      <c r="I2296" s="156">
        <v>0.0</v>
      </c>
      <c r="J2296" s="156">
        <v>0.0</v>
      </c>
      <c r="K2296" s="156">
        <v>0.0</v>
      </c>
    </row>
    <row r="2297">
      <c r="A2297" s="154" t="s">
        <v>5449</v>
      </c>
      <c r="B2297" s="154" t="s">
        <v>5450</v>
      </c>
      <c r="C2297" s="155"/>
      <c r="D2297" s="154">
        <v>2.0</v>
      </c>
      <c r="E2297" s="154" t="s">
        <v>1237</v>
      </c>
      <c r="F2297" s="154" t="s">
        <v>5451</v>
      </c>
      <c r="G2297" s="154" t="s">
        <v>809</v>
      </c>
      <c r="H2297" s="154" t="s">
        <v>5452</v>
      </c>
      <c r="I2297" s="154" t="s">
        <v>5453</v>
      </c>
      <c r="J2297" s="156">
        <v>0.0</v>
      </c>
      <c r="K2297" s="154" t="s">
        <v>846</v>
      </c>
    </row>
    <row r="2298">
      <c r="A2298" s="154" t="s">
        <v>5454</v>
      </c>
      <c r="B2298" s="154" t="s">
        <v>5455</v>
      </c>
      <c r="C2298" s="155"/>
      <c r="D2298" s="154">
        <v>2.0</v>
      </c>
      <c r="E2298" s="154" t="s">
        <v>1237</v>
      </c>
      <c r="F2298" s="154" t="s">
        <v>5456</v>
      </c>
      <c r="G2298" s="156">
        <v>0.0</v>
      </c>
      <c r="H2298" s="154" t="s">
        <v>5457</v>
      </c>
      <c r="I2298" s="154" t="s">
        <v>5458</v>
      </c>
      <c r="J2298" s="154" t="s">
        <v>5459</v>
      </c>
      <c r="K2298" s="154" t="s">
        <v>361</v>
      </c>
    </row>
    <row r="2299">
      <c r="A2299" s="154" t="s">
        <v>5454</v>
      </c>
      <c r="B2299" s="155"/>
      <c r="C2299" s="154" t="s">
        <v>5455</v>
      </c>
      <c r="D2299" s="155"/>
      <c r="E2299" s="155"/>
      <c r="F2299" s="154" t="s">
        <v>5460</v>
      </c>
      <c r="G2299" s="156">
        <v>0.0</v>
      </c>
      <c r="H2299" s="154" t="s">
        <v>5461</v>
      </c>
      <c r="I2299" s="154" t="s">
        <v>5462</v>
      </c>
      <c r="J2299" s="154" t="s">
        <v>1133</v>
      </c>
      <c r="K2299" s="154" t="s">
        <v>207</v>
      </c>
    </row>
    <row r="2300">
      <c r="A2300" s="154" t="s">
        <v>5463</v>
      </c>
      <c r="B2300" s="155"/>
      <c r="C2300" s="154" t="s">
        <v>5464</v>
      </c>
      <c r="D2300" s="155"/>
      <c r="E2300" s="155"/>
      <c r="F2300" s="154" t="s">
        <v>5465</v>
      </c>
      <c r="G2300" s="156">
        <v>0.0</v>
      </c>
      <c r="H2300" s="154" t="s">
        <v>5466</v>
      </c>
      <c r="I2300" s="154" t="s">
        <v>5467</v>
      </c>
      <c r="J2300" s="154" t="s">
        <v>809</v>
      </c>
      <c r="K2300" s="154" t="s">
        <v>1945</v>
      </c>
    </row>
    <row r="2301">
      <c r="A2301" s="154" t="s">
        <v>5463</v>
      </c>
      <c r="B2301" s="154" t="s">
        <v>5464</v>
      </c>
      <c r="C2301" s="155"/>
      <c r="D2301" s="154">
        <v>2.0</v>
      </c>
      <c r="E2301" s="154" t="s">
        <v>1237</v>
      </c>
      <c r="F2301" s="154" t="s">
        <v>5465</v>
      </c>
      <c r="G2301" s="156">
        <v>0.0</v>
      </c>
      <c r="H2301" s="154" t="s">
        <v>5466</v>
      </c>
      <c r="I2301" s="154" t="s">
        <v>5467</v>
      </c>
      <c r="J2301" s="154" t="s">
        <v>809</v>
      </c>
      <c r="K2301" s="154" t="s">
        <v>1945</v>
      </c>
    </row>
    <row r="2302">
      <c r="A2302" s="154" t="s">
        <v>5468</v>
      </c>
      <c r="B2302" s="155"/>
      <c r="C2302" s="154" t="s">
        <v>5469</v>
      </c>
      <c r="D2302" s="155"/>
      <c r="E2302" s="155"/>
      <c r="F2302" s="154" t="s">
        <v>5470</v>
      </c>
      <c r="G2302" s="154">
        <v>5.07517106E8</v>
      </c>
      <c r="H2302" s="156">
        <v>0.0</v>
      </c>
      <c r="I2302" s="154">
        <v>7517106.0</v>
      </c>
      <c r="J2302" s="156">
        <v>0.0</v>
      </c>
      <c r="K2302" s="154" t="s">
        <v>240</v>
      </c>
    </row>
    <row r="2303">
      <c r="A2303" s="154" t="s">
        <v>5468</v>
      </c>
      <c r="B2303" s="154" t="s">
        <v>5469</v>
      </c>
      <c r="C2303" s="155"/>
      <c r="D2303" s="154">
        <v>2.0</v>
      </c>
      <c r="E2303" s="154" t="s">
        <v>1237</v>
      </c>
      <c r="F2303" s="154" t="s">
        <v>5470</v>
      </c>
      <c r="G2303" s="154">
        <v>5.07517106E8</v>
      </c>
      <c r="H2303" s="156">
        <v>0.0</v>
      </c>
      <c r="I2303" s="154">
        <v>7517106.0</v>
      </c>
      <c r="J2303" s="156">
        <v>0.0</v>
      </c>
      <c r="K2303" s="154" t="s">
        <v>240</v>
      </c>
    </row>
    <row r="2304">
      <c r="A2304" s="154" t="s">
        <v>5471</v>
      </c>
      <c r="B2304" s="154" t="s">
        <v>5472</v>
      </c>
      <c r="D2304" s="154">
        <v>2.0</v>
      </c>
      <c r="E2304" s="154" t="s">
        <v>761</v>
      </c>
      <c r="F2304" s="154" t="s">
        <v>1987</v>
      </c>
      <c r="G2304" s="154">
        <v>4.3329204E7</v>
      </c>
      <c r="H2304" s="156">
        <v>0.0</v>
      </c>
      <c r="I2304" s="156">
        <v>0.0</v>
      </c>
      <c r="J2304" s="156">
        <v>0.0</v>
      </c>
      <c r="K2304" s="156">
        <v>0.0</v>
      </c>
    </row>
    <row r="2305">
      <c r="A2305" s="154" t="s">
        <v>5471</v>
      </c>
      <c r="B2305" s="155"/>
      <c r="C2305" s="154" t="s">
        <v>5472</v>
      </c>
      <c r="D2305" s="155"/>
      <c r="E2305" s="155"/>
      <c r="F2305" s="154" t="s">
        <v>1987</v>
      </c>
      <c r="G2305" s="154">
        <v>4.3329204E7</v>
      </c>
      <c r="H2305" s="156">
        <v>0.0</v>
      </c>
      <c r="I2305" s="156">
        <v>0.0</v>
      </c>
      <c r="J2305" s="156">
        <v>0.0</v>
      </c>
      <c r="K2305" s="156">
        <v>0.0</v>
      </c>
    </row>
    <row r="2306">
      <c r="A2306" s="154" t="s">
        <v>5473</v>
      </c>
      <c r="B2306" s="155"/>
      <c r="C2306" s="154" t="s">
        <v>5474</v>
      </c>
      <c r="D2306" s="155"/>
      <c r="E2306" s="155"/>
      <c r="F2306" s="154" t="s">
        <v>1987</v>
      </c>
      <c r="G2306" s="154">
        <v>4.3329204E7</v>
      </c>
      <c r="H2306" s="156">
        <v>0.0</v>
      </c>
      <c r="I2306" s="156">
        <v>0.0</v>
      </c>
      <c r="J2306" s="156">
        <v>0.0</v>
      </c>
      <c r="K2306" s="156">
        <v>0.0</v>
      </c>
    </row>
    <row r="2307">
      <c r="A2307" s="154" t="s">
        <v>5473</v>
      </c>
      <c r="B2307" s="154" t="s">
        <v>5474</v>
      </c>
      <c r="D2307" s="154">
        <v>2.0</v>
      </c>
      <c r="E2307" s="154" t="s">
        <v>761</v>
      </c>
      <c r="F2307" s="154" t="s">
        <v>1987</v>
      </c>
      <c r="G2307" s="154">
        <v>4.3329204E7</v>
      </c>
      <c r="H2307" s="156">
        <v>0.0</v>
      </c>
      <c r="I2307" s="156">
        <v>0.0</v>
      </c>
      <c r="J2307" s="156">
        <v>0.0</v>
      </c>
      <c r="K2307" s="156">
        <v>0.0</v>
      </c>
    </row>
    <row r="2308">
      <c r="A2308" s="154" t="s">
        <v>5475</v>
      </c>
      <c r="B2308" s="154" t="s">
        <v>5476</v>
      </c>
      <c r="D2308" s="154">
        <v>2.0</v>
      </c>
      <c r="E2308" s="154" t="s">
        <v>761</v>
      </c>
      <c r="F2308" s="154" t="s">
        <v>1987</v>
      </c>
      <c r="G2308" s="154">
        <v>4.3329204E7</v>
      </c>
      <c r="H2308" s="156">
        <v>0.0</v>
      </c>
      <c r="I2308" s="156">
        <v>0.0</v>
      </c>
      <c r="J2308" s="156">
        <v>0.0</v>
      </c>
      <c r="K2308" s="156">
        <v>0.0</v>
      </c>
    </row>
    <row r="2309">
      <c r="A2309" s="154" t="s">
        <v>5475</v>
      </c>
      <c r="B2309" s="155"/>
      <c r="C2309" s="154" t="s">
        <v>5476</v>
      </c>
      <c r="D2309" s="155"/>
      <c r="E2309" s="155"/>
      <c r="F2309" s="154" t="s">
        <v>1987</v>
      </c>
      <c r="G2309" s="154">
        <v>4.3329204E7</v>
      </c>
      <c r="H2309" s="156">
        <v>0.0</v>
      </c>
      <c r="I2309" s="156">
        <v>0.0</v>
      </c>
      <c r="J2309" s="156">
        <v>0.0</v>
      </c>
      <c r="K2309" s="156">
        <v>0.0</v>
      </c>
    </row>
    <row r="2310">
      <c r="A2310" s="154" t="s">
        <v>5477</v>
      </c>
      <c r="B2310" s="154" t="s">
        <v>5478</v>
      </c>
      <c r="D2310" s="154">
        <v>2.0</v>
      </c>
      <c r="E2310" s="154" t="s">
        <v>761</v>
      </c>
      <c r="F2310" s="154" t="s">
        <v>1987</v>
      </c>
      <c r="G2310" s="154">
        <v>4.3329204E7</v>
      </c>
      <c r="H2310" s="156">
        <v>0.0</v>
      </c>
      <c r="I2310" s="156">
        <v>0.0</v>
      </c>
      <c r="J2310" s="156">
        <v>0.0</v>
      </c>
      <c r="K2310" s="156">
        <v>0.0</v>
      </c>
    </row>
    <row r="2311">
      <c r="A2311" s="154" t="s">
        <v>5477</v>
      </c>
      <c r="B2311" s="155"/>
      <c r="C2311" s="154" t="s">
        <v>5478</v>
      </c>
      <c r="D2311" s="155"/>
      <c r="E2311" s="155"/>
      <c r="F2311" s="154" t="s">
        <v>1987</v>
      </c>
      <c r="G2311" s="154">
        <v>4.3329204E7</v>
      </c>
      <c r="H2311" s="156">
        <v>0.0</v>
      </c>
      <c r="I2311" s="156">
        <v>0.0</v>
      </c>
      <c r="J2311" s="156">
        <v>0.0</v>
      </c>
      <c r="K2311" s="156">
        <v>0.0</v>
      </c>
    </row>
    <row r="2312">
      <c r="A2312" s="154" t="s">
        <v>5479</v>
      </c>
      <c r="B2312" s="154" t="s">
        <v>5480</v>
      </c>
      <c r="D2312" s="154">
        <v>2.0</v>
      </c>
      <c r="E2312" s="154" t="s">
        <v>761</v>
      </c>
      <c r="F2312" s="154" t="s">
        <v>1987</v>
      </c>
      <c r="G2312" s="154">
        <v>4.3329204E7</v>
      </c>
      <c r="H2312" s="156">
        <v>0.0</v>
      </c>
      <c r="I2312" s="156">
        <v>0.0</v>
      </c>
      <c r="J2312" s="156">
        <v>0.0</v>
      </c>
      <c r="K2312" s="156">
        <v>0.0</v>
      </c>
    </row>
    <row r="2313">
      <c r="A2313" s="154" t="s">
        <v>5479</v>
      </c>
      <c r="B2313" s="155"/>
      <c r="C2313" s="154" t="s">
        <v>5480</v>
      </c>
      <c r="D2313" s="155"/>
      <c r="E2313" s="155"/>
      <c r="F2313" s="154" t="s">
        <v>1987</v>
      </c>
      <c r="G2313" s="154">
        <v>4.3329204E7</v>
      </c>
      <c r="H2313" s="156">
        <v>0.0</v>
      </c>
      <c r="I2313" s="156">
        <v>0.0</v>
      </c>
      <c r="J2313" s="156">
        <v>0.0</v>
      </c>
      <c r="K2313" s="156">
        <v>0.0</v>
      </c>
    </row>
    <row r="2314">
      <c r="A2314" s="154" t="s">
        <v>5481</v>
      </c>
      <c r="B2314" s="154" t="s">
        <v>5482</v>
      </c>
      <c r="D2314" s="154">
        <v>2.0</v>
      </c>
      <c r="E2314" s="154" t="s">
        <v>761</v>
      </c>
      <c r="F2314" s="154" t="s">
        <v>1987</v>
      </c>
      <c r="G2314" s="154">
        <v>4.3329204E7</v>
      </c>
      <c r="H2314" s="156">
        <v>0.0</v>
      </c>
      <c r="I2314" s="156">
        <v>0.0</v>
      </c>
      <c r="J2314" s="156">
        <v>0.0</v>
      </c>
      <c r="K2314" s="156">
        <v>0.0</v>
      </c>
    </row>
    <row r="2315">
      <c r="A2315" s="154" t="s">
        <v>5481</v>
      </c>
      <c r="B2315" s="155"/>
      <c r="C2315" s="154" t="s">
        <v>5482</v>
      </c>
      <c r="D2315" s="155"/>
      <c r="E2315" s="155"/>
      <c r="F2315" s="154" t="s">
        <v>1987</v>
      </c>
      <c r="G2315" s="154">
        <v>4.3329204E7</v>
      </c>
      <c r="H2315" s="156">
        <v>0.0</v>
      </c>
      <c r="I2315" s="156">
        <v>0.0</v>
      </c>
      <c r="J2315" s="156">
        <v>0.0</v>
      </c>
      <c r="K2315" s="156">
        <v>0.0</v>
      </c>
    </row>
    <row r="2316">
      <c r="A2316" s="154" t="s">
        <v>5483</v>
      </c>
      <c r="B2316" s="154" t="s">
        <v>5484</v>
      </c>
      <c r="D2316" s="154">
        <v>2.0</v>
      </c>
      <c r="E2316" s="154" t="s">
        <v>761</v>
      </c>
      <c r="F2316" s="154" t="s">
        <v>1987</v>
      </c>
      <c r="G2316" s="154">
        <v>4.3329204E7</v>
      </c>
      <c r="H2316" s="156">
        <v>0.0</v>
      </c>
      <c r="I2316" s="156">
        <v>0.0</v>
      </c>
      <c r="J2316" s="156">
        <v>0.0</v>
      </c>
      <c r="K2316" s="156">
        <v>0.0</v>
      </c>
    </row>
    <row r="2317">
      <c r="A2317" s="154" t="s">
        <v>5483</v>
      </c>
      <c r="B2317" s="155"/>
      <c r="C2317" s="154" t="s">
        <v>5484</v>
      </c>
      <c r="D2317" s="155"/>
      <c r="E2317" s="155"/>
      <c r="F2317" s="154" t="s">
        <v>1987</v>
      </c>
      <c r="G2317" s="154">
        <v>4.3329204E7</v>
      </c>
      <c r="H2317" s="156">
        <v>0.0</v>
      </c>
      <c r="I2317" s="156">
        <v>0.0</v>
      </c>
      <c r="J2317" s="156">
        <v>0.0</v>
      </c>
      <c r="K2317" s="156">
        <v>0.0</v>
      </c>
    </row>
    <row r="2318">
      <c r="A2318" s="154" t="s">
        <v>5485</v>
      </c>
      <c r="B2318" s="155"/>
      <c r="C2318" s="154" t="s">
        <v>5486</v>
      </c>
      <c r="D2318" s="155"/>
      <c r="E2318" s="155"/>
      <c r="F2318" s="154" t="s">
        <v>1987</v>
      </c>
      <c r="G2318" s="154">
        <v>4.3329204E7</v>
      </c>
      <c r="H2318" s="156">
        <v>0.0</v>
      </c>
      <c r="I2318" s="156">
        <v>0.0</v>
      </c>
      <c r="J2318" s="156">
        <v>0.0</v>
      </c>
      <c r="K2318" s="156">
        <v>0.0</v>
      </c>
    </row>
    <row r="2319">
      <c r="A2319" s="154" t="s">
        <v>5485</v>
      </c>
      <c r="B2319" s="154" t="s">
        <v>5486</v>
      </c>
      <c r="D2319" s="154">
        <v>2.0</v>
      </c>
      <c r="E2319" s="154" t="s">
        <v>761</v>
      </c>
      <c r="F2319" s="154" t="s">
        <v>1987</v>
      </c>
      <c r="G2319" s="154">
        <v>4.3329204E7</v>
      </c>
      <c r="H2319" s="156">
        <v>0.0</v>
      </c>
      <c r="I2319" s="156">
        <v>0.0</v>
      </c>
      <c r="J2319" s="156">
        <v>0.0</v>
      </c>
      <c r="K2319" s="156">
        <v>0.0</v>
      </c>
    </row>
    <row r="2320">
      <c r="A2320" s="154" t="s">
        <v>5487</v>
      </c>
      <c r="B2320" s="154" t="s">
        <v>5488</v>
      </c>
      <c r="D2320" s="154">
        <v>2.0</v>
      </c>
      <c r="E2320" s="154" t="s">
        <v>761</v>
      </c>
      <c r="F2320" s="154" t="s">
        <v>1987</v>
      </c>
      <c r="G2320" s="154">
        <v>4.3329204E7</v>
      </c>
      <c r="H2320" s="156">
        <v>0.0</v>
      </c>
      <c r="I2320" s="156">
        <v>0.0</v>
      </c>
      <c r="J2320" s="156">
        <v>0.0</v>
      </c>
      <c r="K2320" s="156">
        <v>0.0</v>
      </c>
    </row>
    <row r="2321">
      <c r="A2321" s="154" t="s">
        <v>5487</v>
      </c>
      <c r="B2321" s="155"/>
      <c r="C2321" s="154" t="s">
        <v>5488</v>
      </c>
      <c r="D2321" s="155"/>
      <c r="E2321" s="155"/>
      <c r="F2321" s="154" t="s">
        <v>1987</v>
      </c>
      <c r="G2321" s="154">
        <v>4.3329204E7</v>
      </c>
      <c r="H2321" s="156">
        <v>0.0</v>
      </c>
      <c r="I2321" s="156">
        <v>0.0</v>
      </c>
      <c r="J2321" s="156">
        <v>0.0</v>
      </c>
      <c r="K2321" s="156">
        <v>0.0</v>
      </c>
    </row>
    <row r="2322">
      <c r="A2322" s="154" t="s">
        <v>5489</v>
      </c>
      <c r="B2322" s="155"/>
      <c r="C2322" s="154" t="s">
        <v>5490</v>
      </c>
      <c r="D2322" s="155"/>
      <c r="E2322" s="155"/>
      <c r="F2322" s="154" t="s">
        <v>1987</v>
      </c>
      <c r="G2322" s="154">
        <v>4.3329204E7</v>
      </c>
      <c r="H2322" s="156">
        <v>0.0</v>
      </c>
      <c r="I2322" s="156">
        <v>0.0</v>
      </c>
      <c r="J2322" s="156">
        <v>0.0</v>
      </c>
      <c r="K2322" s="156">
        <v>0.0</v>
      </c>
    </row>
    <row r="2323">
      <c r="A2323" s="154" t="s">
        <v>5489</v>
      </c>
      <c r="B2323" s="154" t="s">
        <v>5490</v>
      </c>
      <c r="D2323" s="154">
        <v>2.0</v>
      </c>
      <c r="E2323" s="154" t="s">
        <v>761</v>
      </c>
      <c r="F2323" s="154" t="s">
        <v>1987</v>
      </c>
      <c r="G2323" s="154">
        <v>4.3329204E7</v>
      </c>
      <c r="H2323" s="156">
        <v>0.0</v>
      </c>
      <c r="I2323" s="156">
        <v>0.0</v>
      </c>
      <c r="J2323" s="156">
        <v>0.0</v>
      </c>
      <c r="K2323" s="156">
        <v>0.0</v>
      </c>
    </row>
    <row r="2324">
      <c r="A2324" s="154" t="s">
        <v>5491</v>
      </c>
      <c r="B2324" s="154" t="s">
        <v>5492</v>
      </c>
      <c r="D2324" s="154">
        <v>2.0</v>
      </c>
      <c r="E2324" s="154" t="s">
        <v>761</v>
      </c>
      <c r="F2324" s="154" t="s">
        <v>1987</v>
      </c>
      <c r="G2324" s="154">
        <v>4.3329204E7</v>
      </c>
      <c r="H2324" s="156">
        <v>0.0</v>
      </c>
      <c r="I2324" s="156">
        <v>0.0</v>
      </c>
      <c r="J2324" s="156">
        <v>0.0</v>
      </c>
      <c r="K2324" s="156">
        <v>0.0</v>
      </c>
    </row>
    <row r="2325">
      <c r="A2325" s="154" t="s">
        <v>5491</v>
      </c>
      <c r="B2325" s="155"/>
      <c r="C2325" s="154" t="s">
        <v>5492</v>
      </c>
      <c r="D2325" s="155"/>
      <c r="E2325" s="155"/>
      <c r="F2325" s="154" t="s">
        <v>1987</v>
      </c>
      <c r="G2325" s="154">
        <v>4.3329204E7</v>
      </c>
      <c r="H2325" s="156">
        <v>0.0</v>
      </c>
      <c r="I2325" s="156">
        <v>0.0</v>
      </c>
      <c r="J2325" s="156">
        <v>0.0</v>
      </c>
      <c r="K2325" s="156">
        <v>0.0</v>
      </c>
    </row>
    <row r="2326">
      <c r="A2326" s="154" t="s">
        <v>5493</v>
      </c>
      <c r="B2326" s="155"/>
      <c r="C2326" s="154" t="s">
        <v>5494</v>
      </c>
      <c r="D2326" s="155"/>
      <c r="E2326" s="155"/>
      <c r="F2326" s="154" t="s">
        <v>1987</v>
      </c>
      <c r="G2326" s="154">
        <v>4.3329204E7</v>
      </c>
      <c r="H2326" s="156">
        <v>0.0</v>
      </c>
      <c r="I2326" s="156">
        <v>0.0</v>
      </c>
      <c r="J2326" s="156">
        <v>0.0</v>
      </c>
      <c r="K2326" s="156">
        <v>0.0</v>
      </c>
    </row>
    <row r="2327">
      <c r="A2327" s="154" t="s">
        <v>5493</v>
      </c>
      <c r="B2327" s="154" t="s">
        <v>5494</v>
      </c>
      <c r="D2327" s="154">
        <v>2.0</v>
      </c>
      <c r="E2327" s="154" t="s">
        <v>761</v>
      </c>
      <c r="F2327" s="154" t="s">
        <v>1987</v>
      </c>
      <c r="G2327" s="154">
        <v>4.3329204E7</v>
      </c>
      <c r="H2327" s="156">
        <v>0.0</v>
      </c>
      <c r="I2327" s="156">
        <v>0.0</v>
      </c>
      <c r="J2327" s="156">
        <v>0.0</v>
      </c>
      <c r="K2327" s="156">
        <v>0.0</v>
      </c>
    </row>
    <row r="2328">
      <c r="A2328" s="154" t="s">
        <v>5495</v>
      </c>
      <c r="B2328" s="154" t="s">
        <v>5496</v>
      </c>
      <c r="D2328" s="154">
        <v>2.0</v>
      </c>
      <c r="E2328" s="154" t="s">
        <v>761</v>
      </c>
      <c r="F2328" s="154" t="s">
        <v>1987</v>
      </c>
      <c r="G2328" s="154">
        <v>4.3329204E7</v>
      </c>
      <c r="H2328" s="156">
        <v>0.0</v>
      </c>
      <c r="I2328" s="156">
        <v>0.0</v>
      </c>
      <c r="J2328" s="156">
        <v>0.0</v>
      </c>
      <c r="K2328" s="156">
        <v>0.0</v>
      </c>
    </row>
    <row r="2329">
      <c r="A2329" s="154" t="s">
        <v>5495</v>
      </c>
      <c r="B2329" s="155"/>
      <c r="C2329" s="154" t="s">
        <v>5496</v>
      </c>
      <c r="D2329" s="155"/>
      <c r="E2329" s="155"/>
      <c r="F2329" s="154" t="s">
        <v>1987</v>
      </c>
      <c r="G2329" s="154">
        <v>4.3329204E7</v>
      </c>
      <c r="H2329" s="156">
        <v>0.0</v>
      </c>
      <c r="I2329" s="156">
        <v>0.0</v>
      </c>
      <c r="J2329" s="156">
        <v>0.0</v>
      </c>
      <c r="K2329" s="156">
        <v>0.0</v>
      </c>
    </row>
    <row r="2330">
      <c r="A2330" s="154" t="s">
        <v>5497</v>
      </c>
      <c r="B2330" s="154" t="s">
        <v>5498</v>
      </c>
      <c r="D2330" s="154">
        <v>2.0</v>
      </c>
      <c r="E2330" s="154" t="s">
        <v>761</v>
      </c>
      <c r="F2330" s="154" t="s">
        <v>1987</v>
      </c>
      <c r="G2330" s="154">
        <v>4.3329204E7</v>
      </c>
      <c r="H2330" s="156">
        <v>0.0</v>
      </c>
      <c r="I2330" s="156">
        <v>0.0</v>
      </c>
      <c r="J2330" s="156">
        <v>0.0</v>
      </c>
      <c r="K2330" s="156">
        <v>0.0</v>
      </c>
    </row>
    <row r="2331">
      <c r="A2331" s="154" t="s">
        <v>5497</v>
      </c>
      <c r="B2331" s="155"/>
      <c r="C2331" s="154" t="s">
        <v>5498</v>
      </c>
      <c r="D2331" s="155"/>
      <c r="E2331" s="155"/>
      <c r="F2331" s="154" t="s">
        <v>1987</v>
      </c>
      <c r="G2331" s="154">
        <v>4.3329204E7</v>
      </c>
      <c r="H2331" s="156">
        <v>0.0</v>
      </c>
      <c r="I2331" s="156">
        <v>0.0</v>
      </c>
      <c r="J2331" s="156">
        <v>0.0</v>
      </c>
      <c r="K2331" s="156">
        <v>0.0</v>
      </c>
    </row>
    <row r="2332">
      <c r="A2332" s="154" t="s">
        <v>5499</v>
      </c>
      <c r="B2332" s="154" t="s">
        <v>5500</v>
      </c>
      <c r="D2332" s="154">
        <v>2.0</v>
      </c>
      <c r="E2332" s="154" t="s">
        <v>761</v>
      </c>
      <c r="F2332" s="154" t="s">
        <v>1987</v>
      </c>
      <c r="G2332" s="154">
        <v>4.3329204E7</v>
      </c>
      <c r="H2332" s="156">
        <v>0.0</v>
      </c>
      <c r="I2332" s="156">
        <v>0.0</v>
      </c>
      <c r="J2332" s="156">
        <v>0.0</v>
      </c>
      <c r="K2332" s="156">
        <v>0.0</v>
      </c>
    </row>
    <row r="2333">
      <c r="A2333" s="154" t="s">
        <v>5499</v>
      </c>
      <c r="B2333" s="155"/>
      <c r="C2333" s="154" t="s">
        <v>5500</v>
      </c>
      <c r="D2333" s="155"/>
      <c r="E2333" s="155"/>
      <c r="F2333" s="154" t="s">
        <v>1987</v>
      </c>
      <c r="G2333" s="154">
        <v>4.3329204E7</v>
      </c>
      <c r="H2333" s="156">
        <v>0.0</v>
      </c>
      <c r="I2333" s="156">
        <v>0.0</v>
      </c>
      <c r="J2333" s="156">
        <v>0.0</v>
      </c>
      <c r="K2333" s="156">
        <v>0.0</v>
      </c>
    </row>
    <row r="2334">
      <c r="A2334" s="154" t="s">
        <v>5501</v>
      </c>
      <c r="B2334" s="155"/>
      <c r="C2334" s="154" t="s">
        <v>5502</v>
      </c>
      <c r="D2334" s="155"/>
      <c r="E2334" s="155"/>
      <c r="F2334" s="154" t="s">
        <v>1987</v>
      </c>
      <c r="G2334" s="154">
        <v>4.3329204E7</v>
      </c>
      <c r="H2334" s="156">
        <v>0.0</v>
      </c>
      <c r="I2334" s="156">
        <v>0.0</v>
      </c>
      <c r="J2334" s="156">
        <v>0.0</v>
      </c>
      <c r="K2334" s="156">
        <v>0.0</v>
      </c>
    </row>
    <row r="2335">
      <c r="A2335" s="154" t="s">
        <v>5501</v>
      </c>
      <c r="B2335" s="154" t="s">
        <v>5502</v>
      </c>
      <c r="D2335" s="154">
        <v>2.0</v>
      </c>
      <c r="E2335" s="154" t="s">
        <v>761</v>
      </c>
      <c r="F2335" s="154" t="s">
        <v>1987</v>
      </c>
      <c r="G2335" s="154">
        <v>4.3329204E7</v>
      </c>
      <c r="H2335" s="156">
        <v>0.0</v>
      </c>
      <c r="I2335" s="156">
        <v>0.0</v>
      </c>
      <c r="J2335" s="156">
        <v>0.0</v>
      </c>
      <c r="K2335" s="156">
        <v>0.0</v>
      </c>
    </row>
    <row r="2336">
      <c r="A2336" s="154" t="s">
        <v>5503</v>
      </c>
      <c r="B2336" s="155"/>
      <c r="C2336" s="154" t="s">
        <v>5504</v>
      </c>
      <c r="D2336" s="155"/>
      <c r="E2336" s="155"/>
      <c r="F2336" s="154" t="s">
        <v>1987</v>
      </c>
      <c r="G2336" s="154">
        <v>4.3329204E7</v>
      </c>
      <c r="H2336" s="156">
        <v>0.0</v>
      </c>
      <c r="I2336" s="156">
        <v>0.0</v>
      </c>
      <c r="J2336" s="156">
        <v>0.0</v>
      </c>
      <c r="K2336" s="156">
        <v>0.0</v>
      </c>
    </row>
    <row r="2337">
      <c r="A2337" s="154" t="s">
        <v>5503</v>
      </c>
      <c r="B2337" s="154" t="s">
        <v>5504</v>
      </c>
      <c r="D2337" s="154">
        <v>2.0</v>
      </c>
      <c r="E2337" s="154" t="s">
        <v>761</v>
      </c>
      <c r="F2337" s="154" t="s">
        <v>1987</v>
      </c>
      <c r="G2337" s="154">
        <v>4.3329204E7</v>
      </c>
      <c r="H2337" s="156">
        <v>0.0</v>
      </c>
      <c r="I2337" s="156">
        <v>0.0</v>
      </c>
      <c r="J2337" s="156">
        <v>0.0</v>
      </c>
      <c r="K2337" s="156">
        <v>0.0</v>
      </c>
    </row>
    <row r="2338">
      <c r="A2338" s="154" t="s">
        <v>5505</v>
      </c>
      <c r="B2338" s="154" t="s">
        <v>5506</v>
      </c>
      <c r="D2338" s="154">
        <v>2.0</v>
      </c>
      <c r="E2338" s="154" t="s">
        <v>761</v>
      </c>
      <c r="F2338" s="154" t="s">
        <v>1987</v>
      </c>
      <c r="G2338" s="154">
        <v>4.3329204E7</v>
      </c>
      <c r="H2338" s="156">
        <v>0.0</v>
      </c>
      <c r="I2338" s="156">
        <v>0.0</v>
      </c>
      <c r="J2338" s="156">
        <v>0.0</v>
      </c>
      <c r="K2338" s="156">
        <v>0.0</v>
      </c>
    </row>
    <row r="2339">
      <c r="A2339" s="154" t="s">
        <v>5505</v>
      </c>
      <c r="B2339" s="155"/>
      <c r="C2339" s="154" t="s">
        <v>5506</v>
      </c>
      <c r="D2339" s="155"/>
      <c r="E2339" s="155"/>
      <c r="F2339" s="154" t="s">
        <v>1987</v>
      </c>
      <c r="G2339" s="154">
        <v>4.3329204E7</v>
      </c>
      <c r="H2339" s="156">
        <v>0.0</v>
      </c>
      <c r="I2339" s="156">
        <v>0.0</v>
      </c>
      <c r="J2339" s="156">
        <v>0.0</v>
      </c>
      <c r="K2339" s="156">
        <v>0.0</v>
      </c>
    </row>
    <row r="2340">
      <c r="A2340" s="154" t="s">
        <v>5507</v>
      </c>
      <c r="B2340" s="155"/>
      <c r="C2340" s="154" t="s">
        <v>5508</v>
      </c>
      <c r="D2340" s="155"/>
      <c r="E2340" s="155"/>
      <c r="F2340" s="154" t="s">
        <v>1987</v>
      </c>
      <c r="G2340" s="154">
        <v>4.3329204E7</v>
      </c>
      <c r="H2340" s="156">
        <v>0.0</v>
      </c>
      <c r="I2340" s="156">
        <v>0.0</v>
      </c>
      <c r="J2340" s="156">
        <v>0.0</v>
      </c>
      <c r="K2340" s="156">
        <v>0.0</v>
      </c>
    </row>
    <row r="2341">
      <c r="A2341" s="154" t="s">
        <v>5507</v>
      </c>
      <c r="B2341" s="154" t="s">
        <v>5508</v>
      </c>
      <c r="D2341" s="154">
        <v>2.0</v>
      </c>
      <c r="E2341" s="154" t="s">
        <v>761</v>
      </c>
      <c r="F2341" s="154" t="s">
        <v>1987</v>
      </c>
      <c r="G2341" s="154">
        <v>4.3329204E7</v>
      </c>
      <c r="H2341" s="156">
        <v>0.0</v>
      </c>
      <c r="I2341" s="156">
        <v>0.0</v>
      </c>
      <c r="J2341" s="156">
        <v>0.0</v>
      </c>
      <c r="K2341" s="156">
        <v>0.0</v>
      </c>
    </row>
    <row r="2342">
      <c r="A2342" s="154" t="s">
        <v>5509</v>
      </c>
      <c r="B2342" s="155"/>
      <c r="C2342" s="154" t="s">
        <v>5510</v>
      </c>
      <c r="D2342" s="155"/>
      <c r="E2342" s="155"/>
      <c r="F2342" s="154" t="s">
        <v>1987</v>
      </c>
      <c r="G2342" s="154">
        <v>4.3329204E7</v>
      </c>
      <c r="H2342" s="156">
        <v>0.0</v>
      </c>
      <c r="I2342" s="156">
        <v>0.0</v>
      </c>
      <c r="J2342" s="156">
        <v>0.0</v>
      </c>
      <c r="K2342" s="156">
        <v>0.0</v>
      </c>
    </row>
    <row r="2343">
      <c r="A2343" s="154" t="s">
        <v>5509</v>
      </c>
      <c r="B2343" s="154" t="s">
        <v>5510</v>
      </c>
      <c r="D2343" s="154">
        <v>2.0</v>
      </c>
      <c r="E2343" s="154" t="s">
        <v>761</v>
      </c>
      <c r="F2343" s="154" t="s">
        <v>1987</v>
      </c>
      <c r="G2343" s="154">
        <v>4.3329204E7</v>
      </c>
      <c r="H2343" s="156">
        <v>0.0</v>
      </c>
      <c r="I2343" s="156">
        <v>0.0</v>
      </c>
      <c r="J2343" s="156">
        <v>0.0</v>
      </c>
      <c r="K2343" s="156">
        <v>0.0</v>
      </c>
    </row>
    <row r="2344">
      <c r="A2344" s="154" t="s">
        <v>5511</v>
      </c>
      <c r="B2344" s="155"/>
      <c r="C2344" s="154" t="s">
        <v>5512</v>
      </c>
      <c r="D2344" s="155"/>
      <c r="E2344" s="155"/>
      <c r="F2344" s="154" t="s">
        <v>1987</v>
      </c>
      <c r="G2344" s="154">
        <v>4.3329204E7</v>
      </c>
      <c r="H2344" s="156">
        <v>0.0</v>
      </c>
      <c r="I2344" s="156">
        <v>0.0</v>
      </c>
      <c r="J2344" s="156">
        <v>0.0</v>
      </c>
      <c r="K2344" s="156">
        <v>0.0</v>
      </c>
    </row>
    <row r="2345">
      <c r="A2345" s="154" t="s">
        <v>5511</v>
      </c>
      <c r="B2345" s="154" t="s">
        <v>5512</v>
      </c>
      <c r="D2345" s="154">
        <v>2.0</v>
      </c>
      <c r="E2345" s="154" t="s">
        <v>761</v>
      </c>
      <c r="F2345" s="154" t="s">
        <v>1987</v>
      </c>
      <c r="G2345" s="154">
        <v>4.3329204E7</v>
      </c>
      <c r="H2345" s="156">
        <v>0.0</v>
      </c>
      <c r="I2345" s="156">
        <v>0.0</v>
      </c>
      <c r="J2345" s="156">
        <v>0.0</v>
      </c>
      <c r="K2345" s="156">
        <v>0.0</v>
      </c>
    </row>
    <row r="2346">
      <c r="A2346" s="154" t="s">
        <v>5513</v>
      </c>
      <c r="B2346" s="155"/>
      <c r="C2346" s="154" t="s">
        <v>5514</v>
      </c>
      <c r="D2346" s="155"/>
      <c r="E2346" s="155"/>
      <c r="F2346" s="154" t="s">
        <v>1987</v>
      </c>
      <c r="G2346" s="154">
        <v>4.3329204E7</v>
      </c>
      <c r="H2346" s="156">
        <v>0.0</v>
      </c>
      <c r="I2346" s="156">
        <v>0.0</v>
      </c>
      <c r="J2346" s="156">
        <v>0.0</v>
      </c>
      <c r="K2346" s="156">
        <v>0.0</v>
      </c>
    </row>
    <row r="2347">
      <c r="A2347" s="154" t="s">
        <v>5513</v>
      </c>
      <c r="B2347" s="154" t="s">
        <v>5514</v>
      </c>
      <c r="D2347" s="154">
        <v>2.0</v>
      </c>
      <c r="E2347" s="154" t="s">
        <v>761</v>
      </c>
      <c r="F2347" s="154" t="s">
        <v>1987</v>
      </c>
      <c r="G2347" s="154">
        <v>4.3329204E7</v>
      </c>
      <c r="H2347" s="156">
        <v>0.0</v>
      </c>
      <c r="I2347" s="156">
        <v>0.0</v>
      </c>
      <c r="J2347" s="156">
        <v>0.0</v>
      </c>
      <c r="K2347" s="156">
        <v>0.0</v>
      </c>
    </row>
    <row r="2348">
      <c r="A2348" s="154" t="s">
        <v>5515</v>
      </c>
      <c r="B2348" s="154" t="s">
        <v>5516</v>
      </c>
      <c r="D2348" s="154">
        <v>2.0</v>
      </c>
      <c r="E2348" s="154" t="s">
        <v>761</v>
      </c>
      <c r="F2348" s="154" t="s">
        <v>1987</v>
      </c>
      <c r="G2348" s="154">
        <v>4.3329204E7</v>
      </c>
      <c r="H2348" s="156">
        <v>0.0</v>
      </c>
      <c r="I2348" s="156">
        <v>0.0</v>
      </c>
      <c r="J2348" s="156">
        <v>0.0</v>
      </c>
      <c r="K2348" s="156">
        <v>0.0</v>
      </c>
    </row>
    <row r="2349">
      <c r="A2349" s="154" t="s">
        <v>5515</v>
      </c>
      <c r="B2349" s="155"/>
      <c r="C2349" s="154" t="s">
        <v>5516</v>
      </c>
      <c r="D2349" s="155"/>
      <c r="E2349" s="155"/>
      <c r="F2349" s="154" t="s">
        <v>1987</v>
      </c>
      <c r="G2349" s="154">
        <v>4.3329204E7</v>
      </c>
      <c r="H2349" s="156">
        <v>0.0</v>
      </c>
      <c r="I2349" s="156">
        <v>0.0</v>
      </c>
      <c r="J2349" s="156">
        <v>0.0</v>
      </c>
      <c r="K2349" s="156">
        <v>0.0</v>
      </c>
    </row>
    <row r="2350">
      <c r="A2350" s="154" t="s">
        <v>5517</v>
      </c>
      <c r="B2350" s="155"/>
      <c r="C2350" s="154" t="s">
        <v>5518</v>
      </c>
      <c r="D2350" s="155"/>
      <c r="E2350" s="155"/>
      <c r="F2350" s="154" t="s">
        <v>1987</v>
      </c>
      <c r="G2350" s="154">
        <v>4.3329204E7</v>
      </c>
      <c r="H2350" s="156">
        <v>0.0</v>
      </c>
      <c r="I2350" s="156">
        <v>0.0</v>
      </c>
      <c r="J2350" s="156">
        <v>0.0</v>
      </c>
      <c r="K2350" s="156">
        <v>0.0</v>
      </c>
    </row>
    <row r="2351">
      <c r="A2351" s="154" t="s">
        <v>5517</v>
      </c>
      <c r="B2351" s="154" t="s">
        <v>5518</v>
      </c>
      <c r="D2351" s="154">
        <v>2.0</v>
      </c>
      <c r="E2351" s="154" t="s">
        <v>761</v>
      </c>
      <c r="F2351" s="154" t="s">
        <v>1987</v>
      </c>
      <c r="G2351" s="154">
        <v>4.3329204E7</v>
      </c>
      <c r="H2351" s="156">
        <v>0.0</v>
      </c>
      <c r="I2351" s="156">
        <v>0.0</v>
      </c>
      <c r="J2351" s="156">
        <v>0.0</v>
      </c>
      <c r="K2351" s="156">
        <v>0.0</v>
      </c>
    </row>
    <row r="2352">
      <c r="A2352" s="154" t="s">
        <v>5519</v>
      </c>
      <c r="B2352" s="154" t="s">
        <v>5520</v>
      </c>
      <c r="D2352" s="154">
        <v>2.0</v>
      </c>
      <c r="E2352" s="154" t="s">
        <v>761</v>
      </c>
      <c r="F2352" s="154" t="s">
        <v>1987</v>
      </c>
      <c r="G2352" s="154">
        <v>4.3329204E7</v>
      </c>
      <c r="H2352" s="156">
        <v>0.0</v>
      </c>
      <c r="I2352" s="156">
        <v>0.0</v>
      </c>
      <c r="J2352" s="156">
        <v>0.0</v>
      </c>
      <c r="K2352" s="156">
        <v>0.0</v>
      </c>
    </row>
    <row r="2353">
      <c r="A2353" s="154" t="s">
        <v>5519</v>
      </c>
      <c r="B2353" s="155"/>
      <c r="C2353" s="154" t="s">
        <v>5520</v>
      </c>
      <c r="D2353" s="155"/>
      <c r="E2353" s="155"/>
      <c r="F2353" s="154" t="s">
        <v>1987</v>
      </c>
      <c r="G2353" s="154">
        <v>4.3329204E7</v>
      </c>
      <c r="H2353" s="156">
        <v>0.0</v>
      </c>
      <c r="I2353" s="156">
        <v>0.0</v>
      </c>
      <c r="J2353" s="156">
        <v>0.0</v>
      </c>
      <c r="K2353" s="156">
        <v>0.0</v>
      </c>
    </row>
    <row r="2354">
      <c r="A2354" s="154" t="s">
        <v>5521</v>
      </c>
      <c r="B2354" s="154" t="s">
        <v>5522</v>
      </c>
      <c r="D2354" s="154">
        <v>2.0</v>
      </c>
      <c r="E2354" s="154" t="s">
        <v>761</v>
      </c>
      <c r="F2354" s="154" t="s">
        <v>1987</v>
      </c>
      <c r="G2354" s="154">
        <v>4.3329204E7</v>
      </c>
      <c r="H2354" s="156">
        <v>0.0</v>
      </c>
      <c r="I2354" s="156">
        <v>0.0</v>
      </c>
      <c r="J2354" s="156">
        <v>0.0</v>
      </c>
      <c r="K2354" s="156">
        <v>0.0</v>
      </c>
    </row>
    <row r="2355">
      <c r="A2355" s="154" t="s">
        <v>5521</v>
      </c>
      <c r="B2355" s="155"/>
      <c r="C2355" s="154" t="s">
        <v>5522</v>
      </c>
      <c r="D2355" s="155"/>
      <c r="E2355" s="155"/>
      <c r="F2355" s="154" t="s">
        <v>1987</v>
      </c>
      <c r="G2355" s="154">
        <v>4.3329204E7</v>
      </c>
      <c r="H2355" s="156">
        <v>0.0</v>
      </c>
      <c r="I2355" s="156">
        <v>0.0</v>
      </c>
      <c r="J2355" s="156">
        <v>0.0</v>
      </c>
      <c r="K2355" s="156">
        <v>0.0</v>
      </c>
    </row>
    <row r="2356">
      <c r="A2356" s="154" t="s">
        <v>5523</v>
      </c>
      <c r="B2356" s="155"/>
      <c r="C2356" s="154" t="s">
        <v>5524</v>
      </c>
      <c r="D2356" s="155"/>
      <c r="E2356" s="155"/>
      <c r="F2356" s="154" t="s">
        <v>1987</v>
      </c>
      <c r="G2356" s="154">
        <v>4.3329204E7</v>
      </c>
      <c r="H2356" s="156">
        <v>0.0</v>
      </c>
      <c r="I2356" s="156">
        <v>0.0</v>
      </c>
      <c r="J2356" s="156">
        <v>0.0</v>
      </c>
      <c r="K2356" s="156">
        <v>0.0</v>
      </c>
    </row>
    <row r="2357">
      <c r="A2357" s="154" t="s">
        <v>5523</v>
      </c>
      <c r="B2357" s="154" t="s">
        <v>5524</v>
      </c>
      <c r="D2357" s="154">
        <v>2.0</v>
      </c>
      <c r="E2357" s="154" t="s">
        <v>761</v>
      </c>
      <c r="F2357" s="154" t="s">
        <v>1987</v>
      </c>
      <c r="G2357" s="154">
        <v>4.3329204E7</v>
      </c>
      <c r="H2357" s="156">
        <v>0.0</v>
      </c>
      <c r="I2357" s="156">
        <v>0.0</v>
      </c>
      <c r="J2357" s="156">
        <v>0.0</v>
      </c>
      <c r="K2357" s="156">
        <v>0.0</v>
      </c>
    </row>
    <row r="2358">
      <c r="A2358" s="154" t="s">
        <v>5525</v>
      </c>
      <c r="B2358" s="154" t="s">
        <v>5526</v>
      </c>
      <c r="D2358" s="154">
        <v>2.0</v>
      </c>
      <c r="E2358" s="154" t="s">
        <v>761</v>
      </c>
      <c r="F2358" s="154" t="s">
        <v>5527</v>
      </c>
      <c r="G2358" s="154" t="s">
        <v>5528</v>
      </c>
      <c r="H2358" s="154" t="s">
        <v>5529</v>
      </c>
      <c r="I2358" s="154" t="s">
        <v>5530</v>
      </c>
      <c r="J2358" s="154" t="s">
        <v>5531</v>
      </c>
      <c r="K2358" s="154" t="s">
        <v>760</v>
      </c>
    </row>
    <row r="2359">
      <c r="A2359" s="154" t="s">
        <v>5525</v>
      </c>
      <c r="B2359" s="155"/>
      <c r="C2359" s="154" t="s">
        <v>5526</v>
      </c>
      <c r="D2359" s="155"/>
      <c r="E2359" s="155"/>
      <c r="F2359" s="154" t="s">
        <v>5527</v>
      </c>
      <c r="G2359" s="154" t="s">
        <v>5528</v>
      </c>
      <c r="H2359" s="154" t="s">
        <v>5529</v>
      </c>
      <c r="I2359" s="154" t="s">
        <v>5530</v>
      </c>
      <c r="J2359" s="154" t="s">
        <v>5531</v>
      </c>
      <c r="K2359" s="154" t="s">
        <v>760</v>
      </c>
    </row>
    <row r="2360">
      <c r="A2360" s="154" t="s">
        <v>5532</v>
      </c>
      <c r="B2360" s="155"/>
      <c r="C2360" s="154" t="s">
        <v>5533</v>
      </c>
      <c r="D2360" s="155"/>
      <c r="E2360" s="155"/>
      <c r="F2360" s="154" t="s">
        <v>5534</v>
      </c>
      <c r="G2360" s="154">
        <v>0.0</v>
      </c>
      <c r="H2360" s="156">
        <v>0.0</v>
      </c>
      <c r="I2360" s="154">
        <v>0.0</v>
      </c>
      <c r="J2360" s="156">
        <v>0.0</v>
      </c>
      <c r="K2360" s="154" t="s">
        <v>197</v>
      </c>
    </row>
    <row r="2361">
      <c r="A2361" s="154" t="s">
        <v>5532</v>
      </c>
      <c r="B2361" s="154" t="s">
        <v>5533</v>
      </c>
      <c r="D2361" s="154">
        <v>2.0</v>
      </c>
      <c r="E2361" s="154" t="s">
        <v>761</v>
      </c>
      <c r="F2361" s="154" t="s">
        <v>5534</v>
      </c>
      <c r="G2361" s="154">
        <v>0.0</v>
      </c>
      <c r="H2361" s="156">
        <v>0.0</v>
      </c>
      <c r="I2361" s="154">
        <v>0.0</v>
      </c>
      <c r="J2361" s="156">
        <v>0.0</v>
      </c>
      <c r="K2361" s="154" t="s">
        <v>197</v>
      </c>
    </row>
    <row r="2362">
      <c r="A2362" s="154" t="s">
        <v>5535</v>
      </c>
      <c r="B2362" s="155"/>
      <c r="C2362" s="154" t="s">
        <v>5536</v>
      </c>
      <c r="D2362" s="155"/>
      <c r="E2362" s="155"/>
      <c r="F2362" s="154" t="s">
        <v>5537</v>
      </c>
      <c r="G2362" s="156">
        <v>0.0</v>
      </c>
      <c r="H2362" s="156">
        <v>0.0</v>
      </c>
      <c r="I2362" s="154" t="s">
        <v>5538</v>
      </c>
      <c r="J2362" s="156">
        <v>0.0</v>
      </c>
      <c r="K2362" s="154" t="s">
        <v>197</v>
      </c>
    </row>
    <row r="2363">
      <c r="A2363" s="154" t="s">
        <v>5535</v>
      </c>
      <c r="B2363" s="154" t="s">
        <v>5536</v>
      </c>
      <c r="D2363" s="154">
        <v>2.0</v>
      </c>
      <c r="E2363" s="154" t="s">
        <v>761</v>
      </c>
      <c r="F2363" s="154" t="s">
        <v>5537</v>
      </c>
      <c r="G2363" s="156">
        <v>0.0</v>
      </c>
      <c r="H2363" s="156">
        <v>0.0</v>
      </c>
      <c r="I2363" s="154" t="s">
        <v>5538</v>
      </c>
      <c r="J2363" s="156">
        <v>0.0</v>
      </c>
      <c r="K2363" s="154" t="s">
        <v>197</v>
      </c>
    </row>
    <row r="2364">
      <c r="A2364" s="154" t="s">
        <v>5539</v>
      </c>
      <c r="B2364" s="154" t="s">
        <v>5540</v>
      </c>
      <c r="D2364" s="154">
        <v>2.0</v>
      </c>
      <c r="E2364" s="154" t="s">
        <v>761</v>
      </c>
      <c r="F2364" s="154" t="s">
        <v>5541</v>
      </c>
      <c r="G2364" s="156">
        <v>0.0</v>
      </c>
      <c r="H2364" s="154" t="s">
        <v>5542</v>
      </c>
      <c r="I2364" s="154" t="s">
        <v>5543</v>
      </c>
      <c r="J2364" s="154" t="s">
        <v>5544</v>
      </c>
      <c r="K2364" s="154" t="s">
        <v>760</v>
      </c>
    </row>
    <row r="2365">
      <c r="A2365" s="154" t="s">
        <v>5539</v>
      </c>
      <c r="B2365" s="155"/>
      <c r="C2365" s="154" t="s">
        <v>5540</v>
      </c>
      <c r="D2365" s="155"/>
      <c r="E2365" s="155"/>
      <c r="F2365" s="154" t="s">
        <v>5541</v>
      </c>
      <c r="G2365" s="156">
        <v>0.0</v>
      </c>
      <c r="H2365" s="154" t="s">
        <v>5542</v>
      </c>
      <c r="I2365" s="154" t="s">
        <v>5543</v>
      </c>
      <c r="J2365" s="154" t="s">
        <v>5544</v>
      </c>
      <c r="K2365" s="154" t="s">
        <v>760</v>
      </c>
    </row>
    <row r="2366">
      <c r="A2366" s="154" t="s">
        <v>5545</v>
      </c>
      <c r="B2366" s="155"/>
      <c r="C2366" s="154" t="s">
        <v>5546</v>
      </c>
      <c r="D2366" s="155"/>
      <c r="E2366" s="155"/>
      <c r="F2366" s="154" t="s">
        <v>5547</v>
      </c>
      <c r="G2366" s="156">
        <v>0.0</v>
      </c>
      <c r="H2366" s="156">
        <v>0.0</v>
      </c>
      <c r="I2366" s="154">
        <v>9.71505518663E11</v>
      </c>
      <c r="J2366" s="156">
        <v>0.0</v>
      </c>
      <c r="K2366" s="154" t="s">
        <v>1465</v>
      </c>
    </row>
    <row r="2367">
      <c r="A2367" s="154" t="s">
        <v>5545</v>
      </c>
      <c r="B2367" s="154" t="s">
        <v>5546</v>
      </c>
      <c r="D2367" s="154">
        <v>2.0</v>
      </c>
      <c r="E2367" s="154" t="s">
        <v>761</v>
      </c>
      <c r="F2367" s="154" t="s">
        <v>5547</v>
      </c>
      <c r="G2367" s="156">
        <v>0.0</v>
      </c>
      <c r="H2367" s="156">
        <v>0.0</v>
      </c>
      <c r="I2367" s="154">
        <v>9.71505518663E11</v>
      </c>
      <c r="J2367" s="156">
        <v>0.0</v>
      </c>
      <c r="K2367" s="154" t="s">
        <v>1465</v>
      </c>
    </row>
    <row r="2368">
      <c r="A2368" s="154" t="s">
        <v>5548</v>
      </c>
      <c r="B2368" s="154" t="s">
        <v>5549</v>
      </c>
      <c r="D2368" s="154">
        <v>2.0</v>
      </c>
      <c r="E2368" s="154" t="s">
        <v>761</v>
      </c>
      <c r="F2368" s="154" t="s">
        <v>5550</v>
      </c>
      <c r="G2368" s="154">
        <v>0.0</v>
      </c>
      <c r="H2368" s="156">
        <v>0.0</v>
      </c>
      <c r="I2368" s="154">
        <v>0.0</v>
      </c>
      <c r="J2368" s="156">
        <v>0.0</v>
      </c>
      <c r="K2368" s="154" t="s">
        <v>240</v>
      </c>
    </row>
    <row r="2369">
      <c r="A2369" s="154" t="s">
        <v>5548</v>
      </c>
      <c r="B2369" s="155"/>
      <c r="C2369" s="154" t="s">
        <v>5549</v>
      </c>
      <c r="D2369" s="155"/>
      <c r="E2369" s="155"/>
      <c r="F2369" s="154" t="s">
        <v>5550</v>
      </c>
      <c r="G2369" s="154">
        <v>0.0</v>
      </c>
      <c r="H2369" s="156">
        <v>0.0</v>
      </c>
      <c r="I2369" s="154">
        <v>0.0</v>
      </c>
      <c r="J2369" s="156">
        <v>0.0</v>
      </c>
      <c r="K2369" s="154" t="s">
        <v>240</v>
      </c>
    </row>
    <row r="2370">
      <c r="A2370" s="154" t="s">
        <v>5551</v>
      </c>
      <c r="B2370" s="154" t="s">
        <v>5552</v>
      </c>
      <c r="D2370" s="154">
        <v>2.0</v>
      </c>
      <c r="E2370" s="154" t="s">
        <v>761</v>
      </c>
      <c r="F2370" s="154" t="s">
        <v>5553</v>
      </c>
      <c r="G2370" s="154">
        <v>4.3684945E7</v>
      </c>
      <c r="H2370" s="156">
        <v>0.0</v>
      </c>
      <c r="I2370" s="154">
        <v>9.71506242571E11</v>
      </c>
      <c r="J2370" s="156">
        <v>0.0</v>
      </c>
      <c r="K2370" s="154" t="s">
        <v>240</v>
      </c>
    </row>
    <row r="2371">
      <c r="A2371" s="154" t="s">
        <v>5551</v>
      </c>
      <c r="B2371" s="155"/>
      <c r="C2371" s="154" t="s">
        <v>5552</v>
      </c>
      <c r="D2371" s="155"/>
      <c r="E2371" s="155"/>
      <c r="F2371" s="154" t="s">
        <v>5553</v>
      </c>
      <c r="G2371" s="154">
        <v>4.3684945E7</v>
      </c>
      <c r="H2371" s="156">
        <v>0.0</v>
      </c>
      <c r="I2371" s="154">
        <v>9.71506242571E11</v>
      </c>
      <c r="J2371" s="156">
        <v>0.0</v>
      </c>
      <c r="K2371" s="154" t="s">
        <v>240</v>
      </c>
    </row>
    <row r="2372">
      <c r="A2372" s="154" t="s">
        <v>5554</v>
      </c>
      <c r="B2372" s="154" t="s">
        <v>5555</v>
      </c>
      <c r="D2372" s="154">
        <v>2.0</v>
      </c>
      <c r="E2372" s="154" t="s">
        <v>761</v>
      </c>
      <c r="F2372" s="154" t="s">
        <v>5556</v>
      </c>
      <c r="G2372" s="154" t="s">
        <v>5557</v>
      </c>
      <c r="H2372" s="154" t="s">
        <v>5558</v>
      </c>
      <c r="I2372" s="154" t="s">
        <v>5559</v>
      </c>
      <c r="J2372" s="154" t="s">
        <v>5557</v>
      </c>
      <c r="K2372" s="154" t="s">
        <v>846</v>
      </c>
    </row>
    <row r="2373">
      <c r="A2373" s="154" t="s">
        <v>5554</v>
      </c>
      <c r="B2373" s="155"/>
      <c r="C2373" s="154" t="s">
        <v>5555</v>
      </c>
      <c r="D2373" s="155"/>
      <c r="E2373" s="155"/>
      <c r="F2373" s="154" t="s">
        <v>5556</v>
      </c>
      <c r="G2373" s="154" t="s">
        <v>5557</v>
      </c>
      <c r="H2373" s="154" t="s">
        <v>5558</v>
      </c>
      <c r="I2373" s="154" t="s">
        <v>5559</v>
      </c>
      <c r="J2373" s="154" t="s">
        <v>5557</v>
      </c>
      <c r="K2373" s="154" t="s">
        <v>846</v>
      </c>
    </row>
    <row r="2374">
      <c r="A2374" s="154" t="s">
        <v>5560</v>
      </c>
      <c r="B2374" s="154" t="s">
        <v>5561</v>
      </c>
      <c r="D2374" s="154">
        <v>2.0</v>
      </c>
      <c r="E2374" s="154" t="s">
        <v>761</v>
      </c>
      <c r="F2374" s="154" t="s">
        <v>5537</v>
      </c>
      <c r="G2374" s="156">
        <v>0.0</v>
      </c>
      <c r="H2374" s="156">
        <v>0.0</v>
      </c>
      <c r="I2374" s="154" t="s">
        <v>5538</v>
      </c>
      <c r="J2374" s="156">
        <v>0.0</v>
      </c>
      <c r="K2374" s="154" t="s">
        <v>197</v>
      </c>
    </row>
    <row r="2375">
      <c r="A2375" s="154" t="s">
        <v>5560</v>
      </c>
      <c r="B2375" s="155"/>
      <c r="C2375" s="154" t="s">
        <v>5561</v>
      </c>
      <c r="D2375" s="155"/>
      <c r="E2375" s="155"/>
      <c r="F2375" s="154" t="s">
        <v>5537</v>
      </c>
      <c r="G2375" s="156">
        <v>0.0</v>
      </c>
      <c r="H2375" s="156">
        <v>0.0</v>
      </c>
      <c r="I2375" s="154" t="s">
        <v>5538</v>
      </c>
      <c r="J2375" s="156">
        <v>0.0</v>
      </c>
      <c r="K2375" s="154" t="s">
        <v>197</v>
      </c>
    </row>
    <row r="2376">
      <c r="A2376" s="154" t="s">
        <v>5562</v>
      </c>
      <c r="B2376" s="155"/>
      <c r="C2376" s="154" t="s">
        <v>5563</v>
      </c>
      <c r="D2376" s="155"/>
      <c r="E2376" s="155"/>
      <c r="F2376" s="154" t="s">
        <v>5564</v>
      </c>
      <c r="G2376" s="156">
        <v>0.0</v>
      </c>
      <c r="H2376" s="154" t="s">
        <v>5565</v>
      </c>
      <c r="I2376" s="154" t="s">
        <v>5566</v>
      </c>
      <c r="J2376" s="156">
        <v>0.0</v>
      </c>
      <c r="K2376" s="154" t="s">
        <v>301</v>
      </c>
    </row>
    <row r="2377">
      <c r="A2377" s="154" t="s">
        <v>5562</v>
      </c>
      <c r="B2377" s="154" t="s">
        <v>5563</v>
      </c>
      <c r="D2377" s="154">
        <v>2.0</v>
      </c>
      <c r="E2377" s="154" t="s">
        <v>761</v>
      </c>
      <c r="F2377" s="154" t="s">
        <v>5564</v>
      </c>
      <c r="G2377" s="156">
        <v>0.0</v>
      </c>
      <c r="H2377" s="154" t="s">
        <v>5565</v>
      </c>
      <c r="I2377" s="154" t="s">
        <v>5566</v>
      </c>
      <c r="J2377" s="156">
        <v>0.0</v>
      </c>
      <c r="K2377" s="154" t="s">
        <v>301</v>
      </c>
    </row>
    <row r="2378">
      <c r="A2378" s="154" t="s">
        <v>5567</v>
      </c>
      <c r="B2378" s="155"/>
      <c r="C2378" s="154" t="s">
        <v>5568</v>
      </c>
      <c r="D2378" s="155"/>
      <c r="E2378" s="155"/>
      <c r="F2378" s="154" t="s">
        <v>5569</v>
      </c>
      <c r="G2378" s="154" t="s">
        <v>5570</v>
      </c>
      <c r="H2378" s="154" t="s">
        <v>5571</v>
      </c>
      <c r="I2378" s="154">
        <v>9.71506448634E11</v>
      </c>
      <c r="J2378" s="156">
        <v>0.0</v>
      </c>
      <c r="K2378" s="154" t="s">
        <v>760</v>
      </c>
    </row>
    <row r="2379">
      <c r="A2379" s="154" t="s">
        <v>5567</v>
      </c>
      <c r="B2379" s="154" t="s">
        <v>5568</v>
      </c>
      <c r="D2379" s="154">
        <v>2.0</v>
      </c>
      <c r="E2379" s="154" t="s">
        <v>761</v>
      </c>
      <c r="F2379" s="154" t="s">
        <v>5569</v>
      </c>
      <c r="G2379" s="154" t="s">
        <v>5570</v>
      </c>
      <c r="H2379" s="154" t="s">
        <v>5571</v>
      </c>
      <c r="I2379" s="154">
        <v>9.71506448634E11</v>
      </c>
      <c r="J2379" s="156">
        <v>0.0</v>
      </c>
      <c r="K2379" s="154" t="s">
        <v>760</v>
      </c>
    </row>
    <row r="2380">
      <c r="A2380" s="154" t="s">
        <v>5572</v>
      </c>
      <c r="B2380" s="154" t="s">
        <v>5573</v>
      </c>
      <c r="D2380" s="154">
        <v>2.0</v>
      </c>
      <c r="E2380" s="154" t="s">
        <v>761</v>
      </c>
      <c r="F2380" s="154" t="s">
        <v>5574</v>
      </c>
      <c r="G2380" s="156">
        <v>0.0</v>
      </c>
      <c r="H2380" s="156">
        <v>0.0</v>
      </c>
      <c r="I2380" s="154" t="s">
        <v>5575</v>
      </c>
      <c r="J2380" s="156">
        <v>0.0</v>
      </c>
      <c r="K2380" s="154" t="s">
        <v>207</v>
      </c>
    </row>
    <row r="2381">
      <c r="A2381" s="154" t="s">
        <v>5572</v>
      </c>
      <c r="B2381" s="155"/>
      <c r="C2381" s="154" t="s">
        <v>5573</v>
      </c>
      <c r="D2381" s="155"/>
      <c r="E2381" s="155"/>
      <c r="F2381" s="154" t="s">
        <v>5574</v>
      </c>
      <c r="G2381" s="156">
        <v>0.0</v>
      </c>
      <c r="H2381" s="156">
        <v>0.0</v>
      </c>
      <c r="I2381" s="154" t="s">
        <v>5575</v>
      </c>
      <c r="J2381" s="156">
        <v>0.0</v>
      </c>
      <c r="K2381" s="154" t="s">
        <v>207</v>
      </c>
    </row>
    <row r="2382">
      <c r="A2382" s="154" t="s">
        <v>5576</v>
      </c>
      <c r="B2382" s="155"/>
      <c r="C2382" s="154" t="s">
        <v>5577</v>
      </c>
      <c r="D2382" s="155"/>
      <c r="E2382" s="155"/>
      <c r="F2382" s="154" t="s">
        <v>5578</v>
      </c>
      <c r="G2382" s="156">
        <v>0.0</v>
      </c>
      <c r="H2382" s="156">
        <v>0.0</v>
      </c>
      <c r="I2382" s="154">
        <v>5.66251737E8</v>
      </c>
      <c r="J2382" s="156">
        <v>0.0</v>
      </c>
      <c r="K2382" s="154" t="s">
        <v>259</v>
      </c>
    </row>
    <row r="2383">
      <c r="A2383" s="154" t="s">
        <v>5576</v>
      </c>
      <c r="B2383" s="154" t="s">
        <v>5577</v>
      </c>
      <c r="D2383" s="154">
        <v>2.0</v>
      </c>
      <c r="E2383" s="154" t="s">
        <v>761</v>
      </c>
      <c r="F2383" s="154" t="s">
        <v>5578</v>
      </c>
      <c r="G2383" s="156">
        <v>0.0</v>
      </c>
      <c r="H2383" s="156">
        <v>0.0</v>
      </c>
      <c r="I2383" s="154">
        <v>5.66251737E8</v>
      </c>
      <c r="J2383" s="156">
        <v>0.0</v>
      </c>
      <c r="K2383" s="154" t="s">
        <v>259</v>
      </c>
    </row>
    <row r="2384">
      <c r="A2384" s="154" t="s">
        <v>5579</v>
      </c>
      <c r="B2384" s="155"/>
      <c r="C2384" s="154" t="s">
        <v>5580</v>
      </c>
      <c r="D2384" s="155"/>
      <c r="E2384" s="155"/>
      <c r="F2384" s="154" t="s">
        <v>5581</v>
      </c>
      <c r="G2384" s="154">
        <v>5.04531195E8</v>
      </c>
      <c r="H2384" s="156">
        <v>0.0</v>
      </c>
      <c r="I2384" s="156">
        <v>0.0</v>
      </c>
      <c r="J2384" s="154" t="s">
        <v>5582</v>
      </c>
      <c r="K2384" s="154" t="s">
        <v>1110</v>
      </c>
    </row>
    <row r="2385">
      <c r="A2385" s="154" t="s">
        <v>5579</v>
      </c>
      <c r="B2385" s="154" t="s">
        <v>5580</v>
      </c>
      <c r="D2385" s="154">
        <v>2.0</v>
      </c>
      <c r="E2385" s="154" t="s">
        <v>761</v>
      </c>
      <c r="F2385" s="154" t="s">
        <v>5581</v>
      </c>
      <c r="G2385" s="154">
        <v>5.04531195E8</v>
      </c>
      <c r="H2385" s="156">
        <v>0.0</v>
      </c>
      <c r="I2385" s="156">
        <v>0.0</v>
      </c>
      <c r="J2385" s="154" t="s">
        <v>5582</v>
      </c>
      <c r="K2385" s="154" t="s">
        <v>1110</v>
      </c>
    </row>
    <row r="2386">
      <c r="A2386" s="154" t="s">
        <v>5583</v>
      </c>
      <c r="B2386" s="154" t="s">
        <v>5584</v>
      </c>
      <c r="C2386" s="155"/>
      <c r="D2386" s="154">
        <v>2.0</v>
      </c>
      <c r="E2386" s="154" t="s">
        <v>897</v>
      </c>
      <c r="F2386" s="154" t="s">
        <v>1190</v>
      </c>
      <c r="G2386" s="154">
        <v>5.0851975E8</v>
      </c>
      <c r="H2386" s="154" t="s">
        <v>1191</v>
      </c>
      <c r="I2386" s="156">
        <v>0.0</v>
      </c>
      <c r="J2386" s="156">
        <v>0.0</v>
      </c>
      <c r="K2386" s="156">
        <v>0.0</v>
      </c>
    </row>
    <row r="2387">
      <c r="A2387" s="154" t="s">
        <v>5583</v>
      </c>
      <c r="B2387" s="155"/>
      <c r="C2387" s="154" t="s">
        <v>5584</v>
      </c>
      <c r="D2387" s="155"/>
      <c r="E2387" s="155"/>
      <c r="F2387" s="154" t="s">
        <v>5585</v>
      </c>
      <c r="G2387" s="154">
        <v>5.06440735E8</v>
      </c>
      <c r="H2387" s="156">
        <v>0.0</v>
      </c>
      <c r="I2387" s="154">
        <v>5.06440735E8</v>
      </c>
      <c r="J2387" s="156">
        <v>0.0</v>
      </c>
      <c r="K2387" s="154" t="s">
        <v>361</v>
      </c>
    </row>
    <row r="2388">
      <c r="A2388" s="154" t="s">
        <v>5586</v>
      </c>
      <c r="B2388" s="154" t="s">
        <v>5587</v>
      </c>
      <c r="C2388" s="155"/>
      <c r="D2388" s="154">
        <v>2.0</v>
      </c>
      <c r="E2388" s="154" t="s">
        <v>897</v>
      </c>
      <c r="F2388" s="154" t="s">
        <v>5588</v>
      </c>
      <c r="G2388" s="154">
        <v>0.0</v>
      </c>
      <c r="H2388" s="156">
        <v>0.0</v>
      </c>
      <c r="I2388" s="154">
        <v>9.71506661884E11</v>
      </c>
      <c r="J2388" s="156">
        <v>0.0</v>
      </c>
      <c r="K2388" s="154" t="s">
        <v>207</v>
      </c>
    </row>
    <row r="2389">
      <c r="A2389" s="154" t="s">
        <v>5586</v>
      </c>
      <c r="B2389" s="155"/>
      <c r="C2389" s="154" t="s">
        <v>5587</v>
      </c>
      <c r="D2389" s="155"/>
      <c r="E2389" s="155"/>
      <c r="F2389" s="154" t="s">
        <v>5588</v>
      </c>
      <c r="G2389" s="154">
        <v>0.0</v>
      </c>
      <c r="H2389" s="156">
        <v>0.0</v>
      </c>
      <c r="I2389" s="154">
        <v>9.71506661884E11</v>
      </c>
      <c r="J2389" s="156">
        <v>0.0</v>
      </c>
      <c r="K2389" s="154" t="s">
        <v>207</v>
      </c>
    </row>
    <row r="2390">
      <c r="A2390" s="154" t="s">
        <v>5589</v>
      </c>
      <c r="B2390" s="154" t="s">
        <v>5590</v>
      </c>
      <c r="C2390" s="155"/>
      <c r="D2390" s="154">
        <v>2.0</v>
      </c>
      <c r="E2390" s="154" t="s">
        <v>897</v>
      </c>
      <c r="F2390" s="154" t="s">
        <v>5591</v>
      </c>
      <c r="G2390" s="156">
        <v>0.0</v>
      </c>
      <c r="H2390" s="156">
        <v>0.0</v>
      </c>
      <c r="I2390" s="154">
        <v>5.03671041E8</v>
      </c>
      <c r="J2390" s="156">
        <v>0.0</v>
      </c>
      <c r="K2390" s="154" t="s">
        <v>760</v>
      </c>
    </row>
    <row r="2391">
      <c r="A2391" s="154" t="s">
        <v>5589</v>
      </c>
      <c r="B2391" s="155"/>
      <c r="C2391" s="154" t="s">
        <v>5590</v>
      </c>
      <c r="D2391" s="155"/>
      <c r="E2391" s="155"/>
      <c r="F2391" s="154" t="s">
        <v>5592</v>
      </c>
      <c r="G2391" s="156">
        <v>0.0</v>
      </c>
      <c r="H2391" s="156">
        <v>0.0</v>
      </c>
      <c r="I2391" s="154">
        <v>5.03478335E8</v>
      </c>
      <c r="J2391" s="156">
        <v>0.0</v>
      </c>
      <c r="K2391" s="154" t="s">
        <v>760</v>
      </c>
    </row>
    <row r="2392">
      <c r="A2392" s="154" t="s">
        <v>5593</v>
      </c>
      <c r="B2392" s="155"/>
      <c r="C2392" s="154" t="s">
        <v>5594</v>
      </c>
      <c r="D2392" s="155"/>
      <c r="E2392" s="155"/>
      <c r="F2392" s="154" t="s">
        <v>5595</v>
      </c>
      <c r="G2392" s="154">
        <v>5.56001144E8</v>
      </c>
      <c r="H2392" s="156">
        <v>0.0</v>
      </c>
      <c r="I2392" s="154">
        <v>50.0</v>
      </c>
      <c r="J2392" s="156">
        <v>0.0</v>
      </c>
      <c r="K2392" s="154" t="s">
        <v>223</v>
      </c>
    </row>
    <row r="2393">
      <c r="A2393" s="154" t="s">
        <v>5593</v>
      </c>
      <c r="B2393" s="154" t="s">
        <v>5594</v>
      </c>
      <c r="C2393" s="155"/>
      <c r="D2393" s="154">
        <v>2.0</v>
      </c>
      <c r="E2393" s="154" t="s">
        <v>897</v>
      </c>
      <c r="F2393" s="154" t="s">
        <v>5595</v>
      </c>
      <c r="G2393" s="154">
        <v>5.56001144E8</v>
      </c>
      <c r="H2393" s="156">
        <v>0.0</v>
      </c>
      <c r="I2393" s="154">
        <v>50.0</v>
      </c>
      <c r="J2393" s="156">
        <v>0.0</v>
      </c>
      <c r="K2393" s="154" t="s">
        <v>223</v>
      </c>
    </row>
    <row r="2394">
      <c r="A2394" s="154" t="s">
        <v>5596</v>
      </c>
      <c r="B2394" s="155"/>
      <c r="C2394" s="154" t="s">
        <v>5597</v>
      </c>
      <c r="D2394" s="155"/>
      <c r="E2394" s="155"/>
      <c r="F2394" s="154" t="s">
        <v>5598</v>
      </c>
      <c r="G2394" s="156">
        <v>0.0</v>
      </c>
      <c r="H2394" s="156">
        <v>0.0</v>
      </c>
      <c r="I2394" s="154" t="s">
        <v>853</v>
      </c>
      <c r="J2394" s="156">
        <v>0.0</v>
      </c>
      <c r="K2394" s="154" t="s">
        <v>1461</v>
      </c>
    </row>
    <row r="2395">
      <c r="A2395" s="154" t="s">
        <v>5596</v>
      </c>
      <c r="B2395" s="154" t="s">
        <v>5597</v>
      </c>
      <c r="C2395" s="155"/>
      <c r="D2395" s="154">
        <v>2.0</v>
      </c>
      <c r="E2395" s="154" t="s">
        <v>897</v>
      </c>
      <c r="F2395" s="154" t="s">
        <v>5598</v>
      </c>
      <c r="G2395" s="156">
        <v>0.0</v>
      </c>
      <c r="H2395" s="156">
        <v>0.0</v>
      </c>
      <c r="I2395" s="154" t="s">
        <v>853</v>
      </c>
      <c r="J2395" s="156">
        <v>0.0</v>
      </c>
      <c r="K2395" s="154" t="s">
        <v>1461</v>
      </c>
    </row>
    <row r="2396">
      <c r="A2396" s="154" t="s">
        <v>5599</v>
      </c>
      <c r="B2396" s="154" t="s">
        <v>5600</v>
      </c>
      <c r="C2396" s="155"/>
      <c r="D2396" s="154">
        <v>2.0</v>
      </c>
      <c r="E2396" s="154" t="s">
        <v>897</v>
      </c>
      <c r="F2396" s="154" t="s">
        <v>5601</v>
      </c>
      <c r="G2396" s="154">
        <v>4.3067777E7</v>
      </c>
      <c r="H2396" s="156">
        <v>0.0</v>
      </c>
      <c r="I2396" s="154">
        <v>5.0227505E8</v>
      </c>
      <c r="J2396" s="156">
        <v>0.0</v>
      </c>
      <c r="K2396" s="154" t="s">
        <v>760</v>
      </c>
    </row>
    <row r="2397">
      <c r="A2397" s="154" t="s">
        <v>5599</v>
      </c>
      <c r="B2397" s="155"/>
      <c r="C2397" s="154" t="s">
        <v>5600</v>
      </c>
      <c r="D2397" s="155"/>
      <c r="E2397" s="155"/>
      <c r="F2397" s="154" t="s">
        <v>5601</v>
      </c>
      <c r="G2397" s="154">
        <v>4.3067777E7</v>
      </c>
      <c r="H2397" s="156">
        <v>0.0</v>
      </c>
      <c r="I2397" s="154">
        <v>5.0227505E8</v>
      </c>
      <c r="J2397" s="156">
        <v>0.0</v>
      </c>
      <c r="K2397" s="154" t="s">
        <v>760</v>
      </c>
    </row>
    <row r="2398">
      <c r="A2398" s="154" t="s">
        <v>5602</v>
      </c>
      <c r="B2398" s="154" t="s">
        <v>5603</v>
      </c>
      <c r="C2398" s="155"/>
      <c r="D2398" s="154">
        <v>2.0</v>
      </c>
      <c r="E2398" s="154" t="s">
        <v>897</v>
      </c>
      <c r="F2398" s="154" t="s">
        <v>4906</v>
      </c>
      <c r="G2398" s="156">
        <v>0.0</v>
      </c>
      <c r="H2398" s="154" t="s">
        <v>4907</v>
      </c>
      <c r="I2398" s="154" t="s">
        <v>4908</v>
      </c>
      <c r="J2398" s="154" t="s">
        <v>4909</v>
      </c>
      <c r="K2398" s="154" t="s">
        <v>361</v>
      </c>
    </row>
    <row r="2399">
      <c r="A2399" s="154" t="s">
        <v>5602</v>
      </c>
      <c r="B2399" s="155"/>
      <c r="C2399" s="154" t="s">
        <v>5603</v>
      </c>
      <c r="D2399" s="155"/>
      <c r="E2399" s="155"/>
      <c r="F2399" s="154" t="s">
        <v>4906</v>
      </c>
      <c r="G2399" s="156">
        <v>0.0</v>
      </c>
      <c r="H2399" s="154" t="s">
        <v>4907</v>
      </c>
      <c r="I2399" s="154" t="s">
        <v>4908</v>
      </c>
      <c r="J2399" s="154" t="s">
        <v>4909</v>
      </c>
      <c r="K2399" s="154" t="s">
        <v>361</v>
      </c>
    </row>
    <row r="2400">
      <c r="A2400" s="154" t="s">
        <v>5604</v>
      </c>
      <c r="B2400" s="155"/>
      <c r="C2400" s="154" t="s">
        <v>5605</v>
      </c>
      <c r="D2400" s="155"/>
      <c r="E2400" s="155"/>
      <c r="F2400" s="154" t="s">
        <v>5606</v>
      </c>
      <c r="G2400" s="156">
        <v>0.0</v>
      </c>
      <c r="H2400" s="156">
        <v>0.0</v>
      </c>
      <c r="I2400" s="154">
        <v>5.05508783E8</v>
      </c>
      <c r="J2400" s="156">
        <v>0.0</v>
      </c>
      <c r="K2400" s="154" t="s">
        <v>240</v>
      </c>
    </row>
    <row r="2401">
      <c r="A2401" s="154" t="s">
        <v>5604</v>
      </c>
      <c r="B2401" s="154" t="s">
        <v>5605</v>
      </c>
      <c r="C2401" s="155"/>
      <c r="D2401" s="154">
        <v>2.0</v>
      </c>
      <c r="E2401" s="154" t="s">
        <v>897</v>
      </c>
      <c r="F2401" s="154" t="s">
        <v>792</v>
      </c>
      <c r="G2401" s="154" t="s">
        <v>793</v>
      </c>
      <c r="H2401" s="154" t="s">
        <v>794</v>
      </c>
      <c r="I2401" s="156">
        <v>0.0</v>
      </c>
      <c r="J2401" s="156">
        <v>0.0</v>
      </c>
      <c r="K2401" s="156">
        <v>0.0</v>
      </c>
    </row>
    <row r="2402">
      <c r="A2402" s="154" t="s">
        <v>5607</v>
      </c>
      <c r="B2402" s="155"/>
      <c r="C2402" s="154" t="s">
        <v>5608</v>
      </c>
      <c r="D2402" s="155"/>
      <c r="E2402" s="155"/>
      <c r="F2402" s="154" t="s">
        <v>5609</v>
      </c>
      <c r="G2402" s="154">
        <v>5.04541656E8</v>
      </c>
      <c r="H2402" s="156">
        <v>0.0</v>
      </c>
      <c r="I2402" s="154">
        <v>5.04541656E8</v>
      </c>
      <c r="J2402" s="156">
        <v>0.0</v>
      </c>
      <c r="K2402" s="154" t="s">
        <v>914</v>
      </c>
    </row>
    <row r="2403">
      <c r="A2403" s="154" t="s">
        <v>5607</v>
      </c>
      <c r="B2403" s="154" t="s">
        <v>5608</v>
      </c>
      <c r="C2403" s="155"/>
      <c r="D2403" s="154">
        <v>2.0</v>
      </c>
      <c r="E2403" s="154" t="s">
        <v>897</v>
      </c>
      <c r="F2403" s="154" t="s">
        <v>5609</v>
      </c>
      <c r="G2403" s="154">
        <v>5.04541656E8</v>
      </c>
      <c r="H2403" s="156">
        <v>0.0</v>
      </c>
      <c r="I2403" s="154">
        <v>5.04541656E8</v>
      </c>
      <c r="J2403" s="156">
        <v>0.0</v>
      </c>
      <c r="K2403" s="154" t="s">
        <v>914</v>
      </c>
    </row>
    <row r="2404">
      <c r="A2404" s="154" t="s">
        <v>5610</v>
      </c>
      <c r="B2404" s="155"/>
      <c r="C2404" s="154" t="s">
        <v>5611</v>
      </c>
      <c r="D2404" s="155"/>
      <c r="E2404" s="155"/>
      <c r="F2404" s="154" t="s">
        <v>5612</v>
      </c>
      <c r="G2404" s="156">
        <v>0.0</v>
      </c>
      <c r="H2404" s="154" t="s">
        <v>5613</v>
      </c>
      <c r="I2404" s="154" t="s">
        <v>5614</v>
      </c>
      <c r="J2404" s="156">
        <v>0.0</v>
      </c>
      <c r="K2404" s="154" t="s">
        <v>776</v>
      </c>
    </row>
    <row r="2405">
      <c r="A2405" s="154" t="s">
        <v>5610</v>
      </c>
      <c r="B2405" s="154" t="s">
        <v>5611</v>
      </c>
      <c r="C2405" s="155"/>
      <c r="D2405" s="154">
        <v>2.0</v>
      </c>
      <c r="E2405" s="154" t="s">
        <v>897</v>
      </c>
      <c r="F2405" s="154" t="s">
        <v>5612</v>
      </c>
      <c r="G2405" s="156">
        <v>0.0</v>
      </c>
      <c r="H2405" s="154" t="s">
        <v>5613</v>
      </c>
      <c r="I2405" s="154" t="s">
        <v>5614</v>
      </c>
      <c r="J2405" s="156">
        <v>0.0</v>
      </c>
      <c r="K2405" s="154" t="s">
        <v>776</v>
      </c>
    </row>
    <row r="2406">
      <c r="A2406" s="154" t="s">
        <v>5615</v>
      </c>
      <c r="B2406" s="155"/>
      <c r="C2406" s="154" t="s">
        <v>5616</v>
      </c>
      <c r="D2406" s="155"/>
      <c r="E2406" s="155"/>
      <c r="F2406" s="154" t="s">
        <v>5617</v>
      </c>
      <c r="G2406" s="154">
        <v>4.2881046E7</v>
      </c>
      <c r="H2406" s="156">
        <v>0.0</v>
      </c>
      <c r="I2406" s="154">
        <v>9.71506590426E11</v>
      </c>
      <c r="J2406" s="156">
        <v>0.0</v>
      </c>
      <c r="K2406" s="154" t="s">
        <v>361</v>
      </c>
    </row>
    <row r="2407">
      <c r="A2407" s="154" t="s">
        <v>5615</v>
      </c>
      <c r="B2407" s="154" t="s">
        <v>5616</v>
      </c>
      <c r="D2407" s="154">
        <v>2.0</v>
      </c>
      <c r="E2407" s="154" t="s">
        <v>761</v>
      </c>
      <c r="F2407" s="154" t="s">
        <v>5617</v>
      </c>
      <c r="G2407" s="154">
        <v>4.2881046E7</v>
      </c>
      <c r="H2407" s="156">
        <v>0.0</v>
      </c>
      <c r="I2407" s="154">
        <v>9.71506590426E11</v>
      </c>
      <c r="J2407" s="156">
        <v>0.0</v>
      </c>
      <c r="K2407" s="154" t="s">
        <v>361</v>
      </c>
    </row>
    <row r="2408">
      <c r="A2408" s="154" t="s">
        <v>5618</v>
      </c>
      <c r="B2408" s="155"/>
      <c r="C2408" s="154" t="s">
        <v>5619</v>
      </c>
      <c r="D2408" s="155"/>
      <c r="E2408" s="155"/>
      <c r="F2408" s="154" t="s">
        <v>5620</v>
      </c>
      <c r="G2408" s="154" t="s">
        <v>5621</v>
      </c>
      <c r="H2408" s="156">
        <v>0.0</v>
      </c>
      <c r="I2408" s="154">
        <v>9.7150550693E11</v>
      </c>
      <c r="J2408" s="156">
        <v>0.0</v>
      </c>
      <c r="K2408" s="154" t="s">
        <v>776</v>
      </c>
    </row>
    <row r="2409">
      <c r="A2409" s="154" t="s">
        <v>5618</v>
      </c>
      <c r="B2409" s="154" t="s">
        <v>5619</v>
      </c>
      <c r="D2409" s="154">
        <v>2.0</v>
      </c>
      <c r="E2409" s="154" t="s">
        <v>761</v>
      </c>
      <c r="F2409" s="154" t="s">
        <v>5620</v>
      </c>
      <c r="G2409" s="154" t="s">
        <v>5621</v>
      </c>
      <c r="H2409" s="156">
        <v>0.0</v>
      </c>
      <c r="I2409" s="154">
        <v>9.7150550693E11</v>
      </c>
      <c r="J2409" s="156">
        <v>0.0</v>
      </c>
      <c r="K2409" s="154" t="s">
        <v>776</v>
      </c>
    </row>
    <row r="2410">
      <c r="A2410" s="154" t="s">
        <v>5622</v>
      </c>
      <c r="B2410" s="154" t="s">
        <v>5623</v>
      </c>
      <c r="D2410" s="154">
        <v>2.0</v>
      </c>
      <c r="E2410" s="154" t="s">
        <v>761</v>
      </c>
      <c r="F2410" s="154" t="s">
        <v>2203</v>
      </c>
      <c r="G2410" s="154">
        <v>5.09126362E8</v>
      </c>
      <c r="H2410" s="154" t="s">
        <v>2204</v>
      </c>
      <c r="I2410" s="155">
        <f t="shared" ref="I2410:I2411" si="13">+923218209698</f>
        <v>923218209698</v>
      </c>
      <c r="J2410" s="156">
        <v>0.0</v>
      </c>
      <c r="K2410" s="154" t="s">
        <v>760</v>
      </c>
    </row>
    <row r="2411">
      <c r="A2411" s="154" t="s">
        <v>5622</v>
      </c>
      <c r="B2411" s="155"/>
      <c r="C2411" s="154" t="s">
        <v>5623</v>
      </c>
      <c r="D2411" s="155"/>
      <c r="E2411" s="155"/>
      <c r="F2411" s="154" t="s">
        <v>2203</v>
      </c>
      <c r="G2411" s="154">
        <v>5.09126362E8</v>
      </c>
      <c r="H2411" s="154" t="s">
        <v>2204</v>
      </c>
      <c r="I2411" s="155">
        <f t="shared" si="13"/>
        <v>923218209698</v>
      </c>
      <c r="J2411" s="156">
        <v>0.0</v>
      </c>
      <c r="K2411" s="154" t="s">
        <v>760</v>
      </c>
    </row>
    <row r="2412">
      <c r="A2412" s="154" t="s">
        <v>5624</v>
      </c>
      <c r="B2412" s="155"/>
      <c r="C2412" s="154" t="s">
        <v>5625</v>
      </c>
      <c r="D2412" s="155"/>
      <c r="E2412" s="155"/>
      <c r="F2412" s="154" t="s">
        <v>5626</v>
      </c>
      <c r="G2412" s="154">
        <v>4.0</v>
      </c>
      <c r="H2412" s="156">
        <v>0.0</v>
      </c>
      <c r="I2412" s="154">
        <v>5.58060362E8</v>
      </c>
      <c r="J2412" s="156">
        <v>0.0</v>
      </c>
      <c r="K2412" s="154" t="s">
        <v>914</v>
      </c>
    </row>
    <row r="2413">
      <c r="A2413" s="154" t="s">
        <v>5624</v>
      </c>
      <c r="B2413" s="154" t="s">
        <v>5625</v>
      </c>
      <c r="D2413" s="154">
        <v>2.0</v>
      </c>
      <c r="E2413" s="154" t="s">
        <v>761</v>
      </c>
      <c r="F2413" s="154" t="s">
        <v>5626</v>
      </c>
      <c r="G2413" s="154">
        <v>4.0</v>
      </c>
      <c r="H2413" s="156">
        <v>0.0</v>
      </c>
      <c r="I2413" s="154">
        <v>5.58060362E8</v>
      </c>
      <c r="J2413" s="156">
        <v>0.0</v>
      </c>
      <c r="K2413" s="154" t="s">
        <v>914</v>
      </c>
    </row>
    <row r="2414">
      <c r="A2414" s="154" t="s">
        <v>5627</v>
      </c>
      <c r="B2414" s="155"/>
      <c r="C2414" s="154" t="s">
        <v>5628</v>
      </c>
      <c r="D2414" s="155"/>
      <c r="E2414" s="155"/>
      <c r="F2414" s="154" t="s">
        <v>5629</v>
      </c>
      <c r="G2414" s="154">
        <v>0.0</v>
      </c>
      <c r="H2414" s="156">
        <v>0.0</v>
      </c>
      <c r="I2414" s="154">
        <v>9.71508883825E11</v>
      </c>
      <c r="J2414" s="156">
        <v>0.0</v>
      </c>
      <c r="K2414" s="154" t="s">
        <v>923</v>
      </c>
    </row>
    <row r="2415">
      <c r="A2415" s="154" t="s">
        <v>5627</v>
      </c>
      <c r="B2415" s="154" t="s">
        <v>5628</v>
      </c>
      <c r="D2415" s="154">
        <v>2.0</v>
      </c>
      <c r="E2415" s="154" t="s">
        <v>761</v>
      </c>
      <c r="F2415" s="154" t="s">
        <v>5630</v>
      </c>
      <c r="G2415" s="154">
        <v>9.71508883825E11</v>
      </c>
      <c r="H2415" s="156">
        <v>0.0</v>
      </c>
      <c r="I2415" s="154">
        <v>9.71506281277E11</v>
      </c>
      <c r="J2415" s="156">
        <v>0.0</v>
      </c>
      <c r="K2415" s="154" t="s">
        <v>923</v>
      </c>
    </row>
    <row r="2416">
      <c r="A2416" s="154" t="s">
        <v>5631</v>
      </c>
      <c r="B2416" s="155"/>
      <c r="C2416" s="154" t="s">
        <v>5632</v>
      </c>
      <c r="D2416" s="155"/>
      <c r="E2416" s="155"/>
      <c r="F2416" s="154" t="s">
        <v>5633</v>
      </c>
      <c r="G2416" s="156">
        <v>0.0</v>
      </c>
      <c r="H2416" s="156">
        <v>0.0</v>
      </c>
      <c r="I2416" s="154" t="s">
        <v>5634</v>
      </c>
      <c r="J2416" s="156">
        <v>0.0</v>
      </c>
      <c r="K2416" s="154" t="s">
        <v>846</v>
      </c>
    </row>
    <row r="2417">
      <c r="A2417" s="154" t="s">
        <v>5631</v>
      </c>
      <c r="B2417" s="154" t="s">
        <v>5632</v>
      </c>
      <c r="D2417" s="154">
        <v>2.0</v>
      </c>
      <c r="E2417" s="154" t="s">
        <v>761</v>
      </c>
      <c r="F2417" s="154" t="s">
        <v>5635</v>
      </c>
      <c r="G2417" s="156">
        <v>0.0</v>
      </c>
      <c r="H2417" s="154" t="s">
        <v>5636</v>
      </c>
      <c r="I2417" s="154">
        <v>9.71505629069E11</v>
      </c>
      <c r="J2417" s="156">
        <v>0.0</v>
      </c>
      <c r="K2417" s="154" t="s">
        <v>846</v>
      </c>
    </row>
    <row r="2418">
      <c r="A2418" s="154" t="s">
        <v>5637</v>
      </c>
      <c r="B2418" s="154" t="s">
        <v>5638</v>
      </c>
      <c r="D2418" s="154">
        <v>2.0</v>
      </c>
      <c r="E2418" s="154" t="s">
        <v>761</v>
      </c>
      <c r="F2418" s="154" t="s">
        <v>5639</v>
      </c>
      <c r="G2418" s="154" t="s">
        <v>5640</v>
      </c>
      <c r="H2418" s="156">
        <v>0.0</v>
      </c>
      <c r="I2418" s="154" t="s">
        <v>5641</v>
      </c>
      <c r="J2418" s="154" t="s">
        <v>5640</v>
      </c>
      <c r="K2418" s="154" t="s">
        <v>301</v>
      </c>
    </row>
    <row r="2419">
      <c r="A2419" s="154" t="s">
        <v>5637</v>
      </c>
      <c r="B2419" s="155"/>
      <c r="C2419" s="154" t="s">
        <v>5638</v>
      </c>
      <c r="D2419" s="155"/>
      <c r="E2419" s="155"/>
      <c r="F2419" s="154" t="s">
        <v>5639</v>
      </c>
      <c r="G2419" s="154" t="s">
        <v>5640</v>
      </c>
      <c r="H2419" s="156">
        <v>0.0</v>
      </c>
      <c r="I2419" s="154" t="s">
        <v>5641</v>
      </c>
      <c r="J2419" s="154" t="s">
        <v>5640</v>
      </c>
      <c r="K2419" s="154" t="s">
        <v>301</v>
      </c>
    </row>
    <row r="2420">
      <c r="A2420" s="154" t="s">
        <v>5642</v>
      </c>
      <c r="B2420" s="154" t="s">
        <v>5643</v>
      </c>
      <c r="D2420" s="154">
        <v>2.0</v>
      </c>
      <c r="E2420" s="154" t="s">
        <v>761</v>
      </c>
      <c r="F2420" s="154" t="s">
        <v>2203</v>
      </c>
      <c r="G2420" s="154">
        <v>5.09126362E8</v>
      </c>
      <c r="H2420" s="154" t="s">
        <v>2204</v>
      </c>
      <c r="I2420" s="155">
        <f t="shared" ref="I2420:I2421" si="14">+923218209698</f>
        <v>923218209698</v>
      </c>
      <c r="J2420" s="156">
        <v>0.0</v>
      </c>
      <c r="K2420" s="154" t="s">
        <v>760</v>
      </c>
    </row>
    <row r="2421">
      <c r="A2421" s="154" t="s">
        <v>5642</v>
      </c>
      <c r="B2421" s="155"/>
      <c r="C2421" s="154" t="s">
        <v>5643</v>
      </c>
      <c r="D2421" s="155"/>
      <c r="E2421" s="155"/>
      <c r="F2421" s="154" t="s">
        <v>2203</v>
      </c>
      <c r="G2421" s="154">
        <v>5.09126362E8</v>
      </c>
      <c r="H2421" s="154" t="s">
        <v>2204</v>
      </c>
      <c r="I2421" s="155">
        <f t="shared" si="14"/>
        <v>923218209698</v>
      </c>
      <c r="J2421" s="156">
        <v>0.0</v>
      </c>
      <c r="K2421" s="154" t="s">
        <v>760</v>
      </c>
    </row>
    <row r="2422">
      <c r="A2422" s="154" t="s">
        <v>5644</v>
      </c>
      <c r="B2422" s="154" t="s">
        <v>5645</v>
      </c>
      <c r="D2422" s="154">
        <v>2.0</v>
      </c>
      <c r="E2422" s="154" t="s">
        <v>761</v>
      </c>
      <c r="F2422" s="154" t="s">
        <v>5646</v>
      </c>
      <c r="G2422" s="154">
        <v>5.08547717E8</v>
      </c>
      <c r="H2422" s="156">
        <v>0.0</v>
      </c>
      <c r="I2422" s="154">
        <v>5.08547717E8</v>
      </c>
      <c r="J2422" s="156">
        <v>0.0</v>
      </c>
      <c r="K2422" s="154" t="s">
        <v>361</v>
      </c>
    </row>
    <row r="2423">
      <c r="A2423" s="154" t="s">
        <v>5644</v>
      </c>
      <c r="B2423" s="155"/>
      <c r="C2423" s="154" t="s">
        <v>5645</v>
      </c>
      <c r="D2423" s="155"/>
      <c r="E2423" s="155"/>
      <c r="F2423" s="154" t="s">
        <v>5646</v>
      </c>
      <c r="G2423" s="154">
        <v>5.08547717E8</v>
      </c>
      <c r="H2423" s="156">
        <v>0.0</v>
      </c>
      <c r="I2423" s="154">
        <v>5.08547717E8</v>
      </c>
      <c r="J2423" s="156">
        <v>0.0</v>
      </c>
      <c r="K2423" s="154" t="s">
        <v>361</v>
      </c>
    </row>
    <row r="2424">
      <c r="A2424" s="154" t="s">
        <v>5647</v>
      </c>
      <c r="B2424" s="155"/>
      <c r="C2424" s="154" t="s">
        <v>5648</v>
      </c>
      <c r="D2424" s="155"/>
      <c r="E2424" s="155"/>
      <c r="F2424" s="154" t="s">
        <v>2424</v>
      </c>
      <c r="G2424" s="156">
        <v>0.0</v>
      </c>
      <c r="H2424" s="156">
        <v>0.0</v>
      </c>
      <c r="I2424" s="154" t="s">
        <v>918</v>
      </c>
      <c r="J2424" s="156">
        <v>0.0</v>
      </c>
      <c r="K2424" s="154" t="s">
        <v>1461</v>
      </c>
    </row>
    <row r="2425">
      <c r="A2425" s="154" t="s">
        <v>5647</v>
      </c>
      <c r="B2425" s="154" t="s">
        <v>5648</v>
      </c>
      <c r="D2425" s="154">
        <v>2.0</v>
      </c>
      <c r="E2425" s="154" t="s">
        <v>761</v>
      </c>
      <c r="F2425" s="154" t="s">
        <v>2424</v>
      </c>
      <c r="G2425" s="156">
        <v>0.0</v>
      </c>
      <c r="H2425" s="156">
        <v>0.0</v>
      </c>
      <c r="I2425" s="154" t="s">
        <v>918</v>
      </c>
      <c r="J2425" s="156">
        <v>0.0</v>
      </c>
      <c r="K2425" s="154" t="s">
        <v>1461</v>
      </c>
    </row>
    <row r="2426">
      <c r="A2426" s="154" t="s">
        <v>5649</v>
      </c>
      <c r="B2426" s="155"/>
      <c r="C2426" s="154" t="s">
        <v>5650</v>
      </c>
      <c r="D2426" s="155"/>
      <c r="E2426" s="155"/>
      <c r="F2426" s="154" t="s">
        <v>5651</v>
      </c>
      <c r="G2426" s="154">
        <v>0.0</v>
      </c>
      <c r="H2426" s="156">
        <v>0.0</v>
      </c>
      <c r="I2426" s="154">
        <v>0.0</v>
      </c>
      <c r="J2426" s="156">
        <v>0.0</v>
      </c>
      <c r="K2426" s="154" t="s">
        <v>846</v>
      </c>
    </row>
    <row r="2427">
      <c r="A2427" s="154" t="s">
        <v>5649</v>
      </c>
      <c r="B2427" s="154" t="s">
        <v>5650</v>
      </c>
      <c r="D2427" s="154">
        <v>2.0</v>
      </c>
      <c r="E2427" s="154" t="s">
        <v>761</v>
      </c>
      <c r="F2427" s="154" t="s">
        <v>5652</v>
      </c>
      <c r="G2427" s="154">
        <v>0.0</v>
      </c>
      <c r="H2427" s="156">
        <v>0.0</v>
      </c>
      <c r="I2427" s="154">
        <v>0.0</v>
      </c>
      <c r="J2427" s="156">
        <v>0.0</v>
      </c>
      <c r="K2427" s="154" t="s">
        <v>1059</v>
      </c>
    </row>
    <row r="2428">
      <c r="A2428" s="154" t="s">
        <v>5653</v>
      </c>
      <c r="B2428" s="155"/>
      <c r="C2428" s="154" t="s">
        <v>5654</v>
      </c>
      <c r="D2428" s="155"/>
      <c r="E2428" s="155"/>
      <c r="F2428" s="154" t="s">
        <v>5655</v>
      </c>
      <c r="G2428" s="154">
        <v>5.5953253E8</v>
      </c>
      <c r="H2428" s="156">
        <v>0.0</v>
      </c>
      <c r="I2428" s="154" t="s">
        <v>5656</v>
      </c>
      <c r="J2428" s="156">
        <v>0.0</v>
      </c>
      <c r="K2428" s="154" t="s">
        <v>240</v>
      </c>
    </row>
    <row r="2429">
      <c r="A2429" s="154" t="s">
        <v>5653</v>
      </c>
      <c r="B2429" s="154" t="s">
        <v>5654</v>
      </c>
      <c r="D2429" s="154">
        <v>2.0</v>
      </c>
      <c r="E2429" s="154" t="s">
        <v>761</v>
      </c>
      <c r="F2429" s="154" t="s">
        <v>792</v>
      </c>
      <c r="G2429" s="154" t="s">
        <v>793</v>
      </c>
      <c r="H2429" s="154" t="s">
        <v>794</v>
      </c>
      <c r="I2429" s="156">
        <v>0.0</v>
      </c>
      <c r="J2429" s="156">
        <v>0.0</v>
      </c>
      <c r="K2429" s="156">
        <v>0.0</v>
      </c>
    </row>
    <row r="2430">
      <c r="A2430" s="154" t="s">
        <v>5657</v>
      </c>
      <c r="B2430" s="154" t="s">
        <v>5658</v>
      </c>
      <c r="D2430" s="154">
        <v>2.0</v>
      </c>
      <c r="E2430" s="154" t="s">
        <v>761</v>
      </c>
      <c r="F2430" s="154" t="s">
        <v>5659</v>
      </c>
      <c r="G2430" s="156">
        <v>0.0</v>
      </c>
      <c r="H2430" s="154" t="s">
        <v>5660</v>
      </c>
      <c r="I2430" s="154" t="s">
        <v>5661</v>
      </c>
      <c r="J2430" s="156">
        <v>0.0</v>
      </c>
      <c r="K2430" s="154" t="s">
        <v>240</v>
      </c>
    </row>
    <row r="2431">
      <c r="A2431" s="154" t="s">
        <v>5657</v>
      </c>
      <c r="B2431" s="155"/>
      <c r="C2431" s="154" t="s">
        <v>5658</v>
      </c>
      <c r="D2431" s="155"/>
      <c r="E2431" s="155"/>
      <c r="F2431" s="154" t="s">
        <v>5659</v>
      </c>
      <c r="G2431" s="156">
        <v>0.0</v>
      </c>
      <c r="H2431" s="154" t="s">
        <v>5660</v>
      </c>
      <c r="I2431" s="154" t="s">
        <v>5661</v>
      </c>
      <c r="J2431" s="156">
        <v>0.0</v>
      </c>
      <c r="K2431" s="154" t="s">
        <v>240</v>
      </c>
    </row>
    <row r="2432">
      <c r="A2432" s="154" t="s">
        <v>5662</v>
      </c>
      <c r="B2432" s="154" t="s">
        <v>5663</v>
      </c>
      <c r="D2432" s="154">
        <v>2.0</v>
      </c>
      <c r="E2432" s="154" t="s">
        <v>761</v>
      </c>
      <c r="F2432" s="154" t="s">
        <v>5664</v>
      </c>
      <c r="G2432" s="154">
        <v>9.718042374E9</v>
      </c>
      <c r="H2432" s="154" t="s">
        <v>5665</v>
      </c>
      <c r="I2432" s="156">
        <v>0.0</v>
      </c>
      <c r="J2432" s="156">
        <v>0.0</v>
      </c>
      <c r="K2432" s="156">
        <v>0.0</v>
      </c>
    </row>
    <row r="2433">
      <c r="A2433" s="154" t="s">
        <v>5662</v>
      </c>
      <c r="B2433" s="155"/>
      <c r="C2433" s="154" t="s">
        <v>5663</v>
      </c>
      <c r="D2433" s="155"/>
      <c r="E2433" s="155"/>
      <c r="F2433" s="154" t="s">
        <v>5664</v>
      </c>
      <c r="G2433" s="154">
        <v>9.718042374E9</v>
      </c>
      <c r="H2433" s="154" t="s">
        <v>5665</v>
      </c>
      <c r="I2433" s="156">
        <v>0.0</v>
      </c>
      <c r="J2433" s="156">
        <v>0.0</v>
      </c>
      <c r="K2433" s="156">
        <v>0.0</v>
      </c>
    </row>
    <row r="2434">
      <c r="A2434" s="154" t="s">
        <v>5666</v>
      </c>
      <c r="B2434" s="154" t="s">
        <v>5667</v>
      </c>
      <c r="D2434" s="154">
        <v>2.0</v>
      </c>
      <c r="E2434" s="154" t="s">
        <v>761</v>
      </c>
      <c r="F2434" s="154" t="s">
        <v>5664</v>
      </c>
      <c r="G2434" s="154">
        <v>9.718042374E9</v>
      </c>
      <c r="H2434" s="154" t="s">
        <v>5665</v>
      </c>
      <c r="I2434" s="156">
        <v>0.0</v>
      </c>
      <c r="J2434" s="156">
        <v>0.0</v>
      </c>
      <c r="K2434" s="156">
        <v>0.0</v>
      </c>
    </row>
    <row r="2435">
      <c r="A2435" s="154" t="s">
        <v>5666</v>
      </c>
      <c r="B2435" s="155"/>
      <c r="C2435" s="154" t="s">
        <v>5667</v>
      </c>
      <c r="D2435" s="155"/>
      <c r="E2435" s="155"/>
      <c r="F2435" s="154" t="s">
        <v>5664</v>
      </c>
      <c r="G2435" s="154">
        <v>9.718042374E9</v>
      </c>
      <c r="H2435" s="154" t="s">
        <v>5665</v>
      </c>
      <c r="I2435" s="156">
        <v>0.0</v>
      </c>
      <c r="J2435" s="156">
        <v>0.0</v>
      </c>
      <c r="K2435" s="156">
        <v>0.0</v>
      </c>
    </row>
    <row r="2436">
      <c r="A2436" s="154" t="s">
        <v>5668</v>
      </c>
      <c r="B2436" s="154" t="s">
        <v>5669</v>
      </c>
      <c r="D2436" s="154">
        <v>2.0</v>
      </c>
      <c r="E2436" s="154" t="s">
        <v>761</v>
      </c>
      <c r="F2436" s="154" t="s">
        <v>5670</v>
      </c>
      <c r="G2436" s="154">
        <v>9.71505535719E11</v>
      </c>
      <c r="H2436" s="156">
        <v>0.0</v>
      </c>
      <c r="I2436" s="154">
        <v>9.71503519341E11</v>
      </c>
      <c r="J2436" s="156">
        <v>0.0</v>
      </c>
      <c r="K2436" s="154" t="s">
        <v>914</v>
      </c>
    </row>
    <row r="2437">
      <c r="A2437" s="154" t="s">
        <v>5668</v>
      </c>
      <c r="B2437" s="155"/>
      <c r="C2437" s="154" t="s">
        <v>5669</v>
      </c>
      <c r="D2437" s="155"/>
      <c r="E2437" s="155"/>
      <c r="F2437" s="154" t="s">
        <v>5670</v>
      </c>
      <c r="G2437" s="154">
        <v>9.71505535719E11</v>
      </c>
      <c r="H2437" s="156">
        <v>0.0</v>
      </c>
      <c r="I2437" s="154">
        <v>9.71503519341E11</v>
      </c>
      <c r="J2437" s="156">
        <v>0.0</v>
      </c>
      <c r="K2437" s="154" t="s">
        <v>914</v>
      </c>
    </row>
    <row r="2438">
      <c r="A2438" s="154" t="s">
        <v>5671</v>
      </c>
      <c r="B2438" s="155"/>
      <c r="C2438" s="154" t="s">
        <v>5672</v>
      </c>
      <c r="D2438" s="155"/>
      <c r="E2438" s="155"/>
      <c r="F2438" s="154" t="s">
        <v>5673</v>
      </c>
      <c r="G2438" s="156">
        <v>0.0</v>
      </c>
      <c r="H2438" s="154" t="s">
        <v>5674</v>
      </c>
      <c r="I2438" s="154" t="s">
        <v>5675</v>
      </c>
      <c r="J2438" s="156">
        <v>0.0</v>
      </c>
      <c r="K2438" s="154" t="s">
        <v>207</v>
      </c>
    </row>
    <row r="2439">
      <c r="A2439" s="154" t="s">
        <v>5671</v>
      </c>
      <c r="B2439" s="154" t="s">
        <v>5672</v>
      </c>
      <c r="D2439" s="154">
        <v>2.0</v>
      </c>
      <c r="E2439" s="154" t="s">
        <v>761</v>
      </c>
      <c r="F2439" s="154" t="s">
        <v>5673</v>
      </c>
      <c r="G2439" s="156">
        <v>0.0</v>
      </c>
      <c r="H2439" s="154" t="s">
        <v>5674</v>
      </c>
      <c r="I2439" s="154" t="s">
        <v>5675</v>
      </c>
      <c r="J2439" s="156">
        <v>0.0</v>
      </c>
      <c r="K2439" s="154" t="s">
        <v>207</v>
      </c>
    </row>
    <row r="2440">
      <c r="A2440" s="154" t="s">
        <v>5676</v>
      </c>
      <c r="B2440" s="155"/>
      <c r="C2440" s="154" t="s">
        <v>5677</v>
      </c>
      <c r="D2440" s="155"/>
      <c r="E2440" s="155"/>
      <c r="F2440" s="154" t="s">
        <v>5678</v>
      </c>
      <c r="G2440" s="155">
        <f t="shared" ref="G2440:G2441" si="15">+971-4-2256386</f>
        <v>-2255419</v>
      </c>
      <c r="H2440" s="154" t="s">
        <v>5679</v>
      </c>
      <c r="I2440" s="154" t="s">
        <v>2233</v>
      </c>
      <c r="J2440" s="156">
        <v>0.0</v>
      </c>
      <c r="K2440" s="154" t="s">
        <v>361</v>
      </c>
    </row>
    <row r="2441">
      <c r="A2441" s="154" t="s">
        <v>5676</v>
      </c>
      <c r="B2441" s="154" t="s">
        <v>5677</v>
      </c>
      <c r="D2441" s="154">
        <v>2.0</v>
      </c>
      <c r="E2441" s="154" t="s">
        <v>761</v>
      </c>
      <c r="F2441" s="154" t="s">
        <v>5680</v>
      </c>
      <c r="G2441" s="155">
        <f t="shared" si="15"/>
        <v>-2255419</v>
      </c>
      <c r="H2441" s="154" t="s">
        <v>5679</v>
      </c>
      <c r="I2441" s="154" t="s">
        <v>2233</v>
      </c>
      <c r="J2441" s="156">
        <v>0.0</v>
      </c>
      <c r="K2441" s="154" t="s">
        <v>361</v>
      </c>
    </row>
    <row r="2442">
      <c r="A2442" s="154" t="s">
        <v>5681</v>
      </c>
      <c r="B2442" s="154" t="s">
        <v>5682</v>
      </c>
      <c r="D2442" s="154">
        <v>2.0</v>
      </c>
      <c r="E2442" s="154" t="s">
        <v>761</v>
      </c>
      <c r="F2442" s="154" t="s">
        <v>5257</v>
      </c>
      <c r="G2442" s="156">
        <v>0.0</v>
      </c>
      <c r="H2442" s="154" t="s">
        <v>5258</v>
      </c>
      <c r="I2442" s="154" t="s">
        <v>5259</v>
      </c>
      <c r="J2442" s="154" t="s">
        <v>5260</v>
      </c>
      <c r="K2442" s="154" t="s">
        <v>776</v>
      </c>
    </row>
    <row r="2443">
      <c r="A2443" s="154" t="s">
        <v>5681</v>
      </c>
      <c r="B2443" s="155"/>
      <c r="C2443" s="154" t="s">
        <v>5682</v>
      </c>
      <c r="D2443" s="155"/>
      <c r="E2443" s="155"/>
      <c r="F2443" s="154" t="s">
        <v>5683</v>
      </c>
      <c r="G2443" s="156">
        <v>0.0</v>
      </c>
      <c r="H2443" s="154" t="s">
        <v>5258</v>
      </c>
      <c r="I2443" s="154" t="s">
        <v>5684</v>
      </c>
      <c r="J2443" s="154" t="s">
        <v>5260</v>
      </c>
      <c r="K2443" s="154" t="s">
        <v>776</v>
      </c>
    </row>
    <row r="2444">
      <c r="A2444" s="154" t="s">
        <v>5685</v>
      </c>
      <c r="B2444" s="155"/>
      <c r="C2444" s="154" t="s">
        <v>5686</v>
      </c>
      <c r="D2444" s="155"/>
      <c r="E2444" s="155"/>
      <c r="F2444" s="154" t="s">
        <v>1987</v>
      </c>
      <c r="G2444" s="154">
        <v>4.3329204E7</v>
      </c>
      <c r="H2444" s="156">
        <v>0.0</v>
      </c>
      <c r="I2444" s="156">
        <v>0.0</v>
      </c>
      <c r="J2444" s="156">
        <v>0.0</v>
      </c>
      <c r="K2444" s="156">
        <v>0.0</v>
      </c>
    </row>
    <row r="2445">
      <c r="A2445" s="154" t="s">
        <v>5685</v>
      </c>
      <c r="B2445" s="154" t="s">
        <v>5686</v>
      </c>
      <c r="D2445" s="154">
        <v>2.0</v>
      </c>
      <c r="E2445" s="154" t="s">
        <v>761</v>
      </c>
      <c r="F2445" s="154" t="s">
        <v>1987</v>
      </c>
      <c r="G2445" s="154">
        <v>4.3329204E7</v>
      </c>
      <c r="H2445" s="156">
        <v>0.0</v>
      </c>
      <c r="I2445" s="156">
        <v>0.0</v>
      </c>
      <c r="J2445" s="156">
        <v>0.0</v>
      </c>
      <c r="K2445" s="156">
        <v>0.0</v>
      </c>
    </row>
    <row r="2446">
      <c r="A2446" s="154" t="s">
        <v>5687</v>
      </c>
      <c r="B2446" s="155"/>
      <c r="C2446" s="154" t="s">
        <v>5688</v>
      </c>
      <c r="D2446" s="155"/>
      <c r="E2446" s="155"/>
      <c r="F2446" s="154" t="s">
        <v>1987</v>
      </c>
      <c r="G2446" s="154">
        <v>4.3329204E7</v>
      </c>
      <c r="H2446" s="156">
        <v>0.0</v>
      </c>
      <c r="I2446" s="156">
        <v>0.0</v>
      </c>
      <c r="J2446" s="156">
        <v>0.0</v>
      </c>
      <c r="K2446" s="156">
        <v>0.0</v>
      </c>
    </row>
    <row r="2447">
      <c r="A2447" s="154" t="s">
        <v>5687</v>
      </c>
      <c r="B2447" s="154" t="s">
        <v>5688</v>
      </c>
      <c r="D2447" s="154">
        <v>2.0</v>
      </c>
      <c r="E2447" s="154" t="s">
        <v>761</v>
      </c>
      <c r="F2447" s="154" t="s">
        <v>1987</v>
      </c>
      <c r="G2447" s="154">
        <v>4.3329204E7</v>
      </c>
      <c r="H2447" s="156">
        <v>0.0</v>
      </c>
      <c r="I2447" s="156">
        <v>0.0</v>
      </c>
      <c r="J2447" s="156">
        <v>0.0</v>
      </c>
      <c r="K2447" s="156">
        <v>0.0</v>
      </c>
    </row>
    <row r="2448">
      <c r="A2448" s="154" t="s">
        <v>5689</v>
      </c>
      <c r="B2448" s="155"/>
      <c r="C2448" s="154" t="s">
        <v>5690</v>
      </c>
      <c r="D2448" s="155"/>
      <c r="E2448" s="155"/>
      <c r="F2448" s="154" t="s">
        <v>1987</v>
      </c>
      <c r="G2448" s="154">
        <v>4.3329204E7</v>
      </c>
      <c r="H2448" s="156">
        <v>0.0</v>
      </c>
      <c r="I2448" s="156">
        <v>0.0</v>
      </c>
      <c r="J2448" s="156">
        <v>0.0</v>
      </c>
      <c r="K2448" s="156">
        <v>0.0</v>
      </c>
    </row>
    <row r="2449">
      <c r="A2449" s="154" t="s">
        <v>5689</v>
      </c>
      <c r="B2449" s="154" t="s">
        <v>5690</v>
      </c>
      <c r="D2449" s="154">
        <v>2.0</v>
      </c>
      <c r="E2449" s="154" t="s">
        <v>761</v>
      </c>
      <c r="F2449" s="154" t="s">
        <v>1987</v>
      </c>
      <c r="G2449" s="154">
        <v>4.3329204E7</v>
      </c>
      <c r="H2449" s="156">
        <v>0.0</v>
      </c>
      <c r="I2449" s="156">
        <v>0.0</v>
      </c>
      <c r="J2449" s="156">
        <v>0.0</v>
      </c>
      <c r="K2449" s="156">
        <v>0.0</v>
      </c>
    </row>
    <row r="2450">
      <c r="A2450" s="154" t="s">
        <v>5691</v>
      </c>
      <c r="B2450" s="155"/>
      <c r="C2450" s="154" t="s">
        <v>5692</v>
      </c>
      <c r="D2450" s="155"/>
      <c r="E2450" s="155"/>
      <c r="F2450" s="154" t="s">
        <v>1987</v>
      </c>
      <c r="G2450" s="154">
        <v>4.3329204E7</v>
      </c>
      <c r="H2450" s="156">
        <v>0.0</v>
      </c>
      <c r="I2450" s="156">
        <v>0.0</v>
      </c>
      <c r="J2450" s="156">
        <v>0.0</v>
      </c>
      <c r="K2450" s="156">
        <v>0.0</v>
      </c>
    </row>
    <row r="2451">
      <c r="A2451" s="154" t="s">
        <v>5691</v>
      </c>
      <c r="B2451" s="154" t="s">
        <v>5692</v>
      </c>
      <c r="D2451" s="154">
        <v>2.0</v>
      </c>
      <c r="E2451" s="154" t="s">
        <v>761</v>
      </c>
      <c r="F2451" s="154" t="s">
        <v>1987</v>
      </c>
      <c r="G2451" s="154">
        <v>4.3329204E7</v>
      </c>
      <c r="H2451" s="156">
        <v>0.0</v>
      </c>
      <c r="I2451" s="156">
        <v>0.0</v>
      </c>
      <c r="J2451" s="156">
        <v>0.0</v>
      </c>
      <c r="K2451" s="156">
        <v>0.0</v>
      </c>
    </row>
    <row r="2452">
      <c r="A2452" s="154" t="s">
        <v>5693</v>
      </c>
      <c r="B2452" s="154" t="s">
        <v>5694</v>
      </c>
      <c r="D2452" s="154">
        <v>2.0</v>
      </c>
      <c r="E2452" s="154" t="s">
        <v>761</v>
      </c>
      <c r="F2452" s="154" t="s">
        <v>1987</v>
      </c>
      <c r="G2452" s="154">
        <v>4.3329204E7</v>
      </c>
      <c r="H2452" s="156">
        <v>0.0</v>
      </c>
      <c r="I2452" s="156">
        <v>0.0</v>
      </c>
      <c r="J2452" s="156">
        <v>0.0</v>
      </c>
      <c r="K2452" s="156">
        <v>0.0</v>
      </c>
    </row>
    <row r="2453">
      <c r="A2453" s="154" t="s">
        <v>5693</v>
      </c>
      <c r="B2453" s="155"/>
      <c r="C2453" s="154" t="s">
        <v>5694</v>
      </c>
      <c r="D2453" s="155"/>
      <c r="E2453" s="155"/>
      <c r="F2453" s="154" t="s">
        <v>1987</v>
      </c>
      <c r="G2453" s="154">
        <v>4.3329204E7</v>
      </c>
      <c r="H2453" s="156">
        <v>0.0</v>
      </c>
      <c r="I2453" s="156">
        <v>0.0</v>
      </c>
      <c r="J2453" s="156">
        <v>0.0</v>
      </c>
      <c r="K2453" s="156">
        <v>0.0</v>
      </c>
    </row>
    <row r="2454">
      <c r="A2454" s="154" t="s">
        <v>5695</v>
      </c>
      <c r="B2454" s="155"/>
      <c r="C2454" s="154" t="s">
        <v>5696</v>
      </c>
      <c r="D2454" s="155"/>
      <c r="E2454" s="155"/>
      <c r="F2454" s="154" t="s">
        <v>1987</v>
      </c>
      <c r="G2454" s="154">
        <v>4.3329204E7</v>
      </c>
      <c r="H2454" s="156">
        <v>0.0</v>
      </c>
      <c r="I2454" s="156">
        <v>0.0</v>
      </c>
      <c r="J2454" s="156">
        <v>0.0</v>
      </c>
      <c r="K2454" s="156">
        <v>0.0</v>
      </c>
    </row>
    <row r="2455">
      <c r="A2455" s="154" t="s">
        <v>5695</v>
      </c>
      <c r="B2455" s="154" t="s">
        <v>5696</v>
      </c>
      <c r="D2455" s="154">
        <v>2.0</v>
      </c>
      <c r="E2455" s="154" t="s">
        <v>761</v>
      </c>
      <c r="F2455" s="154" t="s">
        <v>1987</v>
      </c>
      <c r="G2455" s="154">
        <v>4.3329204E7</v>
      </c>
      <c r="H2455" s="156">
        <v>0.0</v>
      </c>
      <c r="I2455" s="156">
        <v>0.0</v>
      </c>
      <c r="J2455" s="156">
        <v>0.0</v>
      </c>
      <c r="K2455" s="156">
        <v>0.0</v>
      </c>
    </row>
    <row r="2456">
      <c r="A2456" s="154" t="s">
        <v>5697</v>
      </c>
      <c r="B2456" s="155"/>
      <c r="C2456" s="154" t="s">
        <v>5698</v>
      </c>
      <c r="D2456" s="155"/>
      <c r="E2456" s="155"/>
      <c r="F2456" s="154" t="s">
        <v>1987</v>
      </c>
      <c r="G2456" s="154">
        <v>4.3329204E7</v>
      </c>
      <c r="H2456" s="156">
        <v>0.0</v>
      </c>
      <c r="I2456" s="156">
        <v>0.0</v>
      </c>
      <c r="J2456" s="156">
        <v>0.0</v>
      </c>
      <c r="K2456" s="156">
        <v>0.0</v>
      </c>
    </row>
    <row r="2457">
      <c r="A2457" s="154" t="s">
        <v>5697</v>
      </c>
      <c r="B2457" s="154" t="s">
        <v>5698</v>
      </c>
      <c r="D2457" s="154">
        <v>2.0</v>
      </c>
      <c r="E2457" s="154" t="s">
        <v>761</v>
      </c>
      <c r="F2457" s="154" t="s">
        <v>1987</v>
      </c>
      <c r="G2457" s="154">
        <v>4.3329204E7</v>
      </c>
      <c r="H2457" s="156">
        <v>0.0</v>
      </c>
      <c r="I2457" s="156">
        <v>0.0</v>
      </c>
      <c r="J2457" s="156">
        <v>0.0</v>
      </c>
      <c r="K2457" s="156">
        <v>0.0</v>
      </c>
    </row>
    <row r="2458">
      <c r="A2458" s="154" t="s">
        <v>5699</v>
      </c>
      <c r="B2458" s="154" t="s">
        <v>5700</v>
      </c>
      <c r="D2458" s="154">
        <v>2.0</v>
      </c>
      <c r="E2458" s="154" t="s">
        <v>761</v>
      </c>
      <c r="F2458" s="154" t="s">
        <v>1987</v>
      </c>
      <c r="G2458" s="154">
        <v>4.3329204E7</v>
      </c>
      <c r="H2458" s="156">
        <v>0.0</v>
      </c>
      <c r="I2458" s="156">
        <v>0.0</v>
      </c>
      <c r="J2458" s="156">
        <v>0.0</v>
      </c>
      <c r="K2458" s="156">
        <v>0.0</v>
      </c>
    </row>
    <row r="2459">
      <c r="A2459" s="154" t="s">
        <v>5699</v>
      </c>
      <c r="B2459" s="155"/>
      <c r="C2459" s="154" t="s">
        <v>5700</v>
      </c>
      <c r="D2459" s="155"/>
      <c r="E2459" s="155"/>
      <c r="F2459" s="154" t="s">
        <v>1987</v>
      </c>
      <c r="G2459" s="154">
        <v>4.3329204E7</v>
      </c>
      <c r="H2459" s="156">
        <v>0.0</v>
      </c>
      <c r="I2459" s="156">
        <v>0.0</v>
      </c>
      <c r="J2459" s="156">
        <v>0.0</v>
      </c>
      <c r="K2459" s="156">
        <v>0.0</v>
      </c>
    </row>
    <row r="2460">
      <c r="A2460" s="154" t="s">
        <v>5701</v>
      </c>
      <c r="B2460" s="155"/>
      <c r="C2460" s="154" t="s">
        <v>5702</v>
      </c>
      <c r="D2460" s="155"/>
      <c r="E2460" s="155"/>
      <c r="F2460" s="154" t="s">
        <v>1987</v>
      </c>
      <c r="G2460" s="154">
        <v>4.3329204E7</v>
      </c>
      <c r="H2460" s="156">
        <v>0.0</v>
      </c>
      <c r="I2460" s="156">
        <v>0.0</v>
      </c>
      <c r="J2460" s="156">
        <v>0.0</v>
      </c>
      <c r="K2460" s="156">
        <v>0.0</v>
      </c>
    </row>
    <row r="2461">
      <c r="A2461" s="154" t="s">
        <v>5701</v>
      </c>
      <c r="B2461" s="154" t="s">
        <v>5702</v>
      </c>
      <c r="D2461" s="154">
        <v>2.0</v>
      </c>
      <c r="E2461" s="154" t="s">
        <v>761</v>
      </c>
      <c r="F2461" s="154" t="s">
        <v>1987</v>
      </c>
      <c r="G2461" s="154">
        <v>4.3329204E7</v>
      </c>
      <c r="H2461" s="156">
        <v>0.0</v>
      </c>
      <c r="I2461" s="156">
        <v>0.0</v>
      </c>
      <c r="J2461" s="156">
        <v>0.0</v>
      </c>
      <c r="K2461" s="156">
        <v>0.0</v>
      </c>
    </row>
    <row r="2462">
      <c r="A2462" s="154" t="s">
        <v>5703</v>
      </c>
      <c r="B2462" s="155"/>
      <c r="C2462" s="154" t="s">
        <v>5704</v>
      </c>
      <c r="D2462" s="155"/>
      <c r="E2462" s="155"/>
      <c r="F2462" s="154" t="s">
        <v>1987</v>
      </c>
      <c r="G2462" s="154">
        <v>4.3329204E7</v>
      </c>
      <c r="H2462" s="156">
        <v>0.0</v>
      </c>
      <c r="I2462" s="156">
        <v>0.0</v>
      </c>
      <c r="J2462" s="156">
        <v>0.0</v>
      </c>
      <c r="K2462" s="156">
        <v>0.0</v>
      </c>
    </row>
    <row r="2463">
      <c r="A2463" s="154" t="s">
        <v>5703</v>
      </c>
      <c r="B2463" s="154" t="s">
        <v>5704</v>
      </c>
      <c r="D2463" s="154">
        <v>2.0</v>
      </c>
      <c r="E2463" s="154" t="s">
        <v>761</v>
      </c>
      <c r="F2463" s="154" t="s">
        <v>1987</v>
      </c>
      <c r="G2463" s="154">
        <v>4.3329204E7</v>
      </c>
      <c r="H2463" s="156">
        <v>0.0</v>
      </c>
      <c r="I2463" s="156">
        <v>0.0</v>
      </c>
      <c r="J2463" s="156">
        <v>0.0</v>
      </c>
      <c r="K2463" s="156">
        <v>0.0</v>
      </c>
    </row>
    <row r="2464">
      <c r="A2464" s="154" t="s">
        <v>5705</v>
      </c>
      <c r="B2464" s="155"/>
      <c r="C2464" s="154" t="s">
        <v>5706</v>
      </c>
      <c r="D2464" s="155"/>
      <c r="E2464" s="155"/>
      <c r="F2464" s="154" t="s">
        <v>1987</v>
      </c>
      <c r="G2464" s="154">
        <v>4.3329204E7</v>
      </c>
      <c r="H2464" s="156">
        <v>0.0</v>
      </c>
      <c r="I2464" s="156">
        <v>0.0</v>
      </c>
      <c r="J2464" s="156">
        <v>0.0</v>
      </c>
      <c r="K2464" s="156">
        <v>0.0</v>
      </c>
    </row>
    <row r="2465">
      <c r="A2465" s="154" t="s">
        <v>5705</v>
      </c>
      <c r="B2465" s="154" t="s">
        <v>5706</v>
      </c>
      <c r="D2465" s="154">
        <v>2.0</v>
      </c>
      <c r="E2465" s="154" t="s">
        <v>761</v>
      </c>
      <c r="F2465" s="154" t="s">
        <v>1987</v>
      </c>
      <c r="G2465" s="154">
        <v>4.3329204E7</v>
      </c>
      <c r="H2465" s="156">
        <v>0.0</v>
      </c>
      <c r="I2465" s="156">
        <v>0.0</v>
      </c>
      <c r="J2465" s="156">
        <v>0.0</v>
      </c>
      <c r="K2465" s="156">
        <v>0.0</v>
      </c>
    </row>
    <row r="2466">
      <c r="A2466" s="154" t="s">
        <v>5707</v>
      </c>
      <c r="B2466" s="155"/>
      <c r="C2466" s="154" t="s">
        <v>5708</v>
      </c>
      <c r="D2466" s="155"/>
      <c r="E2466" s="155"/>
      <c r="F2466" s="154" t="s">
        <v>1987</v>
      </c>
      <c r="G2466" s="154">
        <v>4.3329204E7</v>
      </c>
      <c r="H2466" s="156">
        <v>0.0</v>
      </c>
      <c r="I2466" s="156">
        <v>0.0</v>
      </c>
      <c r="J2466" s="156">
        <v>0.0</v>
      </c>
      <c r="K2466" s="156">
        <v>0.0</v>
      </c>
    </row>
    <row r="2467">
      <c r="A2467" s="154" t="s">
        <v>5707</v>
      </c>
      <c r="B2467" s="154" t="s">
        <v>5708</v>
      </c>
      <c r="D2467" s="154">
        <v>2.0</v>
      </c>
      <c r="E2467" s="154" t="s">
        <v>761</v>
      </c>
      <c r="F2467" s="154" t="s">
        <v>1987</v>
      </c>
      <c r="G2467" s="154">
        <v>4.3329204E7</v>
      </c>
      <c r="H2467" s="156">
        <v>0.0</v>
      </c>
      <c r="I2467" s="156">
        <v>0.0</v>
      </c>
      <c r="J2467" s="156">
        <v>0.0</v>
      </c>
      <c r="K2467" s="156">
        <v>0.0</v>
      </c>
    </row>
    <row r="2468">
      <c r="A2468" s="154" t="s">
        <v>5709</v>
      </c>
      <c r="B2468" s="154" t="s">
        <v>5710</v>
      </c>
      <c r="D2468" s="154">
        <v>2.0</v>
      </c>
      <c r="E2468" s="154" t="s">
        <v>761</v>
      </c>
      <c r="F2468" s="154" t="s">
        <v>1987</v>
      </c>
      <c r="G2468" s="154" t="s">
        <v>5711</v>
      </c>
      <c r="H2468" s="156">
        <v>0.0</v>
      </c>
      <c r="I2468" s="156">
        <v>0.0</v>
      </c>
      <c r="J2468" s="156">
        <v>0.0</v>
      </c>
      <c r="K2468" s="156">
        <v>0.0</v>
      </c>
    </row>
    <row r="2469">
      <c r="A2469" s="154" t="s">
        <v>5709</v>
      </c>
      <c r="B2469" s="155"/>
      <c r="C2469" s="154" t="s">
        <v>5710</v>
      </c>
      <c r="D2469" s="155"/>
      <c r="E2469" s="155"/>
      <c r="F2469" s="154" t="s">
        <v>1987</v>
      </c>
      <c r="G2469" s="154" t="s">
        <v>5711</v>
      </c>
      <c r="H2469" s="156">
        <v>0.0</v>
      </c>
      <c r="I2469" s="156">
        <v>0.0</v>
      </c>
      <c r="J2469" s="156">
        <v>0.0</v>
      </c>
      <c r="K2469" s="156">
        <v>0.0</v>
      </c>
    </row>
    <row r="2470">
      <c r="A2470" s="154" t="s">
        <v>5712</v>
      </c>
      <c r="B2470" s="154" t="s">
        <v>5713</v>
      </c>
      <c r="D2470" s="154">
        <v>2.0</v>
      </c>
      <c r="E2470" s="154" t="s">
        <v>761</v>
      </c>
      <c r="F2470" s="154" t="s">
        <v>1987</v>
      </c>
      <c r="G2470" s="154">
        <v>4.3329204E7</v>
      </c>
      <c r="H2470" s="156">
        <v>0.0</v>
      </c>
      <c r="I2470" s="156">
        <v>0.0</v>
      </c>
      <c r="J2470" s="156">
        <v>0.0</v>
      </c>
      <c r="K2470" s="156">
        <v>0.0</v>
      </c>
    </row>
    <row r="2471">
      <c r="A2471" s="154" t="s">
        <v>5712</v>
      </c>
      <c r="B2471" s="155"/>
      <c r="C2471" s="154" t="s">
        <v>5713</v>
      </c>
      <c r="D2471" s="155"/>
      <c r="E2471" s="155"/>
      <c r="F2471" s="154" t="s">
        <v>1987</v>
      </c>
      <c r="G2471" s="154">
        <v>4.3329204E7</v>
      </c>
      <c r="H2471" s="156">
        <v>0.0</v>
      </c>
      <c r="I2471" s="156">
        <v>0.0</v>
      </c>
      <c r="J2471" s="156">
        <v>0.0</v>
      </c>
      <c r="K2471" s="156">
        <v>0.0</v>
      </c>
    </row>
    <row r="2472">
      <c r="A2472" s="154" t="s">
        <v>5714</v>
      </c>
      <c r="B2472" s="154" t="s">
        <v>5715</v>
      </c>
      <c r="D2472" s="154">
        <v>2.0</v>
      </c>
      <c r="E2472" s="154" t="s">
        <v>761</v>
      </c>
      <c r="F2472" s="154" t="s">
        <v>1987</v>
      </c>
      <c r="G2472" s="154">
        <v>4.3329204E7</v>
      </c>
      <c r="H2472" s="156">
        <v>0.0</v>
      </c>
      <c r="I2472" s="156">
        <v>0.0</v>
      </c>
      <c r="J2472" s="156">
        <v>0.0</v>
      </c>
      <c r="K2472" s="156">
        <v>0.0</v>
      </c>
    </row>
    <row r="2473">
      <c r="A2473" s="154" t="s">
        <v>5714</v>
      </c>
      <c r="B2473" s="155"/>
      <c r="C2473" s="154" t="s">
        <v>5715</v>
      </c>
      <c r="D2473" s="155"/>
      <c r="E2473" s="155"/>
      <c r="F2473" s="154" t="s">
        <v>1987</v>
      </c>
      <c r="G2473" s="154">
        <v>4.3329204E7</v>
      </c>
      <c r="H2473" s="156">
        <v>0.0</v>
      </c>
      <c r="I2473" s="156">
        <v>0.0</v>
      </c>
      <c r="J2473" s="156">
        <v>0.0</v>
      </c>
      <c r="K2473" s="156">
        <v>0.0</v>
      </c>
    </row>
    <row r="2474">
      <c r="A2474" s="154" t="s">
        <v>5716</v>
      </c>
      <c r="B2474" s="154" t="s">
        <v>5717</v>
      </c>
      <c r="D2474" s="154">
        <v>2.0</v>
      </c>
      <c r="E2474" s="154" t="s">
        <v>761</v>
      </c>
      <c r="F2474" s="154" t="s">
        <v>792</v>
      </c>
      <c r="G2474" s="154" t="s">
        <v>793</v>
      </c>
      <c r="H2474" s="154" t="s">
        <v>794</v>
      </c>
      <c r="I2474" s="156">
        <v>0.0</v>
      </c>
      <c r="J2474" s="156">
        <v>0.0</v>
      </c>
      <c r="K2474" s="156">
        <v>0.0</v>
      </c>
    </row>
    <row r="2475">
      <c r="A2475" s="154" t="s">
        <v>5716</v>
      </c>
      <c r="B2475" s="155"/>
      <c r="C2475" s="154" t="s">
        <v>5717</v>
      </c>
      <c r="D2475" s="155"/>
      <c r="E2475" s="155"/>
      <c r="F2475" s="154" t="s">
        <v>792</v>
      </c>
      <c r="G2475" s="154" t="s">
        <v>793</v>
      </c>
      <c r="H2475" s="154" t="s">
        <v>794</v>
      </c>
      <c r="I2475" s="156">
        <v>0.0</v>
      </c>
      <c r="J2475" s="156">
        <v>0.0</v>
      </c>
      <c r="K2475" s="156">
        <v>0.0</v>
      </c>
    </row>
    <row r="2476">
      <c r="A2476" s="154" t="s">
        <v>5718</v>
      </c>
      <c r="B2476" s="155"/>
      <c r="C2476" s="154" t="s">
        <v>5719</v>
      </c>
      <c r="D2476" s="155"/>
      <c r="E2476" s="155"/>
      <c r="F2476" s="154" t="s">
        <v>5720</v>
      </c>
      <c r="G2476" s="154">
        <v>4.2824726E7</v>
      </c>
      <c r="H2476" s="156">
        <v>0.0</v>
      </c>
      <c r="I2476" s="154">
        <v>9.71506442456E11</v>
      </c>
      <c r="J2476" s="156">
        <v>0.0</v>
      </c>
      <c r="K2476" s="154" t="s">
        <v>760</v>
      </c>
    </row>
    <row r="2477">
      <c r="A2477" s="154" t="s">
        <v>5718</v>
      </c>
      <c r="B2477" s="154" t="s">
        <v>5719</v>
      </c>
      <c r="D2477" s="154">
        <v>2.0</v>
      </c>
      <c r="E2477" s="154" t="s">
        <v>761</v>
      </c>
      <c r="F2477" s="154" t="s">
        <v>5721</v>
      </c>
      <c r="G2477" s="154">
        <v>5.06442456E8</v>
      </c>
      <c r="H2477" s="156">
        <v>0.0</v>
      </c>
      <c r="I2477" s="154">
        <v>5.06442456E8</v>
      </c>
      <c r="J2477" s="156">
        <v>0.0</v>
      </c>
      <c r="K2477" s="154" t="s">
        <v>760</v>
      </c>
    </row>
    <row r="2478">
      <c r="A2478" s="154" t="s">
        <v>5722</v>
      </c>
      <c r="B2478" s="155"/>
      <c r="C2478" s="154" t="s">
        <v>5723</v>
      </c>
      <c r="D2478" s="155"/>
      <c r="E2478" s="155"/>
      <c r="F2478" s="154" t="s">
        <v>5724</v>
      </c>
      <c r="G2478" s="154">
        <v>0.0</v>
      </c>
      <c r="H2478" s="156">
        <v>0.0</v>
      </c>
      <c r="I2478" s="156">
        <v>0.0</v>
      </c>
      <c r="J2478" s="156">
        <v>0.0</v>
      </c>
      <c r="K2478" s="156">
        <v>0.0</v>
      </c>
    </row>
    <row r="2479">
      <c r="A2479" s="154" t="s">
        <v>5722</v>
      </c>
      <c r="B2479" s="154" t="s">
        <v>5723</v>
      </c>
      <c r="C2479" s="155"/>
      <c r="D2479" s="154">
        <v>2.0</v>
      </c>
      <c r="E2479" s="154" t="s">
        <v>897</v>
      </c>
      <c r="F2479" s="154" t="s">
        <v>5724</v>
      </c>
      <c r="G2479" s="154">
        <v>0.0</v>
      </c>
      <c r="H2479" s="156">
        <v>0.0</v>
      </c>
      <c r="I2479" s="156">
        <v>0.0</v>
      </c>
      <c r="J2479" s="156">
        <v>0.0</v>
      </c>
      <c r="K2479" s="156">
        <v>0.0</v>
      </c>
    </row>
    <row r="2480">
      <c r="A2480" s="154" t="s">
        <v>5725</v>
      </c>
      <c r="B2480" s="154" t="s">
        <v>5726</v>
      </c>
      <c r="C2480" s="155"/>
      <c r="D2480" s="154">
        <v>2.0</v>
      </c>
      <c r="E2480" s="154" t="s">
        <v>897</v>
      </c>
      <c r="F2480" s="154" t="s">
        <v>5727</v>
      </c>
      <c r="G2480" s="154">
        <v>0.0</v>
      </c>
      <c r="H2480" s="154" t="s">
        <v>5728</v>
      </c>
      <c r="I2480" s="154">
        <v>9.71558871295E11</v>
      </c>
      <c r="J2480" s="156">
        <v>0.0</v>
      </c>
      <c r="K2480" s="154" t="s">
        <v>259</v>
      </c>
    </row>
    <row r="2481">
      <c r="A2481" s="154" t="s">
        <v>5725</v>
      </c>
      <c r="B2481" s="155"/>
      <c r="C2481" s="154" t="s">
        <v>5726</v>
      </c>
      <c r="D2481" s="155"/>
      <c r="E2481" s="155"/>
      <c r="F2481" s="154" t="s">
        <v>5727</v>
      </c>
      <c r="G2481" s="154">
        <v>0.0</v>
      </c>
      <c r="H2481" s="154" t="s">
        <v>5728</v>
      </c>
      <c r="I2481" s="154">
        <v>9.71558871295E11</v>
      </c>
      <c r="J2481" s="156">
        <v>0.0</v>
      </c>
      <c r="K2481" s="154" t="s">
        <v>259</v>
      </c>
    </row>
    <row r="2482">
      <c r="A2482" s="154" t="s">
        <v>5729</v>
      </c>
      <c r="B2482" s="155"/>
      <c r="C2482" s="154" t="s">
        <v>5730</v>
      </c>
      <c r="D2482" s="155"/>
      <c r="E2482" s="155"/>
      <c r="F2482" s="154" t="s">
        <v>5731</v>
      </c>
      <c r="G2482" s="156">
        <v>0.0</v>
      </c>
      <c r="H2482" s="154" t="s">
        <v>5732</v>
      </c>
      <c r="I2482" s="154" t="s">
        <v>5733</v>
      </c>
      <c r="J2482" s="154" t="s">
        <v>5734</v>
      </c>
      <c r="K2482" s="154" t="s">
        <v>329</v>
      </c>
    </row>
    <row r="2483">
      <c r="A2483" s="154" t="s">
        <v>5729</v>
      </c>
      <c r="B2483" s="154" t="s">
        <v>5730</v>
      </c>
      <c r="C2483" s="155"/>
      <c r="D2483" s="154">
        <v>2.0</v>
      </c>
      <c r="E2483" s="154" t="s">
        <v>897</v>
      </c>
      <c r="F2483" s="154" t="s">
        <v>5731</v>
      </c>
      <c r="G2483" s="156">
        <v>0.0</v>
      </c>
      <c r="H2483" s="154" t="s">
        <v>5732</v>
      </c>
      <c r="I2483" s="154" t="s">
        <v>5733</v>
      </c>
      <c r="J2483" s="154" t="s">
        <v>5734</v>
      </c>
      <c r="K2483" s="154" t="s">
        <v>329</v>
      </c>
    </row>
    <row r="2484">
      <c r="A2484" s="154" t="s">
        <v>5735</v>
      </c>
      <c r="B2484" s="154" t="s">
        <v>5736</v>
      </c>
      <c r="C2484" s="155"/>
      <c r="D2484" s="154">
        <v>2.0</v>
      </c>
      <c r="E2484" s="154" t="s">
        <v>897</v>
      </c>
      <c r="F2484" s="154" t="s">
        <v>5737</v>
      </c>
      <c r="G2484" s="156">
        <v>0.0</v>
      </c>
      <c r="H2484" s="156">
        <v>0.0</v>
      </c>
      <c r="I2484" s="154">
        <v>5.62060506E8</v>
      </c>
      <c r="J2484" s="156">
        <v>0.0</v>
      </c>
      <c r="K2484" s="154" t="s">
        <v>197</v>
      </c>
    </row>
    <row r="2485">
      <c r="A2485" s="154" t="s">
        <v>5735</v>
      </c>
      <c r="B2485" s="155"/>
      <c r="C2485" s="154" t="s">
        <v>5736</v>
      </c>
      <c r="D2485" s="155"/>
      <c r="E2485" s="155"/>
      <c r="F2485" s="154" t="s">
        <v>5737</v>
      </c>
      <c r="G2485" s="156">
        <v>0.0</v>
      </c>
      <c r="H2485" s="156">
        <v>0.0</v>
      </c>
      <c r="I2485" s="154">
        <v>5.62060506E8</v>
      </c>
      <c r="J2485" s="156">
        <v>0.0</v>
      </c>
      <c r="K2485" s="154" t="s">
        <v>197</v>
      </c>
    </row>
    <row r="2486">
      <c r="A2486" s="154" t="s">
        <v>5738</v>
      </c>
      <c r="B2486" s="155"/>
      <c r="C2486" s="154" t="s">
        <v>5739</v>
      </c>
      <c r="D2486" s="155"/>
      <c r="E2486" s="155"/>
      <c r="F2486" s="154" t="s">
        <v>5740</v>
      </c>
      <c r="G2486" s="156">
        <v>0.0</v>
      </c>
      <c r="H2486" s="156">
        <v>0.0</v>
      </c>
      <c r="I2486" s="154">
        <v>9.71507749418E11</v>
      </c>
      <c r="J2486" s="156">
        <v>0.0</v>
      </c>
      <c r="K2486" s="154" t="s">
        <v>361</v>
      </c>
    </row>
    <row r="2487">
      <c r="A2487" s="154" t="s">
        <v>5738</v>
      </c>
      <c r="B2487" s="154" t="s">
        <v>5739</v>
      </c>
      <c r="C2487" s="155"/>
      <c r="D2487" s="154">
        <v>2.0</v>
      </c>
      <c r="E2487" s="154" t="s">
        <v>897</v>
      </c>
      <c r="F2487" s="154" t="s">
        <v>5740</v>
      </c>
      <c r="G2487" s="156">
        <v>0.0</v>
      </c>
      <c r="H2487" s="156">
        <v>0.0</v>
      </c>
      <c r="I2487" s="154">
        <v>9.71507749418E11</v>
      </c>
      <c r="J2487" s="156">
        <v>0.0</v>
      </c>
      <c r="K2487" s="154" t="s">
        <v>361</v>
      </c>
    </row>
    <row r="2488">
      <c r="A2488" s="154" t="s">
        <v>5741</v>
      </c>
      <c r="B2488" s="155"/>
      <c r="C2488" s="154" t="s">
        <v>5742</v>
      </c>
      <c r="D2488" s="155"/>
      <c r="E2488" s="155"/>
      <c r="F2488" s="154" t="s">
        <v>5743</v>
      </c>
      <c r="G2488" s="154">
        <v>5.55084266E8</v>
      </c>
      <c r="H2488" s="156">
        <v>0.0</v>
      </c>
      <c r="I2488" s="156">
        <v>0.0</v>
      </c>
      <c r="J2488" s="156">
        <v>0.0</v>
      </c>
      <c r="K2488" s="154" t="s">
        <v>760</v>
      </c>
    </row>
    <row r="2489">
      <c r="A2489" s="154" t="s">
        <v>5741</v>
      </c>
      <c r="B2489" s="154" t="s">
        <v>5742</v>
      </c>
      <c r="C2489" s="155"/>
      <c r="D2489" s="154">
        <v>2.0</v>
      </c>
      <c r="E2489" s="154" t="s">
        <v>897</v>
      </c>
      <c r="F2489" s="154" t="s">
        <v>5743</v>
      </c>
      <c r="G2489" s="154">
        <v>5.55084266E8</v>
      </c>
      <c r="H2489" s="156">
        <v>0.0</v>
      </c>
      <c r="I2489" s="156">
        <v>0.0</v>
      </c>
      <c r="J2489" s="156">
        <v>0.0</v>
      </c>
      <c r="K2489" s="154" t="s">
        <v>760</v>
      </c>
    </row>
    <row r="2490">
      <c r="A2490" s="154" t="s">
        <v>5744</v>
      </c>
      <c r="B2490" s="154" t="s">
        <v>5745</v>
      </c>
      <c r="C2490" s="155"/>
      <c r="D2490" s="154">
        <v>2.0</v>
      </c>
      <c r="E2490" s="154" t="s">
        <v>897</v>
      </c>
      <c r="F2490" s="154" t="s">
        <v>5746</v>
      </c>
      <c r="G2490" s="154">
        <v>9.66505616912E11</v>
      </c>
      <c r="H2490" s="156">
        <v>0.0</v>
      </c>
      <c r="I2490" s="156">
        <v>0.0</v>
      </c>
      <c r="J2490" s="156">
        <v>0.0</v>
      </c>
      <c r="K2490" s="154" t="s">
        <v>914</v>
      </c>
    </row>
    <row r="2491">
      <c r="A2491" s="154" t="s">
        <v>5744</v>
      </c>
      <c r="B2491" s="155"/>
      <c r="C2491" s="154" t="s">
        <v>5745</v>
      </c>
      <c r="D2491" s="155"/>
      <c r="E2491" s="155"/>
      <c r="F2491" s="154" t="s">
        <v>5746</v>
      </c>
      <c r="G2491" s="154">
        <v>9.66505616912E11</v>
      </c>
      <c r="H2491" s="156">
        <v>0.0</v>
      </c>
      <c r="I2491" s="156">
        <v>0.0</v>
      </c>
      <c r="J2491" s="156">
        <v>0.0</v>
      </c>
      <c r="K2491" s="154" t="s">
        <v>914</v>
      </c>
    </row>
    <row r="2492">
      <c r="A2492" s="154" t="s">
        <v>5747</v>
      </c>
      <c r="B2492" s="154" t="s">
        <v>5748</v>
      </c>
      <c r="C2492" s="155"/>
      <c r="D2492" s="154">
        <v>2.0</v>
      </c>
      <c r="E2492" s="154" t="s">
        <v>897</v>
      </c>
      <c r="F2492" s="154" t="s">
        <v>5749</v>
      </c>
      <c r="G2492" s="156">
        <v>0.0</v>
      </c>
      <c r="H2492" s="156">
        <v>0.0</v>
      </c>
      <c r="I2492" s="154" t="s">
        <v>5750</v>
      </c>
      <c r="J2492" s="154" t="s">
        <v>5751</v>
      </c>
      <c r="K2492" s="154" t="s">
        <v>776</v>
      </c>
    </row>
    <row r="2493">
      <c r="A2493" s="154" t="s">
        <v>5747</v>
      </c>
      <c r="B2493" s="155"/>
      <c r="C2493" s="154" t="s">
        <v>5748</v>
      </c>
      <c r="D2493" s="155"/>
      <c r="E2493" s="155"/>
      <c r="F2493" s="154" t="s">
        <v>5749</v>
      </c>
      <c r="G2493" s="156">
        <v>0.0</v>
      </c>
      <c r="H2493" s="156">
        <v>0.0</v>
      </c>
      <c r="I2493" s="154" t="s">
        <v>5750</v>
      </c>
      <c r="J2493" s="154" t="s">
        <v>5751</v>
      </c>
      <c r="K2493" s="154" t="s">
        <v>776</v>
      </c>
    </row>
    <row r="2494">
      <c r="A2494" s="154" t="s">
        <v>5752</v>
      </c>
      <c r="B2494" s="154" t="s">
        <v>5753</v>
      </c>
      <c r="C2494" s="155"/>
      <c r="D2494" s="154">
        <v>2.0</v>
      </c>
      <c r="E2494" s="154" t="s">
        <v>897</v>
      </c>
      <c r="F2494" s="154" t="s">
        <v>5754</v>
      </c>
      <c r="G2494" s="156">
        <v>0.0</v>
      </c>
      <c r="H2494" s="154" t="s">
        <v>5755</v>
      </c>
      <c r="I2494" s="154" t="s">
        <v>2352</v>
      </c>
      <c r="J2494" s="156">
        <v>0.0</v>
      </c>
      <c r="K2494" s="154" t="s">
        <v>240</v>
      </c>
    </row>
    <row r="2495">
      <c r="A2495" s="154" t="s">
        <v>5752</v>
      </c>
      <c r="B2495" s="155"/>
      <c r="C2495" s="154" t="s">
        <v>5753</v>
      </c>
      <c r="D2495" s="155"/>
      <c r="E2495" s="155"/>
      <c r="F2495" s="154" t="s">
        <v>5754</v>
      </c>
      <c r="G2495" s="156">
        <v>0.0</v>
      </c>
      <c r="H2495" s="154" t="s">
        <v>5755</v>
      </c>
      <c r="I2495" s="154" t="s">
        <v>2352</v>
      </c>
      <c r="J2495" s="156">
        <v>0.0</v>
      </c>
      <c r="K2495" s="154" t="s">
        <v>240</v>
      </c>
    </row>
    <row r="2496">
      <c r="A2496" s="154" t="s">
        <v>5756</v>
      </c>
      <c r="B2496" s="155"/>
      <c r="C2496" s="154" t="s">
        <v>5757</v>
      </c>
      <c r="D2496" s="155"/>
      <c r="E2496" s="155"/>
      <c r="F2496" s="154" t="s">
        <v>2947</v>
      </c>
      <c r="G2496" s="154">
        <v>4.0</v>
      </c>
      <c r="H2496" s="154" t="s">
        <v>2948</v>
      </c>
      <c r="I2496" s="156">
        <v>0.0</v>
      </c>
      <c r="J2496" s="156">
        <v>0.0</v>
      </c>
      <c r="K2496" s="156">
        <v>0.0</v>
      </c>
    </row>
    <row r="2497">
      <c r="A2497" s="154" t="s">
        <v>5756</v>
      </c>
      <c r="B2497" s="154" t="s">
        <v>5757</v>
      </c>
      <c r="C2497" s="155"/>
      <c r="D2497" s="154">
        <v>2.0</v>
      </c>
      <c r="E2497" s="154" t="s">
        <v>897</v>
      </c>
      <c r="F2497" s="154" t="s">
        <v>5758</v>
      </c>
      <c r="G2497" s="154">
        <v>4.3434444E7</v>
      </c>
      <c r="H2497" s="156">
        <v>0.0</v>
      </c>
      <c r="I2497" s="156">
        <v>0.0</v>
      </c>
      <c r="J2497" s="156">
        <v>0.0</v>
      </c>
      <c r="K2497" s="154" t="s">
        <v>259</v>
      </c>
    </row>
    <row r="2498">
      <c r="A2498" s="154" t="s">
        <v>5759</v>
      </c>
      <c r="B2498" s="155"/>
      <c r="C2498" s="154" t="s">
        <v>5760</v>
      </c>
      <c r="D2498" s="155"/>
      <c r="E2498" s="155"/>
      <c r="F2498" s="154" t="s">
        <v>5761</v>
      </c>
      <c r="G2498" s="156">
        <v>0.0</v>
      </c>
      <c r="H2498" s="154" t="s">
        <v>5762</v>
      </c>
      <c r="I2498" s="154" t="s">
        <v>3356</v>
      </c>
      <c r="J2498" s="156">
        <v>0.0</v>
      </c>
      <c r="K2498" s="154" t="s">
        <v>361</v>
      </c>
    </row>
    <row r="2499">
      <c r="A2499" s="154" t="s">
        <v>5759</v>
      </c>
      <c r="B2499" s="154" t="s">
        <v>5760</v>
      </c>
      <c r="C2499" s="155"/>
      <c r="D2499" s="154">
        <v>2.0</v>
      </c>
      <c r="E2499" s="154" t="s">
        <v>897</v>
      </c>
      <c r="F2499" s="154" t="s">
        <v>5763</v>
      </c>
      <c r="G2499" s="156">
        <v>0.0</v>
      </c>
      <c r="H2499" s="154" t="s">
        <v>5762</v>
      </c>
      <c r="I2499" s="154" t="s">
        <v>3356</v>
      </c>
      <c r="J2499" s="156">
        <v>0.0</v>
      </c>
      <c r="K2499" s="154" t="s">
        <v>361</v>
      </c>
    </row>
    <row r="2500">
      <c r="A2500" s="154" t="s">
        <v>5764</v>
      </c>
      <c r="B2500" s="155"/>
      <c r="C2500" s="154" t="s">
        <v>5765</v>
      </c>
      <c r="D2500" s="155"/>
      <c r="E2500" s="155"/>
      <c r="F2500" s="154" t="s">
        <v>5766</v>
      </c>
      <c r="G2500" s="155" t="str">
        <f>+971 4 5141742</f>
        <v>#ERROR!</v>
      </c>
      <c r="H2500" s="154" t="s">
        <v>5767</v>
      </c>
      <c r="I2500" s="154" t="s">
        <v>5768</v>
      </c>
      <c r="J2500" s="156">
        <v>0.0</v>
      </c>
      <c r="K2500" s="154" t="s">
        <v>259</v>
      </c>
    </row>
    <row r="2501">
      <c r="A2501" s="154" t="s">
        <v>5764</v>
      </c>
      <c r="B2501" s="154" t="s">
        <v>5765</v>
      </c>
      <c r="C2501" s="155"/>
      <c r="D2501" s="154">
        <v>2.0</v>
      </c>
      <c r="E2501" s="154" t="s">
        <v>897</v>
      </c>
      <c r="F2501" s="154" t="s">
        <v>5766</v>
      </c>
      <c r="G2501" s="155" t="str">
        <f>+971 4 5141742</f>
        <v>#ERROR!</v>
      </c>
      <c r="H2501" s="154" t="s">
        <v>5767</v>
      </c>
      <c r="I2501" s="154" t="s">
        <v>5768</v>
      </c>
      <c r="J2501" s="156">
        <v>0.0</v>
      </c>
      <c r="K2501" s="154" t="s">
        <v>259</v>
      </c>
    </row>
    <row r="2502">
      <c r="A2502" s="154" t="s">
        <v>5769</v>
      </c>
      <c r="B2502" s="155"/>
      <c r="C2502" s="154" t="s">
        <v>5770</v>
      </c>
      <c r="D2502" s="155"/>
      <c r="E2502" s="155"/>
      <c r="F2502" s="154" t="s">
        <v>5771</v>
      </c>
      <c r="G2502" s="154" t="s">
        <v>5772</v>
      </c>
      <c r="H2502" s="156">
        <v>0.0</v>
      </c>
      <c r="I2502" s="154" t="s">
        <v>5773</v>
      </c>
      <c r="J2502" s="154" t="s">
        <v>5772</v>
      </c>
      <c r="K2502" s="154" t="s">
        <v>361</v>
      </c>
    </row>
    <row r="2503">
      <c r="A2503" s="154" t="s">
        <v>5769</v>
      </c>
      <c r="B2503" s="154" t="s">
        <v>5770</v>
      </c>
      <c r="C2503" s="155"/>
      <c r="D2503" s="154">
        <v>2.0</v>
      </c>
      <c r="E2503" s="154" t="s">
        <v>897</v>
      </c>
      <c r="F2503" s="154" t="s">
        <v>5771</v>
      </c>
      <c r="G2503" s="154" t="s">
        <v>5772</v>
      </c>
      <c r="H2503" s="156">
        <v>0.0</v>
      </c>
      <c r="I2503" s="154" t="s">
        <v>5773</v>
      </c>
      <c r="J2503" s="154" t="s">
        <v>5772</v>
      </c>
      <c r="K2503" s="154" t="s">
        <v>361</v>
      </c>
    </row>
    <row r="2504">
      <c r="A2504" s="154" t="s">
        <v>5774</v>
      </c>
      <c r="B2504" s="155"/>
      <c r="C2504" s="154" t="s">
        <v>5775</v>
      </c>
      <c r="D2504" s="155"/>
      <c r="E2504" s="155"/>
      <c r="F2504" s="154" t="s">
        <v>5776</v>
      </c>
      <c r="G2504" s="156">
        <v>0.0</v>
      </c>
      <c r="H2504" s="154" t="s">
        <v>5777</v>
      </c>
      <c r="I2504" s="154" t="s">
        <v>5778</v>
      </c>
      <c r="J2504" s="156">
        <v>0.0</v>
      </c>
      <c r="K2504" s="154" t="s">
        <v>361</v>
      </c>
    </row>
    <row r="2505">
      <c r="A2505" s="154" t="s">
        <v>5774</v>
      </c>
      <c r="B2505" s="154" t="s">
        <v>5775</v>
      </c>
      <c r="C2505" s="155"/>
      <c r="D2505" s="154">
        <v>2.0</v>
      </c>
      <c r="E2505" s="154" t="s">
        <v>897</v>
      </c>
      <c r="F2505" s="154" t="s">
        <v>5776</v>
      </c>
      <c r="G2505" s="156">
        <v>0.0</v>
      </c>
      <c r="H2505" s="154" t="s">
        <v>5777</v>
      </c>
      <c r="I2505" s="154" t="s">
        <v>5778</v>
      </c>
      <c r="J2505" s="156">
        <v>0.0</v>
      </c>
      <c r="K2505" s="154" t="s">
        <v>361</v>
      </c>
    </row>
    <row r="2506">
      <c r="A2506" s="154" t="s">
        <v>5779</v>
      </c>
      <c r="B2506" s="154" t="s">
        <v>5780</v>
      </c>
      <c r="C2506" s="155"/>
      <c r="D2506" s="154">
        <v>2.0</v>
      </c>
      <c r="E2506" s="154" t="s">
        <v>897</v>
      </c>
      <c r="F2506" s="154" t="s">
        <v>5781</v>
      </c>
      <c r="G2506" s="156">
        <v>0.0</v>
      </c>
      <c r="H2506" s="154" t="s">
        <v>5782</v>
      </c>
      <c r="I2506" s="154" t="s">
        <v>5783</v>
      </c>
      <c r="J2506" s="154" t="s">
        <v>5784</v>
      </c>
      <c r="K2506" s="154" t="s">
        <v>207</v>
      </c>
    </row>
    <row r="2507">
      <c r="A2507" s="154" t="s">
        <v>5779</v>
      </c>
      <c r="B2507" s="155"/>
      <c r="C2507" s="154" t="s">
        <v>5780</v>
      </c>
      <c r="D2507" s="155"/>
      <c r="E2507" s="155"/>
      <c r="F2507" s="154" t="s">
        <v>5781</v>
      </c>
      <c r="G2507" s="156">
        <v>0.0</v>
      </c>
      <c r="H2507" s="154" t="s">
        <v>5782</v>
      </c>
      <c r="I2507" s="154" t="s">
        <v>5783</v>
      </c>
      <c r="J2507" s="154" t="s">
        <v>5784</v>
      </c>
      <c r="K2507" s="154" t="s">
        <v>207</v>
      </c>
    </row>
    <row r="2508">
      <c r="A2508" s="154" t="s">
        <v>5785</v>
      </c>
      <c r="B2508" s="155"/>
      <c r="C2508" s="154" t="s">
        <v>5786</v>
      </c>
      <c r="D2508" s="155"/>
      <c r="E2508" s="155"/>
      <c r="F2508" s="154" t="s">
        <v>5787</v>
      </c>
      <c r="G2508" s="154">
        <v>5.0387647E8</v>
      </c>
      <c r="H2508" s="156">
        <v>0.0</v>
      </c>
      <c r="I2508" s="154">
        <v>5.0387647E8</v>
      </c>
      <c r="J2508" s="156">
        <v>0.0</v>
      </c>
      <c r="K2508" s="154" t="s">
        <v>361</v>
      </c>
    </row>
    <row r="2509">
      <c r="A2509" s="154" t="s">
        <v>5785</v>
      </c>
      <c r="B2509" s="154" t="s">
        <v>5786</v>
      </c>
      <c r="C2509" s="155"/>
      <c r="D2509" s="154">
        <v>2.0</v>
      </c>
      <c r="E2509" s="154" t="s">
        <v>897</v>
      </c>
      <c r="F2509" s="154" t="s">
        <v>5787</v>
      </c>
      <c r="G2509" s="154">
        <v>5.0387647E8</v>
      </c>
      <c r="H2509" s="156">
        <v>0.0</v>
      </c>
      <c r="I2509" s="154">
        <v>5.0387647E8</v>
      </c>
      <c r="J2509" s="156">
        <v>0.0</v>
      </c>
      <c r="K2509" s="154" t="s">
        <v>361</v>
      </c>
    </row>
    <row r="2510">
      <c r="A2510" s="154" t="s">
        <v>5788</v>
      </c>
      <c r="B2510" s="154" t="s">
        <v>5789</v>
      </c>
      <c r="C2510" s="155"/>
      <c r="D2510" s="154">
        <v>2.0</v>
      </c>
      <c r="E2510" s="154" t="s">
        <v>897</v>
      </c>
      <c r="F2510" s="154" t="s">
        <v>5790</v>
      </c>
      <c r="G2510" s="154">
        <v>971.0</v>
      </c>
      <c r="H2510" s="154" t="s">
        <v>5791</v>
      </c>
      <c r="I2510" s="154" t="s">
        <v>5792</v>
      </c>
      <c r="J2510" s="156">
        <v>0.0</v>
      </c>
      <c r="K2510" s="154" t="s">
        <v>197</v>
      </c>
    </row>
    <row r="2511">
      <c r="A2511" s="154" t="s">
        <v>5788</v>
      </c>
      <c r="B2511" s="155"/>
      <c r="C2511" s="154" t="s">
        <v>5789</v>
      </c>
      <c r="D2511" s="155"/>
      <c r="E2511" s="155"/>
      <c r="F2511" s="154" t="s">
        <v>5790</v>
      </c>
      <c r="G2511" s="154">
        <v>971.0</v>
      </c>
      <c r="H2511" s="154" t="s">
        <v>5791</v>
      </c>
      <c r="I2511" s="154" t="s">
        <v>5792</v>
      </c>
      <c r="J2511" s="156">
        <v>0.0</v>
      </c>
      <c r="K2511" s="154" t="s">
        <v>197</v>
      </c>
    </row>
    <row r="2512">
      <c r="A2512" s="154" t="s">
        <v>5793</v>
      </c>
      <c r="B2512" s="154" t="s">
        <v>5794</v>
      </c>
      <c r="C2512" s="155"/>
      <c r="D2512" s="154">
        <v>2.0</v>
      </c>
      <c r="E2512" s="154" t="s">
        <v>897</v>
      </c>
      <c r="F2512" s="154" t="s">
        <v>5795</v>
      </c>
      <c r="G2512" s="154" t="s">
        <v>5796</v>
      </c>
      <c r="H2512" s="156">
        <v>0.0</v>
      </c>
      <c r="I2512" s="154">
        <v>9.71504592405E11</v>
      </c>
      <c r="J2512" s="156">
        <v>0.0</v>
      </c>
      <c r="K2512" s="154" t="s">
        <v>197</v>
      </c>
    </row>
    <row r="2513">
      <c r="A2513" s="154" t="s">
        <v>5793</v>
      </c>
      <c r="B2513" s="155"/>
      <c r="C2513" s="154" t="s">
        <v>5794</v>
      </c>
      <c r="D2513" s="155"/>
      <c r="E2513" s="155"/>
      <c r="F2513" s="154" t="s">
        <v>5797</v>
      </c>
      <c r="G2513" s="156">
        <v>0.0</v>
      </c>
      <c r="H2513" s="156">
        <v>0.0</v>
      </c>
      <c r="I2513" s="154">
        <v>0.0</v>
      </c>
      <c r="J2513" s="156">
        <v>0.0</v>
      </c>
      <c r="K2513" s="154" t="s">
        <v>197</v>
      </c>
    </row>
    <row r="2514">
      <c r="A2514" s="154" t="s">
        <v>5798</v>
      </c>
      <c r="B2514" s="154" t="s">
        <v>5799</v>
      </c>
      <c r="C2514" s="155"/>
      <c r="D2514" s="154">
        <v>2.0</v>
      </c>
      <c r="E2514" s="154" t="s">
        <v>897</v>
      </c>
      <c r="F2514" s="154" t="s">
        <v>3436</v>
      </c>
      <c r="G2514" s="154" t="s">
        <v>3908</v>
      </c>
      <c r="H2514" s="154" t="s">
        <v>3909</v>
      </c>
      <c r="I2514" s="156">
        <v>0.0</v>
      </c>
      <c r="J2514" s="156">
        <v>0.0</v>
      </c>
      <c r="K2514" s="156">
        <v>0.0</v>
      </c>
    </row>
    <row r="2515">
      <c r="A2515" s="154" t="s">
        <v>5798</v>
      </c>
      <c r="B2515" s="155"/>
      <c r="C2515" s="154" t="s">
        <v>5799</v>
      </c>
      <c r="D2515" s="155"/>
      <c r="E2515" s="155"/>
      <c r="F2515" s="154" t="s">
        <v>3436</v>
      </c>
      <c r="G2515" s="154" t="s">
        <v>3908</v>
      </c>
      <c r="H2515" s="154" t="s">
        <v>3909</v>
      </c>
      <c r="I2515" s="156">
        <v>0.0</v>
      </c>
      <c r="J2515" s="156">
        <v>0.0</v>
      </c>
      <c r="K2515" s="156">
        <v>0.0</v>
      </c>
    </row>
    <row r="2516">
      <c r="A2516" s="154" t="s">
        <v>5800</v>
      </c>
      <c r="B2516" s="154" t="s">
        <v>5801</v>
      </c>
      <c r="C2516" s="155"/>
      <c r="D2516" s="154">
        <v>2.0</v>
      </c>
      <c r="E2516" s="154" t="s">
        <v>897</v>
      </c>
      <c r="F2516" s="154" t="s">
        <v>4276</v>
      </c>
      <c r="G2516" s="156">
        <v>0.0</v>
      </c>
      <c r="H2516" s="154" t="s">
        <v>3156</v>
      </c>
      <c r="I2516" s="154" t="s">
        <v>4277</v>
      </c>
      <c r="J2516" s="154" t="s">
        <v>4278</v>
      </c>
      <c r="K2516" s="154" t="s">
        <v>361</v>
      </c>
    </row>
    <row r="2517">
      <c r="A2517" s="154" t="s">
        <v>5800</v>
      </c>
      <c r="B2517" s="155"/>
      <c r="C2517" s="154" t="s">
        <v>5801</v>
      </c>
      <c r="D2517" s="155"/>
      <c r="E2517" s="155"/>
      <c r="F2517" s="154" t="s">
        <v>4276</v>
      </c>
      <c r="G2517" s="156">
        <v>0.0</v>
      </c>
      <c r="H2517" s="154" t="s">
        <v>3156</v>
      </c>
      <c r="I2517" s="154" t="s">
        <v>4277</v>
      </c>
      <c r="J2517" s="154" t="s">
        <v>4278</v>
      </c>
      <c r="K2517" s="154" t="s">
        <v>361</v>
      </c>
    </row>
    <row r="2518">
      <c r="A2518" s="154" t="s">
        <v>5802</v>
      </c>
      <c r="B2518" s="154" t="s">
        <v>5803</v>
      </c>
      <c r="C2518" s="155"/>
      <c r="D2518" s="154">
        <v>2.0</v>
      </c>
      <c r="E2518" s="154" t="s">
        <v>897</v>
      </c>
      <c r="F2518" s="154" t="s">
        <v>5804</v>
      </c>
      <c r="G2518" s="154">
        <v>4.36307E7</v>
      </c>
      <c r="H2518" s="156">
        <v>0.0</v>
      </c>
      <c r="I2518" s="154">
        <v>50.0</v>
      </c>
      <c r="J2518" s="156">
        <v>0.0</v>
      </c>
      <c r="K2518" s="154" t="s">
        <v>3814</v>
      </c>
    </row>
    <row r="2519">
      <c r="A2519" s="154" t="s">
        <v>5802</v>
      </c>
      <c r="B2519" s="155"/>
      <c r="C2519" s="154" t="s">
        <v>5803</v>
      </c>
      <c r="D2519" s="155"/>
      <c r="E2519" s="155"/>
      <c r="F2519" s="154" t="s">
        <v>5804</v>
      </c>
      <c r="G2519" s="154">
        <v>4.36307E7</v>
      </c>
      <c r="H2519" s="156">
        <v>0.0</v>
      </c>
      <c r="I2519" s="154">
        <v>50.0</v>
      </c>
      <c r="J2519" s="156">
        <v>0.0</v>
      </c>
      <c r="K2519" s="154" t="s">
        <v>3814</v>
      </c>
    </row>
    <row r="2520">
      <c r="A2520" s="154" t="s">
        <v>5805</v>
      </c>
      <c r="B2520" s="154" t="s">
        <v>5806</v>
      </c>
      <c r="C2520" s="155"/>
      <c r="D2520" s="154">
        <v>2.0</v>
      </c>
      <c r="E2520" s="154" t="s">
        <v>897</v>
      </c>
      <c r="F2520" s="154" t="s">
        <v>5807</v>
      </c>
      <c r="G2520" s="156">
        <v>0.0</v>
      </c>
      <c r="H2520" s="154" t="s">
        <v>5808</v>
      </c>
      <c r="I2520" s="154" t="s">
        <v>5809</v>
      </c>
      <c r="J2520" s="156">
        <v>0.0</v>
      </c>
      <c r="K2520" s="154" t="s">
        <v>846</v>
      </c>
    </row>
    <row r="2521">
      <c r="A2521" s="154" t="s">
        <v>5805</v>
      </c>
      <c r="B2521" s="155"/>
      <c r="C2521" s="154" t="s">
        <v>5806</v>
      </c>
      <c r="D2521" s="155"/>
      <c r="E2521" s="155"/>
      <c r="F2521" s="154" t="s">
        <v>5807</v>
      </c>
      <c r="G2521" s="156">
        <v>0.0</v>
      </c>
      <c r="H2521" s="154" t="s">
        <v>5808</v>
      </c>
      <c r="I2521" s="154" t="s">
        <v>5809</v>
      </c>
      <c r="J2521" s="156">
        <v>0.0</v>
      </c>
      <c r="K2521" s="154" t="s">
        <v>846</v>
      </c>
    </row>
    <row r="2522">
      <c r="A2522" s="154" t="s">
        <v>5810</v>
      </c>
      <c r="B2522" s="155"/>
      <c r="C2522" s="154" t="s">
        <v>5811</v>
      </c>
      <c r="D2522" s="155"/>
      <c r="E2522" s="155"/>
      <c r="F2522" s="154" t="s">
        <v>5812</v>
      </c>
      <c r="G2522" s="154" t="s">
        <v>5813</v>
      </c>
      <c r="H2522" s="156">
        <v>0.0</v>
      </c>
      <c r="I2522" s="154">
        <v>9.71505585639E11</v>
      </c>
      <c r="J2522" s="156">
        <v>0.0</v>
      </c>
      <c r="K2522" s="154" t="s">
        <v>197</v>
      </c>
    </row>
    <row r="2523">
      <c r="A2523" s="154" t="s">
        <v>5810</v>
      </c>
      <c r="B2523" s="154" t="s">
        <v>5811</v>
      </c>
      <c r="C2523" s="155"/>
      <c r="D2523" s="154">
        <v>2.0</v>
      </c>
      <c r="E2523" s="154" t="s">
        <v>897</v>
      </c>
      <c r="F2523" s="154" t="s">
        <v>5812</v>
      </c>
      <c r="G2523" s="154" t="s">
        <v>5813</v>
      </c>
      <c r="H2523" s="156">
        <v>0.0</v>
      </c>
      <c r="I2523" s="154">
        <v>9.71505585639E11</v>
      </c>
      <c r="J2523" s="156">
        <v>0.0</v>
      </c>
      <c r="K2523" s="154" t="s">
        <v>197</v>
      </c>
    </row>
    <row r="2524">
      <c r="A2524" s="154" t="s">
        <v>5814</v>
      </c>
      <c r="B2524" s="155"/>
      <c r="C2524" s="154" t="s">
        <v>5815</v>
      </c>
      <c r="D2524" s="155"/>
      <c r="E2524" s="155"/>
      <c r="F2524" s="154" t="s">
        <v>5816</v>
      </c>
      <c r="G2524" s="156">
        <v>0.0</v>
      </c>
      <c r="H2524" s="156">
        <v>0.0</v>
      </c>
      <c r="I2524" s="154" t="s">
        <v>5817</v>
      </c>
      <c r="J2524" s="156">
        <v>0.0</v>
      </c>
      <c r="K2524" s="154" t="s">
        <v>361</v>
      </c>
    </row>
    <row r="2525">
      <c r="A2525" s="154" t="s">
        <v>5814</v>
      </c>
      <c r="B2525" s="154" t="s">
        <v>5815</v>
      </c>
      <c r="C2525" s="155"/>
      <c r="D2525" s="154">
        <v>2.0</v>
      </c>
      <c r="E2525" s="154" t="s">
        <v>897</v>
      </c>
      <c r="F2525" s="154" t="s">
        <v>5816</v>
      </c>
      <c r="G2525" s="156">
        <v>0.0</v>
      </c>
      <c r="H2525" s="156">
        <v>0.0</v>
      </c>
      <c r="I2525" s="154" t="s">
        <v>5817</v>
      </c>
      <c r="J2525" s="156">
        <v>0.0</v>
      </c>
      <c r="K2525" s="154" t="s">
        <v>361</v>
      </c>
    </row>
    <row r="2526">
      <c r="A2526" s="154" t="s">
        <v>5818</v>
      </c>
      <c r="B2526" s="154" t="s">
        <v>5819</v>
      </c>
      <c r="C2526" s="155"/>
      <c r="D2526" s="154">
        <v>2.0</v>
      </c>
      <c r="E2526" s="154" t="s">
        <v>897</v>
      </c>
      <c r="F2526" s="154" t="s">
        <v>5820</v>
      </c>
      <c r="G2526" s="154">
        <v>5.02595677E8</v>
      </c>
      <c r="H2526" s="156">
        <v>0.0</v>
      </c>
      <c r="I2526" s="156">
        <v>0.0</v>
      </c>
      <c r="J2526" s="156">
        <v>0.0</v>
      </c>
      <c r="K2526" s="154" t="s">
        <v>818</v>
      </c>
    </row>
    <row r="2527">
      <c r="A2527" s="154" t="s">
        <v>5818</v>
      </c>
      <c r="B2527" s="155"/>
      <c r="C2527" s="154" t="s">
        <v>5819</v>
      </c>
      <c r="D2527" s="155"/>
      <c r="E2527" s="155"/>
      <c r="F2527" s="154" t="s">
        <v>5820</v>
      </c>
      <c r="G2527" s="154">
        <v>5.02595677E8</v>
      </c>
      <c r="H2527" s="156">
        <v>0.0</v>
      </c>
      <c r="I2527" s="156">
        <v>0.0</v>
      </c>
      <c r="J2527" s="156">
        <v>0.0</v>
      </c>
      <c r="K2527" s="154" t="s">
        <v>818</v>
      </c>
    </row>
    <row r="2528">
      <c r="A2528" s="154" t="s">
        <v>5821</v>
      </c>
      <c r="B2528" s="155"/>
      <c r="C2528" s="154" t="s">
        <v>5822</v>
      </c>
      <c r="D2528" s="155"/>
      <c r="E2528" s="155"/>
      <c r="F2528" s="154" t="s">
        <v>5823</v>
      </c>
      <c r="G2528" s="154">
        <v>23.0</v>
      </c>
      <c r="H2528" s="156">
        <v>0.0</v>
      </c>
      <c r="I2528" s="154">
        <v>9.71566818342E11</v>
      </c>
      <c r="J2528" s="156">
        <v>0.0</v>
      </c>
      <c r="K2528" s="154" t="s">
        <v>361</v>
      </c>
    </row>
    <row r="2529">
      <c r="A2529" s="154" t="s">
        <v>5821</v>
      </c>
      <c r="B2529" s="154" t="s">
        <v>5822</v>
      </c>
      <c r="C2529" s="155"/>
      <c r="D2529" s="154">
        <v>2.0</v>
      </c>
      <c r="E2529" s="154" t="s">
        <v>897</v>
      </c>
      <c r="F2529" s="154" t="s">
        <v>5824</v>
      </c>
      <c r="G2529" s="154">
        <v>4.36307E7</v>
      </c>
      <c r="H2529" s="156">
        <v>0.0</v>
      </c>
      <c r="I2529" s="154" t="s">
        <v>5825</v>
      </c>
      <c r="J2529" s="156">
        <v>0.0</v>
      </c>
      <c r="K2529" s="154" t="s">
        <v>361</v>
      </c>
    </row>
    <row r="2530">
      <c r="A2530" s="154" t="s">
        <v>5826</v>
      </c>
      <c r="B2530" s="155"/>
      <c r="C2530" s="154" t="s">
        <v>5827</v>
      </c>
      <c r="D2530" s="155"/>
      <c r="E2530" s="155"/>
      <c r="F2530" s="154" t="s">
        <v>5828</v>
      </c>
      <c r="G2530" s="156">
        <v>0.0</v>
      </c>
      <c r="H2530" s="156">
        <v>0.0</v>
      </c>
      <c r="I2530" s="154" t="s">
        <v>5829</v>
      </c>
      <c r="J2530" s="156">
        <v>0.0</v>
      </c>
      <c r="K2530" s="154" t="s">
        <v>1446</v>
      </c>
    </row>
    <row r="2531">
      <c r="A2531" s="154" t="s">
        <v>5826</v>
      </c>
      <c r="B2531" s="154" t="s">
        <v>5827</v>
      </c>
      <c r="C2531" s="155"/>
      <c r="D2531" s="154">
        <v>2.0</v>
      </c>
      <c r="E2531" s="154" t="s">
        <v>897</v>
      </c>
      <c r="F2531" s="154" t="s">
        <v>5830</v>
      </c>
      <c r="G2531" s="156">
        <v>0.0</v>
      </c>
      <c r="H2531" s="156">
        <v>0.0</v>
      </c>
      <c r="I2531" s="154" t="s">
        <v>853</v>
      </c>
      <c r="J2531" s="154" t="s">
        <v>809</v>
      </c>
      <c r="K2531" s="154" t="s">
        <v>1446</v>
      </c>
    </row>
    <row r="2532">
      <c r="A2532" s="154" t="s">
        <v>5831</v>
      </c>
      <c r="B2532" s="154" t="s">
        <v>5832</v>
      </c>
      <c r="C2532" s="155"/>
      <c r="D2532" s="154">
        <v>2.0</v>
      </c>
      <c r="E2532" s="154" t="s">
        <v>897</v>
      </c>
      <c r="F2532" s="154" t="s">
        <v>5833</v>
      </c>
      <c r="G2532" s="154">
        <v>4.8871333E7</v>
      </c>
      <c r="H2532" s="154" t="s">
        <v>5834</v>
      </c>
      <c r="I2532" s="154">
        <v>5.06460367E8</v>
      </c>
      <c r="J2532" s="156">
        <v>0.0</v>
      </c>
      <c r="K2532" s="154" t="s">
        <v>361</v>
      </c>
    </row>
    <row r="2533">
      <c r="A2533" s="154" t="s">
        <v>5831</v>
      </c>
      <c r="B2533" s="155"/>
      <c r="C2533" s="154" t="s">
        <v>5832</v>
      </c>
      <c r="D2533" s="155"/>
      <c r="E2533" s="155"/>
      <c r="F2533" s="154" t="s">
        <v>5833</v>
      </c>
      <c r="G2533" s="154">
        <v>4.8871333E7</v>
      </c>
      <c r="H2533" s="154" t="s">
        <v>5834</v>
      </c>
      <c r="I2533" s="154">
        <v>5.06460367E8</v>
      </c>
      <c r="J2533" s="156">
        <v>0.0</v>
      </c>
      <c r="K2533" s="154" t="s">
        <v>361</v>
      </c>
    </row>
    <row r="2534">
      <c r="A2534" s="154" t="s">
        <v>5835</v>
      </c>
      <c r="B2534" s="155"/>
      <c r="C2534" s="154" t="s">
        <v>5836</v>
      </c>
      <c r="D2534" s="155"/>
      <c r="E2534" s="155"/>
      <c r="F2534" s="154" t="s">
        <v>5837</v>
      </c>
      <c r="G2534" s="156">
        <v>0.0</v>
      </c>
      <c r="H2534" s="156">
        <v>0.0</v>
      </c>
      <c r="I2534" s="154" t="s">
        <v>5838</v>
      </c>
      <c r="J2534" s="154" t="s">
        <v>5839</v>
      </c>
      <c r="K2534" s="154" t="s">
        <v>197</v>
      </c>
    </row>
    <row r="2535">
      <c r="A2535" s="154" t="s">
        <v>5835</v>
      </c>
      <c r="B2535" s="154" t="s">
        <v>5836</v>
      </c>
      <c r="C2535" s="155"/>
      <c r="D2535" s="154">
        <v>2.0</v>
      </c>
      <c r="E2535" s="154" t="s">
        <v>897</v>
      </c>
      <c r="F2535" s="154" t="s">
        <v>5837</v>
      </c>
      <c r="G2535" s="156">
        <v>0.0</v>
      </c>
      <c r="H2535" s="156">
        <v>0.0</v>
      </c>
      <c r="I2535" s="154" t="s">
        <v>5838</v>
      </c>
      <c r="J2535" s="154" t="s">
        <v>5839</v>
      </c>
      <c r="K2535" s="154" t="s">
        <v>197</v>
      </c>
    </row>
    <row r="2536">
      <c r="A2536" s="154" t="s">
        <v>5840</v>
      </c>
      <c r="B2536" s="155"/>
      <c r="C2536" s="154" t="s">
        <v>5841</v>
      </c>
      <c r="D2536" s="155"/>
      <c r="E2536" s="155"/>
      <c r="F2536" s="154" t="s">
        <v>2769</v>
      </c>
      <c r="G2536" s="156">
        <v>0.0</v>
      </c>
      <c r="H2536" s="156">
        <v>0.0</v>
      </c>
      <c r="I2536" s="154" t="s">
        <v>2770</v>
      </c>
      <c r="J2536" s="154" t="s">
        <v>2771</v>
      </c>
      <c r="K2536" s="154" t="s">
        <v>1426</v>
      </c>
    </row>
    <row r="2537">
      <c r="A2537" s="154" t="s">
        <v>5840</v>
      </c>
      <c r="B2537" s="154" t="s">
        <v>5841</v>
      </c>
      <c r="C2537" s="155"/>
      <c r="D2537" s="154">
        <v>2.0</v>
      </c>
      <c r="E2537" s="154" t="s">
        <v>897</v>
      </c>
      <c r="F2537" s="154" t="s">
        <v>2769</v>
      </c>
      <c r="G2537" s="156">
        <v>0.0</v>
      </c>
      <c r="H2537" s="156">
        <v>0.0</v>
      </c>
      <c r="I2537" s="154" t="s">
        <v>2770</v>
      </c>
      <c r="J2537" s="154" t="s">
        <v>2771</v>
      </c>
      <c r="K2537" s="154" t="s">
        <v>1426</v>
      </c>
    </row>
    <row r="2538">
      <c r="A2538" s="154" t="s">
        <v>5842</v>
      </c>
      <c r="B2538" s="154" t="s">
        <v>5843</v>
      </c>
      <c r="C2538" s="155"/>
      <c r="D2538" s="154">
        <v>2.0</v>
      </c>
      <c r="E2538" s="154" t="s">
        <v>897</v>
      </c>
      <c r="F2538" s="154" t="s">
        <v>2769</v>
      </c>
      <c r="G2538" s="156">
        <v>0.0</v>
      </c>
      <c r="H2538" s="156">
        <v>0.0</v>
      </c>
      <c r="I2538" s="154" t="s">
        <v>2770</v>
      </c>
      <c r="J2538" s="154" t="s">
        <v>2771</v>
      </c>
      <c r="K2538" s="154" t="s">
        <v>1426</v>
      </c>
    </row>
    <row r="2539">
      <c r="A2539" s="154" t="s">
        <v>5842</v>
      </c>
      <c r="B2539" s="155"/>
      <c r="C2539" s="154" t="s">
        <v>5843</v>
      </c>
      <c r="D2539" s="155"/>
      <c r="E2539" s="155"/>
      <c r="F2539" s="154" t="s">
        <v>2769</v>
      </c>
      <c r="G2539" s="156">
        <v>0.0</v>
      </c>
      <c r="H2539" s="156">
        <v>0.0</v>
      </c>
      <c r="I2539" s="154" t="s">
        <v>2770</v>
      </c>
      <c r="J2539" s="154" t="s">
        <v>2771</v>
      </c>
      <c r="K2539" s="154" t="s">
        <v>1426</v>
      </c>
    </row>
    <row r="2540">
      <c r="A2540" s="154" t="s">
        <v>5844</v>
      </c>
      <c r="B2540" s="154" t="s">
        <v>5845</v>
      </c>
      <c r="C2540" s="155"/>
      <c r="D2540" s="154">
        <v>2.0</v>
      </c>
      <c r="E2540" s="154" t="s">
        <v>897</v>
      </c>
      <c r="F2540" s="154" t="s">
        <v>5846</v>
      </c>
      <c r="G2540" s="154">
        <v>5.09050786E8</v>
      </c>
      <c r="H2540" s="156">
        <v>0.0</v>
      </c>
      <c r="I2540" s="154">
        <v>5.09050786E8</v>
      </c>
      <c r="J2540" s="156">
        <v>0.0</v>
      </c>
      <c r="K2540" s="154" t="s">
        <v>361</v>
      </c>
    </row>
    <row r="2541">
      <c r="A2541" s="154" t="s">
        <v>5844</v>
      </c>
      <c r="B2541" s="155"/>
      <c r="C2541" s="154" t="s">
        <v>5845</v>
      </c>
      <c r="D2541" s="155"/>
      <c r="E2541" s="155"/>
      <c r="F2541" s="154" t="s">
        <v>5846</v>
      </c>
      <c r="G2541" s="154">
        <v>5.09050786E8</v>
      </c>
      <c r="H2541" s="156">
        <v>0.0</v>
      </c>
      <c r="I2541" s="154">
        <v>5.09050786E8</v>
      </c>
      <c r="J2541" s="156">
        <v>0.0</v>
      </c>
      <c r="K2541" s="154" t="s">
        <v>361</v>
      </c>
    </row>
    <row r="2542">
      <c r="A2542" s="154" t="s">
        <v>5847</v>
      </c>
      <c r="B2542" s="155"/>
      <c r="C2542" s="154" t="s">
        <v>5848</v>
      </c>
      <c r="D2542" s="155"/>
      <c r="E2542" s="155"/>
      <c r="F2542" s="154" t="s">
        <v>5849</v>
      </c>
      <c r="G2542" s="156">
        <v>0.0</v>
      </c>
      <c r="H2542" s="154" t="s">
        <v>3339</v>
      </c>
      <c r="I2542" s="154" t="s">
        <v>5850</v>
      </c>
      <c r="J2542" s="154" t="s">
        <v>5851</v>
      </c>
      <c r="K2542" s="154" t="s">
        <v>361</v>
      </c>
    </row>
    <row r="2543">
      <c r="A2543" s="154" t="s">
        <v>5847</v>
      </c>
      <c r="B2543" s="154" t="s">
        <v>5848</v>
      </c>
      <c r="C2543" s="155"/>
      <c r="D2543" s="154">
        <v>2.0</v>
      </c>
      <c r="E2543" s="154" t="s">
        <v>897</v>
      </c>
      <c r="F2543" s="154" t="s">
        <v>5849</v>
      </c>
      <c r="G2543" s="156">
        <v>0.0</v>
      </c>
      <c r="H2543" s="154" t="s">
        <v>3339</v>
      </c>
      <c r="I2543" s="154" t="s">
        <v>5850</v>
      </c>
      <c r="J2543" s="154" t="s">
        <v>5851</v>
      </c>
      <c r="K2543" s="154" t="s">
        <v>361</v>
      </c>
    </row>
    <row r="2544">
      <c r="A2544" s="154" t="s">
        <v>5852</v>
      </c>
      <c r="B2544" s="154" t="s">
        <v>5853</v>
      </c>
      <c r="C2544" s="155"/>
      <c r="D2544" s="154">
        <v>2.0</v>
      </c>
      <c r="E2544" s="154" t="s">
        <v>897</v>
      </c>
      <c r="F2544" s="154" t="s">
        <v>5854</v>
      </c>
      <c r="G2544" s="154">
        <v>6.5582786E7</v>
      </c>
      <c r="H2544" s="156">
        <v>0.0</v>
      </c>
      <c r="I2544" s="154">
        <v>0.0</v>
      </c>
      <c r="J2544" s="156">
        <v>0.0</v>
      </c>
      <c r="K2544" s="154" t="s">
        <v>259</v>
      </c>
    </row>
    <row r="2545">
      <c r="A2545" s="154" t="s">
        <v>5852</v>
      </c>
      <c r="B2545" s="155"/>
      <c r="C2545" s="154" t="s">
        <v>5853</v>
      </c>
      <c r="D2545" s="155"/>
      <c r="E2545" s="155"/>
      <c r="F2545" s="154" t="s">
        <v>5854</v>
      </c>
      <c r="G2545" s="154">
        <v>6.5582786E7</v>
      </c>
      <c r="H2545" s="156">
        <v>0.0</v>
      </c>
      <c r="I2545" s="154">
        <v>0.0</v>
      </c>
      <c r="J2545" s="156">
        <v>0.0</v>
      </c>
      <c r="K2545" s="154" t="s">
        <v>259</v>
      </c>
    </row>
    <row r="2546">
      <c r="A2546" s="154" t="s">
        <v>5855</v>
      </c>
      <c r="B2546" s="154" t="s">
        <v>5856</v>
      </c>
      <c r="C2546" s="155"/>
      <c r="D2546" s="154">
        <v>2.0</v>
      </c>
      <c r="E2546" s="154" t="s">
        <v>897</v>
      </c>
      <c r="F2546" s="154" t="s">
        <v>5857</v>
      </c>
      <c r="G2546" s="154">
        <v>4.4289488E7</v>
      </c>
      <c r="H2546" s="156">
        <v>0.0</v>
      </c>
      <c r="I2546" s="154">
        <v>0.0</v>
      </c>
      <c r="J2546" s="156">
        <v>0.0</v>
      </c>
      <c r="K2546" s="154" t="s">
        <v>301</v>
      </c>
    </row>
    <row r="2547">
      <c r="A2547" s="154" t="s">
        <v>5855</v>
      </c>
      <c r="B2547" s="155"/>
      <c r="C2547" s="154" t="s">
        <v>5856</v>
      </c>
      <c r="D2547" s="155"/>
      <c r="E2547" s="155"/>
      <c r="F2547" s="154" t="s">
        <v>5857</v>
      </c>
      <c r="G2547" s="154">
        <v>4.4289488E7</v>
      </c>
      <c r="H2547" s="156">
        <v>0.0</v>
      </c>
      <c r="I2547" s="154">
        <v>0.0</v>
      </c>
      <c r="J2547" s="156">
        <v>0.0</v>
      </c>
      <c r="K2547" s="154" t="s">
        <v>301</v>
      </c>
    </row>
    <row r="2548">
      <c r="A2548" s="154" t="s">
        <v>5858</v>
      </c>
      <c r="B2548" s="154" t="s">
        <v>5859</v>
      </c>
      <c r="C2548" s="155"/>
      <c r="D2548" s="154">
        <v>2.0</v>
      </c>
      <c r="E2548" s="154" t="s">
        <v>897</v>
      </c>
      <c r="F2548" s="154" t="s">
        <v>1192</v>
      </c>
      <c r="G2548" s="156">
        <v>0.0</v>
      </c>
      <c r="H2548" s="154" t="s">
        <v>1193</v>
      </c>
      <c r="I2548" s="154" t="s">
        <v>1194</v>
      </c>
      <c r="J2548" s="154" t="s">
        <v>1195</v>
      </c>
      <c r="K2548" s="154" t="s">
        <v>1196</v>
      </c>
    </row>
    <row r="2549">
      <c r="A2549" s="154" t="s">
        <v>5858</v>
      </c>
      <c r="B2549" s="155"/>
      <c r="C2549" s="154" t="s">
        <v>5859</v>
      </c>
      <c r="D2549" s="155"/>
      <c r="E2549" s="155"/>
      <c r="F2549" s="154" t="s">
        <v>5860</v>
      </c>
      <c r="G2549" s="156">
        <v>0.0</v>
      </c>
      <c r="H2549" s="154" t="s">
        <v>1193</v>
      </c>
      <c r="I2549" s="154" t="s">
        <v>5861</v>
      </c>
      <c r="J2549" s="154" t="s">
        <v>5862</v>
      </c>
      <c r="K2549" s="154" t="s">
        <v>1196</v>
      </c>
    </row>
    <row r="2550">
      <c r="A2550" s="154" t="s">
        <v>5863</v>
      </c>
      <c r="B2550" s="155"/>
      <c r="C2550" s="154" t="s">
        <v>5864</v>
      </c>
      <c r="D2550" s="155"/>
      <c r="E2550" s="155"/>
      <c r="F2550" s="154" t="s">
        <v>5865</v>
      </c>
      <c r="G2550" s="156">
        <v>0.0</v>
      </c>
      <c r="H2550" s="154" t="s">
        <v>5866</v>
      </c>
      <c r="I2550" s="154" t="s">
        <v>5867</v>
      </c>
      <c r="J2550" s="156">
        <v>0.0</v>
      </c>
      <c r="K2550" s="154" t="s">
        <v>361</v>
      </c>
    </row>
    <row r="2551">
      <c r="A2551" s="154" t="s">
        <v>5863</v>
      </c>
      <c r="B2551" s="154" t="s">
        <v>5864</v>
      </c>
      <c r="C2551" s="155"/>
      <c r="D2551" s="154">
        <v>2.0</v>
      </c>
      <c r="E2551" s="154" t="s">
        <v>897</v>
      </c>
      <c r="F2551" s="154" t="s">
        <v>5868</v>
      </c>
      <c r="G2551" s="156">
        <v>0.0</v>
      </c>
      <c r="H2551" s="154" t="s">
        <v>5866</v>
      </c>
      <c r="I2551" s="154" t="s">
        <v>5867</v>
      </c>
      <c r="J2551" s="156">
        <v>0.0</v>
      </c>
      <c r="K2551" s="154" t="s">
        <v>361</v>
      </c>
    </row>
    <row r="2552">
      <c r="A2552" s="154" t="s">
        <v>5869</v>
      </c>
      <c r="B2552" s="154" t="s">
        <v>5870</v>
      </c>
      <c r="C2552" s="155"/>
      <c r="D2552" s="154">
        <v>2.0</v>
      </c>
      <c r="E2552" s="154" t="s">
        <v>897</v>
      </c>
      <c r="F2552" s="154" t="s">
        <v>5871</v>
      </c>
      <c r="G2552" s="156">
        <v>0.0</v>
      </c>
      <c r="H2552" s="154" t="s">
        <v>5872</v>
      </c>
      <c r="I2552" s="154" t="s">
        <v>5873</v>
      </c>
      <c r="J2552" s="154" t="s">
        <v>5874</v>
      </c>
      <c r="K2552" s="154" t="s">
        <v>1059</v>
      </c>
    </row>
    <row r="2553">
      <c r="A2553" s="154" t="s">
        <v>5869</v>
      </c>
      <c r="B2553" s="155"/>
      <c r="C2553" s="154" t="s">
        <v>5870</v>
      </c>
      <c r="D2553" s="155"/>
      <c r="E2553" s="155"/>
      <c r="F2553" s="154" t="s">
        <v>5871</v>
      </c>
      <c r="G2553" s="156">
        <v>0.0</v>
      </c>
      <c r="H2553" s="154" t="s">
        <v>5872</v>
      </c>
      <c r="I2553" s="154" t="s">
        <v>5873</v>
      </c>
      <c r="J2553" s="154" t="s">
        <v>5874</v>
      </c>
      <c r="K2553" s="154" t="s">
        <v>1059</v>
      </c>
    </row>
    <row r="2554">
      <c r="A2554" s="154" t="s">
        <v>5875</v>
      </c>
      <c r="B2554" s="154" t="s">
        <v>5876</v>
      </c>
      <c r="C2554" s="155"/>
      <c r="D2554" s="154">
        <v>2.0</v>
      </c>
      <c r="E2554" s="154" t="s">
        <v>897</v>
      </c>
      <c r="F2554" s="154" t="s">
        <v>5877</v>
      </c>
      <c r="G2554" s="156">
        <v>0.0</v>
      </c>
      <c r="H2554" s="154" t="s">
        <v>5878</v>
      </c>
      <c r="I2554" s="154" t="s">
        <v>5879</v>
      </c>
      <c r="J2554" s="154" t="s">
        <v>809</v>
      </c>
      <c r="K2554" s="154" t="s">
        <v>259</v>
      </c>
    </row>
    <row r="2555">
      <c r="A2555" s="154" t="s">
        <v>5875</v>
      </c>
      <c r="B2555" s="155"/>
      <c r="C2555" s="154" t="s">
        <v>5876</v>
      </c>
      <c r="D2555" s="155"/>
      <c r="E2555" s="155"/>
      <c r="F2555" s="154" t="s">
        <v>5877</v>
      </c>
      <c r="G2555" s="156">
        <v>0.0</v>
      </c>
      <c r="H2555" s="154" t="s">
        <v>5878</v>
      </c>
      <c r="I2555" s="154" t="s">
        <v>5879</v>
      </c>
      <c r="J2555" s="154" t="s">
        <v>809</v>
      </c>
      <c r="K2555" s="154" t="s">
        <v>259</v>
      </c>
    </row>
    <row r="2556">
      <c r="A2556" s="154" t="s">
        <v>5880</v>
      </c>
      <c r="B2556" s="155"/>
      <c r="C2556" s="154" t="s">
        <v>5881</v>
      </c>
      <c r="D2556" s="155"/>
      <c r="E2556" s="155"/>
      <c r="F2556" s="154" t="s">
        <v>5882</v>
      </c>
      <c r="G2556" s="154">
        <v>0.0</v>
      </c>
      <c r="H2556" s="156">
        <v>0.0</v>
      </c>
      <c r="I2556" s="154">
        <v>5.52696889E8</v>
      </c>
      <c r="J2556" s="156">
        <v>0.0</v>
      </c>
      <c r="K2556" s="154" t="s">
        <v>361</v>
      </c>
    </row>
    <row r="2557">
      <c r="A2557" s="154" t="s">
        <v>5880</v>
      </c>
      <c r="B2557" s="154" t="s">
        <v>5881</v>
      </c>
      <c r="C2557" s="155"/>
      <c r="D2557" s="154">
        <v>2.0</v>
      </c>
      <c r="E2557" s="154" t="s">
        <v>1237</v>
      </c>
      <c r="F2557" s="154" t="s">
        <v>5882</v>
      </c>
      <c r="G2557" s="154">
        <v>0.0</v>
      </c>
      <c r="H2557" s="156">
        <v>0.0</v>
      </c>
      <c r="I2557" s="154">
        <v>5.52696889E8</v>
      </c>
      <c r="J2557" s="156">
        <v>0.0</v>
      </c>
      <c r="K2557" s="154" t="s">
        <v>361</v>
      </c>
    </row>
    <row r="2558">
      <c r="A2558" s="154" t="s">
        <v>5883</v>
      </c>
      <c r="B2558" s="155"/>
      <c r="C2558" s="154" t="s">
        <v>5884</v>
      </c>
      <c r="D2558" s="155"/>
      <c r="E2558" s="155"/>
      <c r="F2558" s="154" t="s">
        <v>5885</v>
      </c>
      <c r="G2558" s="156">
        <v>0.0</v>
      </c>
      <c r="H2558" s="156">
        <v>0.0</v>
      </c>
      <c r="I2558" s="154" t="s">
        <v>2857</v>
      </c>
      <c r="J2558" s="156">
        <v>0.0</v>
      </c>
      <c r="K2558" s="154" t="s">
        <v>2858</v>
      </c>
    </row>
    <row r="2559">
      <c r="A2559" s="154" t="s">
        <v>5883</v>
      </c>
      <c r="B2559" s="154" t="s">
        <v>5884</v>
      </c>
      <c r="C2559" s="155"/>
      <c r="D2559" s="154">
        <v>2.0</v>
      </c>
      <c r="E2559" s="154" t="s">
        <v>1237</v>
      </c>
      <c r="F2559" s="154" t="s">
        <v>5885</v>
      </c>
      <c r="G2559" s="156">
        <v>0.0</v>
      </c>
      <c r="H2559" s="156">
        <v>0.0</v>
      </c>
      <c r="I2559" s="154" t="s">
        <v>2857</v>
      </c>
      <c r="J2559" s="156">
        <v>0.0</v>
      </c>
      <c r="K2559" s="154" t="s">
        <v>2858</v>
      </c>
    </row>
    <row r="2560">
      <c r="A2560" s="154" t="s">
        <v>5886</v>
      </c>
      <c r="B2560" s="154" t="s">
        <v>5887</v>
      </c>
      <c r="C2560" s="155"/>
      <c r="D2560" s="154">
        <v>2.0</v>
      </c>
      <c r="E2560" s="154" t="s">
        <v>1237</v>
      </c>
      <c r="F2560" s="154" t="s">
        <v>5888</v>
      </c>
      <c r="G2560" s="154" t="s">
        <v>5889</v>
      </c>
      <c r="H2560" s="156">
        <v>0.0</v>
      </c>
      <c r="I2560" s="154">
        <v>9.71506510197E11</v>
      </c>
      <c r="J2560" s="156">
        <v>0.0</v>
      </c>
      <c r="K2560" s="154" t="s">
        <v>259</v>
      </c>
    </row>
    <row r="2561">
      <c r="A2561" s="154" t="s">
        <v>5886</v>
      </c>
      <c r="B2561" s="155"/>
      <c r="C2561" s="154" t="s">
        <v>5887</v>
      </c>
      <c r="D2561" s="155"/>
      <c r="E2561" s="155"/>
      <c r="F2561" s="154" t="s">
        <v>5888</v>
      </c>
      <c r="G2561" s="154" t="s">
        <v>5889</v>
      </c>
      <c r="H2561" s="156">
        <v>0.0</v>
      </c>
      <c r="I2561" s="154">
        <v>9.71506510197E11</v>
      </c>
      <c r="J2561" s="156">
        <v>0.0</v>
      </c>
      <c r="K2561" s="154" t="s">
        <v>259</v>
      </c>
    </row>
    <row r="2562">
      <c r="A2562" s="154" t="s">
        <v>5890</v>
      </c>
      <c r="B2562" s="155"/>
      <c r="C2562" s="154" t="s">
        <v>5891</v>
      </c>
      <c r="D2562" s="155"/>
      <c r="E2562" s="155"/>
      <c r="F2562" s="154" t="s">
        <v>2769</v>
      </c>
      <c r="G2562" s="156">
        <v>0.0</v>
      </c>
      <c r="H2562" s="156">
        <v>0.0</v>
      </c>
      <c r="I2562" s="154" t="s">
        <v>2770</v>
      </c>
      <c r="J2562" s="154" t="s">
        <v>2771</v>
      </c>
      <c r="K2562" s="154" t="s">
        <v>1426</v>
      </c>
    </row>
    <row r="2563">
      <c r="A2563" s="154" t="s">
        <v>5890</v>
      </c>
      <c r="B2563" s="154" t="s">
        <v>5891</v>
      </c>
      <c r="C2563" s="155"/>
      <c r="D2563" s="154">
        <v>2.0</v>
      </c>
      <c r="E2563" s="154" t="s">
        <v>1237</v>
      </c>
      <c r="F2563" s="154" t="s">
        <v>2769</v>
      </c>
      <c r="G2563" s="156">
        <v>0.0</v>
      </c>
      <c r="H2563" s="156">
        <v>0.0</v>
      </c>
      <c r="I2563" s="154" t="s">
        <v>2770</v>
      </c>
      <c r="J2563" s="154" t="s">
        <v>2771</v>
      </c>
      <c r="K2563" s="154" t="s">
        <v>1426</v>
      </c>
    </row>
    <row r="2564">
      <c r="A2564" s="154" t="s">
        <v>5892</v>
      </c>
      <c r="B2564" s="155"/>
      <c r="C2564" s="154" t="s">
        <v>5893</v>
      </c>
      <c r="D2564" s="155"/>
      <c r="E2564" s="155"/>
      <c r="F2564" s="154" t="s">
        <v>2769</v>
      </c>
      <c r="G2564" s="156">
        <v>0.0</v>
      </c>
      <c r="H2564" s="156">
        <v>0.0</v>
      </c>
      <c r="I2564" s="154" t="s">
        <v>2770</v>
      </c>
      <c r="J2564" s="154" t="s">
        <v>2771</v>
      </c>
      <c r="K2564" s="154" t="s">
        <v>1426</v>
      </c>
    </row>
    <row r="2565">
      <c r="A2565" s="154" t="s">
        <v>5892</v>
      </c>
      <c r="B2565" s="154" t="s">
        <v>5893</v>
      </c>
      <c r="C2565" s="155"/>
      <c r="D2565" s="154">
        <v>2.0</v>
      </c>
      <c r="E2565" s="154" t="s">
        <v>1237</v>
      </c>
      <c r="F2565" s="154" t="s">
        <v>2769</v>
      </c>
      <c r="G2565" s="156">
        <v>0.0</v>
      </c>
      <c r="H2565" s="156">
        <v>0.0</v>
      </c>
      <c r="I2565" s="154" t="s">
        <v>2770</v>
      </c>
      <c r="J2565" s="154" t="s">
        <v>2771</v>
      </c>
      <c r="K2565" s="154" t="s">
        <v>1426</v>
      </c>
    </row>
    <row r="2566">
      <c r="A2566" s="154" t="s">
        <v>5894</v>
      </c>
      <c r="B2566" s="154" t="s">
        <v>5895</v>
      </c>
      <c r="C2566" s="155"/>
      <c r="D2566" s="154">
        <v>2.0</v>
      </c>
      <c r="E2566" s="154" t="s">
        <v>1237</v>
      </c>
      <c r="F2566" s="154" t="s">
        <v>2769</v>
      </c>
      <c r="G2566" s="156">
        <v>0.0</v>
      </c>
      <c r="H2566" s="156">
        <v>0.0</v>
      </c>
      <c r="I2566" s="154" t="s">
        <v>2770</v>
      </c>
      <c r="J2566" s="154" t="s">
        <v>2771</v>
      </c>
      <c r="K2566" s="154" t="s">
        <v>1426</v>
      </c>
    </row>
    <row r="2567">
      <c r="A2567" s="154" t="s">
        <v>5894</v>
      </c>
      <c r="B2567" s="155"/>
      <c r="C2567" s="154" t="s">
        <v>5895</v>
      </c>
      <c r="D2567" s="155"/>
      <c r="E2567" s="155"/>
      <c r="F2567" s="154" t="s">
        <v>2769</v>
      </c>
      <c r="G2567" s="156">
        <v>0.0</v>
      </c>
      <c r="H2567" s="156">
        <v>0.0</v>
      </c>
      <c r="I2567" s="154" t="s">
        <v>2770</v>
      </c>
      <c r="J2567" s="154" t="s">
        <v>2771</v>
      </c>
      <c r="K2567" s="154" t="s">
        <v>1426</v>
      </c>
    </row>
    <row r="2568">
      <c r="A2568" s="154" t="s">
        <v>5896</v>
      </c>
      <c r="B2568" s="155"/>
      <c r="C2568" s="154" t="s">
        <v>5897</v>
      </c>
      <c r="D2568" s="155"/>
      <c r="E2568" s="155"/>
      <c r="F2568" s="154" t="s">
        <v>5898</v>
      </c>
      <c r="G2568" s="154">
        <v>5.29999616E8</v>
      </c>
      <c r="H2568" s="156">
        <v>0.0</v>
      </c>
      <c r="I2568" s="154">
        <v>5.29999616E8</v>
      </c>
      <c r="J2568" s="156">
        <v>0.0</v>
      </c>
      <c r="K2568" s="154" t="s">
        <v>207</v>
      </c>
    </row>
    <row r="2569">
      <c r="A2569" s="154" t="s">
        <v>5896</v>
      </c>
      <c r="B2569" s="154" t="s">
        <v>5897</v>
      </c>
      <c r="C2569" s="155"/>
      <c r="D2569" s="154">
        <v>2.0</v>
      </c>
      <c r="E2569" s="154" t="s">
        <v>1237</v>
      </c>
      <c r="F2569" s="154" t="s">
        <v>5899</v>
      </c>
      <c r="G2569" s="156">
        <v>0.0</v>
      </c>
      <c r="H2569" s="156">
        <v>0.0</v>
      </c>
      <c r="I2569" s="156">
        <v>0.0</v>
      </c>
      <c r="J2569" s="156">
        <v>0.0</v>
      </c>
      <c r="K2569" s="154" t="s">
        <v>207</v>
      </c>
    </row>
    <row r="2570">
      <c r="A2570" s="154" t="s">
        <v>5900</v>
      </c>
      <c r="B2570" s="155"/>
      <c r="C2570" s="154" t="s">
        <v>5901</v>
      </c>
      <c r="D2570" s="155"/>
      <c r="E2570" s="155"/>
      <c r="F2570" s="154" t="s">
        <v>5902</v>
      </c>
      <c r="G2570" s="156">
        <v>0.0</v>
      </c>
      <c r="H2570" s="156">
        <v>0.0</v>
      </c>
      <c r="I2570" s="154">
        <v>5.07707771E8</v>
      </c>
      <c r="J2570" s="156">
        <v>0.0</v>
      </c>
      <c r="K2570" s="154" t="s">
        <v>301</v>
      </c>
    </row>
    <row r="2571">
      <c r="A2571" s="154" t="s">
        <v>5900</v>
      </c>
      <c r="B2571" s="154" t="s">
        <v>5901</v>
      </c>
      <c r="C2571" s="155"/>
      <c r="D2571" s="154">
        <v>2.0</v>
      </c>
      <c r="E2571" s="154" t="s">
        <v>1237</v>
      </c>
      <c r="F2571" s="154" t="s">
        <v>5902</v>
      </c>
      <c r="G2571" s="156">
        <v>0.0</v>
      </c>
      <c r="H2571" s="156">
        <v>0.0</v>
      </c>
      <c r="I2571" s="154">
        <v>5.07707771E8</v>
      </c>
      <c r="J2571" s="156">
        <v>0.0</v>
      </c>
      <c r="K2571" s="154" t="s">
        <v>301</v>
      </c>
    </row>
    <row r="2572">
      <c r="A2572" s="154" t="s">
        <v>5903</v>
      </c>
      <c r="B2572" s="154" t="s">
        <v>5904</v>
      </c>
      <c r="C2572" s="155"/>
      <c r="D2572" s="154">
        <v>2.0</v>
      </c>
      <c r="E2572" s="154" t="s">
        <v>1237</v>
      </c>
      <c r="F2572" s="154" t="s">
        <v>5905</v>
      </c>
      <c r="G2572" s="156">
        <v>0.0</v>
      </c>
      <c r="H2572" s="154" t="s">
        <v>5906</v>
      </c>
      <c r="I2572" s="154" t="s">
        <v>5907</v>
      </c>
      <c r="J2572" s="156">
        <v>0.0</v>
      </c>
      <c r="K2572" s="154" t="s">
        <v>3019</v>
      </c>
    </row>
    <row r="2573">
      <c r="A2573" s="154" t="s">
        <v>5903</v>
      </c>
      <c r="B2573" s="155"/>
      <c r="C2573" s="154" t="s">
        <v>5904</v>
      </c>
      <c r="D2573" s="155"/>
      <c r="E2573" s="155"/>
      <c r="F2573" s="154" t="s">
        <v>5905</v>
      </c>
      <c r="G2573" s="156">
        <v>0.0</v>
      </c>
      <c r="H2573" s="154" t="s">
        <v>5906</v>
      </c>
      <c r="I2573" s="154" t="s">
        <v>5907</v>
      </c>
      <c r="J2573" s="156">
        <v>0.0</v>
      </c>
      <c r="K2573" s="154" t="s">
        <v>3019</v>
      </c>
    </row>
    <row r="2574">
      <c r="A2574" s="154" t="s">
        <v>5908</v>
      </c>
      <c r="B2574" s="155"/>
      <c r="C2574" s="154" t="s">
        <v>5909</v>
      </c>
      <c r="D2574" s="155"/>
      <c r="E2574" s="155"/>
      <c r="F2574" s="154" t="s">
        <v>4228</v>
      </c>
      <c r="G2574" s="154">
        <v>971.0</v>
      </c>
      <c r="H2574" s="154" t="s">
        <v>4229</v>
      </c>
      <c r="I2574" s="154" t="s">
        <v>4230</v>
      </c>
      <c r="J2574" s="154" t="s">
        <v>4231</v>
      </c>
      <c r="K2574" s="154" t="s">
        <v>846</v>
      </c>
    </row>
    <row r="2575">
      <c r="A2575" s="154" t="s">
        <v>5908</v>
      </c>
      <c r="B2575" s="154" t="s">
        <v>5909</v>
      </c>
      <c r="C2575" s="155"/>
      <c r="D2575" s="154">
        <v>2.0</v>
      </c>
      <c r="E2575" s="154" t="s">
        <v>1237</v>
      </c>
      <c r="F2575" s="154" t="s">
        <v>4228</v>
      </c>
      <c r="G2575" s="154">
        <v>971.0</v>
      </c>
      <c r="H2575" s="154" t="s">
        <v>4229</v>
      </c>
      <c r="I2575" s="154" t="s">
        <v>4230</v>
      </c>
      <c r="J2575" s="154" t="s">
        <v>4231</v>
      </c>
      <c r="K2575" s="154" t="s">
        <v>846</v>
      </c>
    </row>
    <row r="2576">
      <c r="A2576" s="154" t="s">
        <v>5910</v>
      </c>
      <c r="B2576" s="154" t="s">
        <v>5911</v>
      </c>
      <c r="C2576" s="155"/>
      <c r="D2576" s="154">
        <v>2.0</v>
      </c>
      <c r="E2576" s="154" t="s">
        <v>1237</v>
      </c>
      <c r="F2576" s="154" t="s">
        <v>5912</v>
      </c>
      <c r="G2576" s="156">
        <v>0.0</v>
      </c>
      <c r="H2576" s="156">
        <v>0.0</v>
      </c>
      <c r="I2576" s="154">
        <v>9.71502584012E11</v>
      </c>
      <c r="J2576" s="156">
        <v>0.0</v>
      </c>
      <c r="K2576" s="154" t="s">
        <v>760</v>
      </c>
    </row>
    <row r="2577">
      <c r="A2577" s="154" t="s">
        <v>5910</v>
      </c>
      <c r="B2577" s="155"/>
      <c r="C2577" s="154" t="s">
        <v>5911</v>
      </c>
      <c r="D2577" s="155"/>
      <c r="E2577" s="155"/>
      <c r="F2577" s="154" t="s">
        <v>5912</v>
      </c>
      <c r="G2577" s="156">
        <v>0.0</v>
      </c>
      <c r="H2577" s="156">
        <v>0.0</v>
      </c>
      <c r="I2577" s="154">
        <v>9.71502584012E11</v>
      </c>
      <c r="J2577" s="156">
        <v>0.0</v>
      </c>
      <c r="K2577" s="154" t="s">
        <v>760</v>
      </c>
    </row>
    <row r="2578">
      <c r="A2578" s="154" t="s">
        <v>5913</v>
      </c>
      <c r="B2578" s="155"/>
      <c r="C2578" s="154" t="s">
        <v>5914</v>
      </c>
      <c r="D2578" s="155"/>
      <c r="E2578" s="155"/>
      <c r="F2578" s="154" t="s">
        <v>5915</v>
      </c>
      <c r="G2578" s="154">
        <v>8813000.0</v>
      </c>
      <c r="H2578" s="156">
        <v>0.0</v>
      </c>
      <c r="I2578" s="154">
        <v>5.52319151E8</v>
      </c>
      <c r="J2578" s="156">
        <v>0.0</v>
      </c>
      <c r="K2578" s="154" t="s">
        <v>2195</v>
      </c>
    </row>
    <row r="2579">
      <c r="A2579" s="154" t="s">
        <v>5913</v>
      </c>
      <c r="B2579" s="154" t="s">
        <v>5914</v>
      </c>
      <c r="C2579" s="155"/>
      <c r="D2579" s="154">
        <v>2.0</v>
      </c>
      <c r="E2579" s="154" t="s">
        <v>1237</v>
      </c>
      <c r="F2579" s="154" t="s">
        <v>5915</v>
      </c>
      <c r="G2579" s="154">
        <v>8813000.0</v>
      </c>
      <c r="H2579" s="156">
        <v>0.0</v>
      </c>
      <c r="I2579" s="154">
        <v>5.52319151E8</v>
      </c>
      <c r="J2579" s="156">
        <v>0.0</v>
      </c>
      <c r="K2579" s="154" t="s">
        <v>2195</v>
      </c>
    </row>
    <row r="2580">
      <c r="A2580" s="154" t="s">
        <v>5916</v>
      </c>
      <c r="B2580" s="155"/>
      <c r="C2580" s="154" t="s">
        <v>5917</v>
      </c>
      <c r="D2580" s="155"/>
      <c r="E2580" s="155"/>
      <c r="F2580" s="154" t="s">
        <v>5918</v>
      </c>
      <c r="G2580" s="156">
        <v>0.0</v>
      </c>
      <c r="H2580" s="156">
        <v>0.0</v>
      </c>
      <c r="I2580" s="154">
        <v>5.04466144E8</v>
      </c>
      <c r="J2580" s="156">
        <v>0.0</v>
      </c>
      <c r="K2580" s="154" t="s">
        <v>207</v>
      </c>
    </row>
    <row r="2581">
      <c r="A2581" s="154" t="s">
        <v>5916</v>
      </c>
      <c r="B2581" s="154" t="s">
        <v>5917</v>
      </c>
      <c r="C2581" s="155"/>
      <c r="D2581" s="154">
        <v>2.0</v>
      </c>
      <c r="E2581" s="154" t="s">
        <v>1237</v>
      </c>
      <c r="F2581" s="154" t="s">
        <v>5918</v>
      </c>
      <c r="G2581" s="156">
        <v>0.0</v>
      </c>
      <c r="H2581" s="156">
        <v>0.0</v>
      </c>
      <c r="I2581" s="154">
        <v>5.04466144E8</v>
      </c>
      <c r="J2581" s="156">
        <v>0.0</v>
      </c>
      <c r="K2581" s="154" t="s">
        <v>207</v>
      </c>
    </row>
    <row r="2582">
      <c r="A2582" s="154" t="s">
        <v>5919</v>
      </c>
      <c r="B2582" s="155"/>
      <c r="C2582" s="154" t="s">
        <v>5920</v>
      </c>
      <c r="D2582" s="155"/>
      <c r="E2582" s="155"/>
      <c r="F2582" s="154" t="s">
        <v>5921</v>
      </c>
      <c r="G2582" s="156">
        <v>0.0</v>
      </c>
      <c r="H2582" s="156">
        <v>0.0</v>
      </c>
      <c r="I2582" s="154" t="s">
        <v>5922</v>
      </c>
      <c r="J2582" s="156">
        <v>0.0</v>
      </c>
      <c r="K2582" s="154" t="s">
        <v>846</v>
      </c>
    </row>
    <row r="2583">
      <c r="A2583" s="154" t="s">
        <v>5919</v>
      </c>
      <c r="B2583" s="154" t="s">
        <v>5920</v>
      </c>
      <c r="C2583" s="155"/>
      <c r="D2583" s="154">
        <v>2.0</v>
      </c>
      <c r="E2583" s="154" t="s">
        <v>1237</v>
      </c>
      <c r="F2583" s="154" t="s">
        <v>1619</v>
      </c>
      <c r="G2583" s="154">
        <v>4.3903333E7</v>
      </c>
      <c r="H2583" s="154" t="s">
        <v>1620</v>
      </c>
      <c r="I2583" s="156">
        <v>0.0</v>
      </c>
      <c r="J2583" s="156">
        <v>0.0</v>
      </c>
      <c r="K2583" s="156">
        <v>0.0</v>
      </c>
    </row>
    <row r="2584">
      <c r="A2584" s="154" t="s">
        <v>5923</v>
      </c>
      <c r="B2584" s="155"/>
      <c r="C2584" s="154" t="s">
        <v>5924</v>
      </c>
      <c r="D2584" s="155"/>
      <c r="E2584" s="155"/>
      <c r="F2584" s="154" t="s">
        <v>5925</v>
      </c>
      <c r="G2584" s="154">
        <v>4.3911111E7</v>
      </c>
      <c r="H2584" s="156">
        <v>0.0</v>
      </c>
      <c r="I2584" s="154">
        <v>5.03273672E8</v>
      </c>
      <c r="J2584" s="156">
        <v>0.0</v>
      </c>
      <c r="K2584" s="154" t="s">
        <v>1059</v>
      </c>
    </row>
    <row r="2585">
      <c r="A2585" s="154" t="s">
        <v>5923</v>
      </c>
      <c r="B2585" s="154" t="s">
        <v>5924</v>
      </c>
      <c r="C2585" s="155"/>
      <c r="D2585" s="154">
        <v>2.0</v>
      </c>
      <c r="E2585" s="154" t="s">
        <v>1237</v>
      </c>
      <c r="F2585" s="154" t="s">
        <v>5926</v>
      </c>
      <c r="G2585" s="154">
        <v>5.03273672E8</v>
      </c>
      <c r="H2585" s="156">
        <v>0.0</v>
      </c>
      <c r="I2585" s="154">
        <v>5.03273672E8</v>
      </c>
      <c r="J2585" s="156">
        <v>0.0</v>
      </c>
      <c r="K2585" s="154" t="s">
        <v>197</v>
      </c>
    </row>
    <row r="2586">
      <c r="A2586" s="154" t="s">
        <v>5927</v>
      </c>
      <c r="B2586" s="154" t="s">
        <v>5928</v>
      </c>
      <c r="C2586" s="155"/>
      <c r="D2586" s="154">
        <v>2.0</v>
      </c>
      <c r="E2586" s="154" t="s">
        <v>1237</v>
      </c>
      <c r="F2586" s="154" t="s">
        <v>1619</v>
      </c>
      <c r="G2586" s="154">
        <v>4.3903333E7</v>
      </c>
      <c r="H2586" s="154" t="s">
        <v>1620</v>
      </c>
      <c r="I2586" s="156">
        <v>0.0</v>
      </c>
      <c r="J2586" s="156">
        <v>0.0</v>
      </c>
      <c r="K2586" s="156">
        <v>0.0</v>
      </c>
    </row>
    <row r="2587">
      <c r="A2587" s="154" t="s">
        <v>5927</v>
      </c>
      <c r="B2587" s="155"/>
      <c r="C2587" s="154" t="s">
        <v>5928</v>
      </c>
      <c r="D2587" s="155"/>
      <c r="E2587" s="155"/>
      <c r="F2587" s="154" t="s">
        <v>5929</v>
      </c>
      <c r="G2587" s="154">
        <v>0.0</v>
      </c>
      <c r="H2587" s="156">
        <v>0.0</v>
      </c>
      <c r="I2587" s="154">
        <v>5.06578633E8</v>
      </c>
      <c r="J2587" s="156">
        <v>0.0</v>
      </c>
      <c r="K2587" s="154" t="s">
        <v>361</v>
      </c>
    </row>
    <row r="2588">
      <c r="A2588" s="154" t="s">
        <v>5930</v>
      </c>
      <c r="B2588" s="155"/>
      <c r="C2588" s="154" t="s">
        <v>5931</v>
      </c>
      <c r="D2588" s="155"/>
      <c r="E2588" s="155"/>
      <c r="F2588" s="154" t="s">
        <v>5932</v>
      </c>
      <c r="G2588" s="154">
        <v>0.0</v>
      </c>
      <c r="H2588" s="154" t="s">
        <v>5933</v>
      </c>
      <c r="I2588" s="154">
        <v>5.55506196E8</v>
      </c>
      <c r="J2588" s="156">
        <v>0.0</v>
      </c>
      <c r="K2588" s="154" t="s">
        <v>776</v>
      </c>
    </row>
    <row r="2589">
      <c r="A2589" s="154" t="s">
        <v>5930</v>
      </c>
      <c r="B2589" s="154" t="s">
        <v>5931</v>
      </c>
      <c r="C2589" s="155"/>
      <c r="D2589" s="154">
        <v>2.0</v>
      </c>
      <c r="E2589" s="154" t="s">
        <v>1237</v>
      </c>
      <c r="F2589" s="154" t="s">
        <v>5932</v>
      </c>
      <c r="G2589" s="154">
        <v>0.0</v>
      </c>
      <c r="H2589" s="154" t="s">
        <v>5933</v>
      </c>
      <c r="I2589" s="154">
        <v>5.55506196E8</v>
      </c>
      <c r="J2589" s="156">
        <v>0.0</v>
      </c>
      <c r="K2589" s="154" t="s">
        <v>776</v>
      </c>
    </row>
    <row r="2590">
      <c r="A2590" s="154" t="s">
        <v>5934</v>
      </c>
      <c r="B2590" s="154" t="s">
        <v>5935</v>
      </c>
      <c r="C2590" s="155"/>
      <c r="D2590" s="154">
        <v>2.0</v>
      </c>
      <c r="E2590" s="154" t="s">
        <v>1237</v>
      </c>
      <c r="F2590" s="154" t="s">
        <v>5936</v>
      </c>
      <c r="G2590" s="156">
        <v>0.0</v>
      </c>
      <c r="H2590" s="154" t="s">
        <v>5937</v>
      </c>
      <c r="I2590" s="154" t="s">
        <v>5938</v>
      </c>
      <c r="J2590" s="154" t="s">
        <v>5939</v>
      </c>
      <c r="K2590" s="154" t="s">
        <v>361</v>
      </c>
    </row>
    <row r="2591">
      <c r="A2591" s="154" t="s">
        <v>5934</v>
      </c>
      <c r="B2591" s="155"/>
      <c r="C2591" s="154" t="s">
        <v>5935</v>
      </c>
      <c r="D2591" s="155"/>
      <c r="E2591" s="155"/>
      <c r="F2591" s="154" t="s">
        <v>5936</v>
      </c>
      <c r="G2591" s="156">
        <v>0.0</v>
      </c>
      <c r="H2591" s="154" t="s">
        <v>5937</v>
      </c>
      <c r="I2591" s="154" t="s">
        <v>5938</v>
      </c>
      <c r="J2591" s="154" t="s">
        <v>5939</v>
      </c>
      <c r="K2591" s="154" t="s">
        <v>361</v>
      </c>
    </row>
    <row r="2592">
      <c r="A2592" s="154" t="s">
        <v>5940</v>
      </c>
      <c r="B2592" s="154" t="s">
        <v>5941</v>
      </c>
      <c r="C2592" s="155"/>
      <c r="D2592" s="154">
        <v>2.0</v>
      </c>
      <c r="E2592" s="154" t="s">
        <v>1237</v>
      </c>
      <c r="F2592" s="154" t="s">
        <v>5942</v>
      </c>
      <c r="G2592" s="154">
        <v>0.0</v>
      </c>
      <c r="H2592" s="156">
        <v>0.0</v>
      </c>
      <c r="I2592" s="154">
        <v>0.0</v>
      </c>
      <c r="J2592" s="156">
        <v>0.0</v>
      </c>
      <c r="K2592" s="154" t="s">
        <v>914</v>
      </c>
    </row>
    <row r="2593">
      <c r="A2593" s="154" t="s">
        <v>5940</v>
      </c>
      <c r="B2593" s="155"/>
      <c r="C2593" s="154" t="s">
        <v>5941</v>
      </c>
      <c r="D2593" s="155"/>
      <c r="E2593" s="155"/>
      <c r="F2593" s="154" t="s">
        <v>5942</v>
      </c>
      <c r="G2593" s="154">
        <v>0.0</v>
      </c>
      <c r="H2593" s="156">
        <v>0.0</v>
      </c>
      <c r="I2593" s="154">
        <v>0.0</v>
      </c>
      <c r="J2593" s="156">
        <v>0.0</v>
      </c>
      <c r="K2593" s="154" t="s">
        <v>914</v>
      </c>
    </row>
    <row r="2594">
      <c r="A2594" s="154" t="s">
        <v>5943</v>
      </c>
      <c r="B2594" s="155"/>
      <c r="C2594" s="154" t="s">
        <v>5944</v>
      </c>
      <c r="D2594" s="155"/>
      <c r="E2594" s="155"/>
      <c r="F2594" s="154" t="s">
        <v>5945</v>
      </c>
      <c r="G2594" s="156">
        <v>0.0</v>
      </c>
      <c r="H2594" s="156">
        <v>0.0</v>
      </c>
      <c r="I2594" s="154" t="s">
        <v>5946</v>
      </c>
      <c r="J2594" s="156">
        <v>0.0</v>
      </c>
      <c r="K2594" s="154" t="s">
        <v>361</v>
      </c>
    </row>
    <row r="2595">
      <c r="A2595" s="154" t="s">
        <v>5943</v>
      </c>
      <c r="B2595" s="154" t="s">
        <v>5944</v>
      </c>
      <c r="C2595" s="155"/>
      <c r="D2595" s="154">
        <v>2.0</v>
      </c>
      <c r="E2595" s="154" t="s">
        <v>897</v>
      </c>
      <c r="F2595" s="154" t="s">
        <v>5947</v>
      </c>
      <c r="G2595" s="154" t="s">
        <v>5948</v>
      </c>
      <c r="H2595" s="154" t="s">
        <v>5949</v>
      </c>
      <c r="I2595" s="154" t="s">
        <v>5950</v>
      </c>
      <c r="J2595" s="154" t="s">
        <v>5951</v>
      </c>
      <c r="K2595" s="154" t="s">
        <v>361</v>
      </c>
    </row>
    <row r="2596">
      <c r="A2596" s="154" t="s">
        <v>5952</v>
      </c>
      <c r="B2596" s="155"/>
      <c r="C2596" s="154" t="s">
        <v>5953</v>
      </c>
      <c r="D2596" s="155"/>
      <c r="E2596" s="155"/>
      <c r="F2596" s="154" t="s">
        <v>5954</v>
      </c>
      <c r="G2596" s="156">
        <v>0.0</v>
      </c>
      <c r="H2596" s="154" t="s">
        <v>5955</v>
      </c>
      <c r="I2596" s="154" t="s">
        <v>5956</v>
      </c>
      <c r="J2596" s="154" t="s">
        <v>5957</v>
      </c>
      <c r="K2596" s="154" t="s">
        <v>197</v>
      </c>
    </row>
    <row r="2597">
      <c r="A2597" s="154" t="s">
        <v>5952</v>
      </c>
      <c r="B2597" s="154" t="s">
        <v>5953</v>
      </c>
      <c r="C2597" s="155"/>
      <c r="D2597" s="154">
        <v>2.0</v>
      </c>
      <c r="E2597" s="154" t="s">
        <v>1237</v>
      </c>
      <c r="F2597" s="154" t="s">
        <v>5954</v>
      </c>
      <c r="G2597" s="156">
        <v>0.0</v>
      </c>
      <c r="H2597" s="154" t="s">
        <v>5955</v>
      </c>
      <c r="I2597" s="154" t="s">
        <v>5956</v>
      </c>
      <c r="J2597" s="154" t="s">
        <v>5957</v>
      </c>
      <c r="K2597" s="154" t="s">
        <v>197</v>
      </c>
    </row>
    <row r="2598">
      <c r="A2598" s="154" t="s">
        <v>5958</v>
      </c>
      <c r="B2598" s="155"/>
      <c r="C2598" s="154" t="s">
        <v>5959</v>
      </c>
      <c r="D2598" s="155"/>
      <c r="E2598" s="155"/>
      <c r="F2598" s="154" t="s">
        <v>5960</v>
      </c>
      <c r="G2598" s="156">
        <v>0.0</v>
      </c>
      <c r="H2598" s="156">
        <v>0.0</v>
      </c>
      <c r="I2598" s="154">
        <v>9.71502780904E11</v>
      </c>
      <c r="J2598" s="156">
        <v>0.0</v>
      </c>
      <c r="K2598" s="154" t="s">
        <v>259</v>
      </c>
    </row>
    <row r="2599">
      <c r="A2599" s="154" t="s">
        <v>5958</v>
      </c>
      <c r="B2599" s="154" t="s">
        <v>5959</v>
      </c>
      <c r="C2599" s="155"/>
      <c r="D2599" s="154">
        <v>2.0</v>
      </c>
      <c r="E2599" s="154" t="s">
        <v>1237</v>
      </c>
      <c r="F2599" s="154" t="s">
        <v>5961</v>
      </c>
      <c r="G2599" s="154">
        <v>4.3622292E7</v>
      </c>
      <c r="H2599" s="156">
        <v>0.0</v>
      </c>
      <c r="I2599" s="154">
        <v>9.71502780905E11</v>
      </c>
      <c r="J2599" s="156">
        <v>0.0</v>
      </c>
      <c r="K2599" s="154" t="s">
        <v>3551</v>
      </c>
    </row>
    <row r="2600">
      <c r="A2600" s="154" t="s">
        <v>5962</v>
      </c>
      <c r="B2600" s="154" t="s">
        <v>5963</v>
      </c>
      <c r="C2600" s="155"/>
      <c r="D2600" s="154">
        <v>2.0</v>
      </c>
      <c r="E2600" s="154" t="s">
        <v>1237</v>
      </c>
      <c r="F2600" s="154" t="s">
        <v>5964</v>
      </c>
      <c r="G2600" s="156">
        <v>0.0</v>
      </c>
      <c r="H2600" s="154" t="s">
        <v>5965</v>
      </c>
      <c r="I2600" s="154" t="s">
        <v>5966</v>
      </c>
      <c r="J2600" s="156">
        <v>0.0</v>
      </c>
      <c r="K2600" s="154" t="s">
        <v>361</v>
      </c>
    </row>
    <row r="2601">
      <c r="A2601" s="154" t="s">
        <v>5962</v>
      </c>
      <c r="B2601" s="155"/>
      <c r="C2601" s="154" t="s">
        <v>5963</v>
      </c>
      <c r="D2601" s="155"/>
      <c r="E2601" s="155"/>
      <c r="F2601" s="154" t="s">
        <v>5964</v>
      </c>
      <c r="G2601" s="156">
        <v>0.0</v>
      </c>
      <c r="H2601" s="156">
        <v>0.0</v>
      </c>
      <c r="I2601" s="154" t="s">
        <v>5967</v>
      </c>
      <c r="J2601" s="154" t="s">
        <v>5968</v>
      </c>
      <c r="K2601" s="154" t="s">
        <v>361</v>
      </c>
    </row>
    <row r="2602">
      <c r="A2602" s="154" t="s">
        <v>5969</v>
      </c>
      <c r="B2602" s="154" t="s">
        <v>5970</v>
      </c>
      <c r="C2602" s="155"/>
      <c r="D2602" s="154">
        <v>2.0</v>
      </c>
      <c r="E2602" s="154" t="s">
        <v>1237</v>
      </c>
      <c r="F2602" s="154" t="s">
        <v>5971</v>
      </c>
      <c r="G2602" s="154" t="s">
        <v>5972</v>
      </c>
      <c r="H2602" s="154" t="s">
        <v>1917</v>
      </c>
      <c r="I2602" s="154" t="s">
        <v>5973</v>
      </c>
      <c r="J2602" s="156">
        <v>0.0</v>
      </c>
      <c r="K2602" s="154" t="s">
        <v>361</v>
      </c>
    </row>
    <row r="2603">
      <c r="A2603" s="154" t="s">
        <v>5969</v>
      </c>
      <c r="B2603" s="155"/>
      <c r="C2603" s="154" t="s">
        <v>5970</v>
      </c>
      <c r="D2603" s="155"/>
      <c r="E2603" s="155"/>
      <c r="F2603" s="154" t="s">
        <v>5974</v>
      </c>
      <c r="G2603" s="156">
        <v>0.0</v>
      </c>
      <c r="H2603" s="154" t="s">
        <v>2238</v>
      </c>
      <c r="I2603" s="154" t="s">
        <v>5975</v>
      </c>
      <c r="J2603" s="154" t="s">
        <v>5976</v>
      </c>
      <c r="K2603" s="154" t="s">
        <v>361</v>
      </c>
    </row>
    <row r="2604">
      <c r="A2604" s="154" t="s">
        <v>5977</v>
      </c>
      <c r="B2604" s="155"/>
      <c r="C2604" s="154" t="s">
        <v>5978</v>
      </c>
      <c r="D2604" s="155"/>
      <c r="E2604" s="155"/>
      <c r="F2604" s="154" t="s">
        <v>5979</v>
      </c>
      <c r="G2604" s="156">
        <v>0.0</v>
      </c>
      <c r="H2604" s="156">
        <v>0.0</v>
      </c>
      <c r="I2604" s="154">
        <v>5.04574067E8</v>
      </c>
      <c r="J2604" s="156">
        <v>0.0</v>
      </c>
      <c r="K2604" s="154" t="s">
        <v>197</v>
      </c>
    </row>
    <row r="2605">
      <c r="A2605" s="154" t="s">
        <v>5977</v>
      </c>
      <c r="B2605" s="154" t="s">
        <v>5978</v>
      </c>
      <c r="C2605" s="155"/>
      <c r="D2605" s="154">
        <v>2.0</v>
      </c>
      <c r="E2605" s="154" t="s">
        <v>1237</v>
      </c>
      <c r="F2605" s="154" t="s">
        <v>5979</v>
      </c>
      <c r="G2605" s="156">
        <v>0.0</v>
      </c>
      <c r="H2605" s="156">
        <v>0.0</v>
      </c>
      <c r="I2605" s="154">
        <v>5.04574067E8</v>
      </c>
      <c r="J2605" s="156">
        <v>0.0</v>
      </c>
      <c r="K2605" s="154" t="s">
        <v>197</v>
      </c>
    </row>
    <row r="2606">
      <c r="A2606" s="154" t="s">
        <v>5980</v>
      </c>
      <c r="B2606" s="154" t="s">
        <v>5981</v>
      </c>
      <c r="C2606" s="155"/>
      <c r="D2606" s="154">
        <v>2.0</v>
      </c>
      <c r="E2606" s="154" t="s">
        <v>1237</v>
      </c>
      <c r="F2606" s="154" t="s">
        <v>5982</v>
      </c>
      <c r="G2606" s="156">
        <v>0.0</v>
      </c>
      <c r="H2606" s="154" t="s">
        <v>5983</v>
      </c>
      <c r="I2606" s="154" t="s">
        <v>5984</v>
      </c>
      <c r="J2606" s="154" t="s">
        <v>5985</v>
      </c>
      <c r="K2606" s="154" t="s">
        <v>361</v>
      </c>
    </row>
    <row r="2607">
      <c r="A2607" s="154" t="s">
        <v>5980</v>
      </c>
      <c r="B2607" s="155"/>
      <c r="C2607" s="154" t="s">
        <v>5981</v>
      </c>
      <c r="D2607" s="155"/>
      <c r="E2607" s="155"/>
      <c r="F2607" s="154" t="s">
        <v>5982</v>
      </c>
      <c r="G2607" s="156">
        <v>0.0</v>
      </c>
      <c r="H2607" s="154" t="s">
        <v>5983</v>
      </c>
      <c r="I2607" s="154" t="s">
        <v>5984</v>
      </c>
      <c r="J2607" s="154" t="s">
        <v>5985</v>
      </c>
      <c r="K2607" s="154" t="s">
        <v>361</v>
      </c>
    </row>
    <row r="2608">
      <c r="A2608" s="154" t="s">
        <v>5986</v>
      </c>
      <c r="B2608" s="154" t="s">
        <v>5987</v>
      </c>
      <c r="C2608" s="155"/>
      <c r="D2608" s="154">
        <v>2.0</v>
      </c>
      <c r="E2608" s="154" t="s">
        <v>1237</v>
      </c>
      <c r="F2608" s="154" t="s">
        <v>5988</v>
      </c>
      <c r="G2608" s="154">
        <v>5.55083609E8</v>
      </c>
      <c r="H2608" s="156">
        <v>0.0</v>
      </c>
      <c r="I2608" s="154">
        <v>5.55083609E8</v>
      </c>
      <c r="J2608" s="156">
        <v>0.0</v>
      </c>
      <c r="K2608" s="154" t="s">
        <v>301</v>
      </c>
    </row>
    <row r="2609">
      <c r="A2609" s="154" t="s">
        <v>5986</v>
      </c>
      <c r="B2609" s="155"/>
      <c r="C2609" s="154" t="s">
        <v>5987</v>
      </c>
      <c r="D2609" s="155"/>
      <c r="E2609" s="155"/>
      <c r="F2609" s="154" t="s">
        <v>5988</v>
      </c>
      <c r="G2609" s="154">
        <v>5.55083609E8</v>
      </c>
      <c r="H2609" s="156">
        <v>0.0</v>
      </c>
      <c r="I2609" s="154">
        <v>5.55083609E8</v>
      </c>
      <c r="J2609" s="156">
        <v>0.0</v>
      </c>
      <c r="K2609" s="154" t="s">
        <v>301</v>
      </c>
    </row>
    <row r="2610">
      <c r="A2610" s="154" t="s">
        <v>5989</v>
      </c>
      <c r="B2610" s="154" t="s">
        <v>5990</v>
      </c>
      <c r="C2610" s="155"/>
      <c r="D2610" s="154">
        <v>2.0</v>
      </c>
      <c r="E2610" s="154" t="s">
        <v>1237</v>
      </c>
      <c r="F2610" s="154" t="s">
        <v>2879</v>
      </c>
      <c r="G2610" s="156">
        <v>0.0</v>
      </c>
      <c r="H2610" s="154" t="s">
        <v>2880</v>
      </c>
      <c r="I2610" s="154" t="s">
        <v>2881</v>
      </c>
      <c r="J2610" s="154" t="s">
        <v>2882</v>
      </c>
      <c r="K2610" s="154" t="s">
        <v>846</v>
      </c>
    </row>
    <row r="2611">
      <c r="A2611" s="154" t="s">
        <v>5989</v>
      </c>
      <c r="B2611" s="155"/>
      <c r="C2611" s="154" t="s">
        <v>5990</v>
      </c>
      <c r="D2611" s="155"/>
      <c r="E2611" s="155"/>
      <c r="F2611" s="154" t="s">
        <v>2879</v>
      </c>
      <c r="G2611" s="156">
        <v>0.0</v>
      </c>
      <c r="H2611" s="154" t="s">
        <v>2880</v>
      </c>
      <c r="I2611" s="154" t="s">
        <v>2881</v>
      </c>
      <c r="J2611" s="154" t="s">
        <v>2882</v>
      </c>
      <c r="K2611" s="154" t="s">
        <v>846</v>
      </c>
    </row>
    <row r="2612">
      <c r="A2612" s="154" t="s">
        <v>5991</v>
      </c>
      <c r="B2612" s="154" t="s">
        <v>5992</v>
      </c>
      <c r="C2612" s="155"/>
      <c r="D2612" s="154">
        <v>2.0</v>
      </c>
      <c r="E2612" s="154" t="s">
        <v>1237</v>
      </c>
      <c r="F2612" s="154" t="s">
        <v>5993</v>
      </c>
      <c r="G2612" s="154">
        <v>5.56692666E8</v>
      </c>
      <c r="H2612" s="156">
        <v>0.0</v>
      </c>
      <c r="I2612" s="154">
        <v>5.56692666E8</v>
      </c>
      <c r="J2612" s="156">
        <v>0.0</v>
      </c>
      <c r="K2612" s="154" t="s">
        <v>240</v>
      </c>
    </row>
    <row r="2613">
      <c r="A2613" s="154" t="s">
        <v>5991</v>
      </c>
      <c r="B2613" s="155"/>
      <c r="C2613" s="154" t="s">
        <v>5992</v>
      </c>
      <c r="D2613" s="155"/>
      <c r="E2613" s="155"/>
      <c r="F2613" s="154" t="s">
        <v>5993</v>
      </c>
      <c r="G2613" s="154">
        <v>5.56692666E8</v>
      </c>
      <c r="H2613" s="156">
        <v>0.0</v>
      </c>
      <c r="I2613" s="154">
        <v>5.56692666E8</v>
      </c>
      <c r="J2613" s="156">
        <v>0.0</v>
      </c>
      <c r="K2613" s="154" t="s">
        <v>240</v>
      </c>
    </row>
    <row r="2614">
      <c r="A2614" s="154" t="s">
        <v>5994</v>
      </c>
      <c r="B2614" s="154" t="s">
        <v>5995</v>
      </c>
      <c r="C2614" s="155"/>
      <c r="D2614" s="154">
        <v>2.0</v>
      </c>
      <c r="E2614" s="154" t="s">
        <v>1237</v>
      </c>
      <c r="F2614" s="154" t="s">
        <v>5996</v>
      </c>
      <c r="G2614" s="154" t="s">
        <v>5997</v>
      </c>
      <c r="H2614" s="154" t="s">
        <v>5998</v>
      </c>
      <c r="I2614" s="154" t="s">
        <v>5999</v>
      </c>
      <c r="J2614" s="156">
        <v>0.0</v>
      </c>
      <c r="K2614" s="154" t="s">
        <v>760</v>
      </c>
    </row>
    <row r="2615">
      <c r="A2615" s="154" t="s">
        <v>5994</v>
      </c>
      <c r="B2615" s="155"/>
      <c r="C2615" s="154" t="s">
        <v>5995</v>
      </c>
      <c r="D2615" s="155"/>
      <c r="E2615" s="155"/>
      <c r="F2615" s="154" t="s">
        <v>5996</v>
      </c>
      <c r="G2615" s="154" t="s">
        <v>5997</v>
      </c>
      <c r="H2615" s="154" t="s">
        <v>5998</v>
      </c>
      <c r="I2615" s="154" t="s">
        <v>5999</v>
      </c>
      <c r="J2615" s="156">
        <v>0.0</v>
      </c>
      <c r="K2615" s="154" t="s">
        <v>760</v>
      </c>
    </row>
    <row r="2616">
      <c r="A2616" s="154" t="s">
        <v>6000</v>
      </c>
      <c r="B2616" s="155"/>
      <c r="C2616" s="154" t="s">
        <v>6001</v>
      </c>
      <c r="D2616" s="155"/>
      <c r="E2616" s="155"/>
      <c r="F2616" s="154" t="s">
        <v>6002</v>
      </c>
      <c r="G2616" s="154" t="s">
        <v>6003</v>
      </c>
      <c r="H2616" s="156">
        <v>0.0</v>
      </c>
      <c r="I2616" s="154" t="s">
        <v>6004</v>
      </c>
      <c r="J2616" s="154" t="s">
        <v>6003</v>
      </c>
      <c r="K2616" s="154" t="s">
        <v>789</v>
      </c>
    </row>
    <row r="2617">
      <c r="A2617" s="154" t="s">
        <v>6000</v>
      </c>
      <c r="B2617" s="154" t="s">
        <v>6001</v>
      </c>
      <c r="C2617" s="155"/>
      <c r="D2617" s="154">
        <v>2.0</v>
      </c>
      <c r="E2617" s="154" t="s">
        <v>1237</v>
      </c>
      <c r="F2617" s="154" t="s">
        <v>6002</v>
      </c>
      <c r="G2617" s="154" t="s">
        <v>6003</v>
      </c>
      <c r="H2617" s="156">
        <v>0.0</v>
      </c>
      <c r="I2617" s="154" t="s">
        <v>6004</v>
      </c>
      <c r="J2617" s="154" t="s">
        <v>6003</v>
      </c>
      <c r="K2617" s="154" t="s">
        <v>789</v>
      </c>
    </row>
    <row r="2618">
      <c r="A2618" s="154" t="s">
        <v>6005</v>
      </c>
      <c r="B2618" s="154" t="s">
        <v>6006</v>
      </c>
      <c r="C2618" s="155"/>
      <c r="D2618" s="154">
        <v>2.0</v>
      </c>
      <c r="E2618" s="154" t="s">
        <v>1237</v>
      </c>
      <c r="F2618" s="154" t="s">
        <v>4659</v>
      </c>
      <c r="G2618" s="154">
        <v>4.2666399E7</v>
      </c>
      <c r="H2618" s="156">
        <v>0.0</v>
      </c>
      <c r="I2618" s="154">
        <v>9.71506564784E11</v>
      </c>
      <c r="J2618" s="156">
        <v>0.0</v>
      </c>
      <c r="K2618" s="154" t="s">
        <v>760</v>
      </c>
    </row>
    <row r="2619">
      <c r="A2619" s="154" t="s">
        <v>6005</v>
      </c>
      <c r="B2619" s="155"/>
      <c r="C2619" s="154" t="s">
        <v>6006</v>
      </c>
      <c r="D2619" s="155"/>
      <c r="E2619" s="155"/>
      <c r="F2619" s="154" t="s">
        <v>4659</v>
      </c>
      <c r="G2619" s="154">
        <v>4.2666399E7</v>
      </c>
      <c r="H2619" s="156">
        <v>0.0</v>
      </c>
      <c r="I2619" s="154">
        <v>9.71506564784E11</v>
      </c>
      <c r="J2619" s="156">
        <v>0.0</v>
      </c>
      <c r="K2619" s="154" t="s">
        <v>760</v>
      </c>
    </row>
    <row r="2620">
      <c r="A2620" s="154" t="s">
        <v>6007</v>
      </c>
      <c r="B2620" s="155"/>
      <c r="C2620" s="154" t="s">
        <v>6008</v>
      </c>
      <c r="D2620" s="155"/>
      <c r="E2620" s="155"/>
      <c r="F2620" s="154" t="s">
        <v>6009</v>
      </c>
      <c r="G2620" s="156">
        <v>0.0</v>
      </c>
      <c r="H2620" s="154" t="s">
        <v>5983</v>
      </c>
      <c r="I2620" s="154" t="s">
        <v>6010</v>
      </c>
      <c r="J2620" s="154" t="s">
        <v>6011</v>
      </c>
      <c r="K2620" s="154" t="s">
        <v>259</v>
      </c>
    </row>
    <row r="2621">
      <c r="A2621" s="154" t="s">
        <v>6007</v>
      </c>
      <c r="B2621" s="154" t="s">
        <v>6008</v>
      </c>
      <c r="C2621" s="155"/>
      <c r="D2621" s="154">
        <v>2.0</v>
      </c>
      <c r="E2621" s="154" t="s">
        <v>1237</v>
      </c>
      <c r="F2621" s="154" t="s">
        <v>6009</v>
      </c>
      <c r="G2621" s="156">
        <v>0.0</v>
      </c>
      <c r="H2621" s="154" t="s">
        <v>5983</v>
      </c>
      <c r="I2621" s="154" t="s">
        <v>6010</v>
      </c>
      <c r="J2621" s="154" t="s">
        <v>6011</v>
      </c>
      <c r="K2621" s="154" t="s">
        <v>259</v>
      </c>
    </row>
    <row r="2622">
      <c r="A2622" s="154" t="s">
        <v>6012</v>
      </c>
      <c r="B2622" s="155"/>
      <c r="C2622" s="154" t="s">
        <v>6013</v>
      </c>
      <c r="D2622" s="155"/>
      <c r="E2622" s="155"/>
      <c r="F2622" s="154" t="s">
        <v>6014</v>
      </c>
      <c r="G2622" s="156">
        <v>0.0</v>
      </c>
      <c r="H2622" s="154" t="s">
        <v>6015</v>
      </c>
      <c r="I2622" s="154" t="s">
        <v>6016</v>
      </c>
      <c r="J2622" s="156">
        <v>0.0</v>
      </c>
      <c r="K2622" s="154" t="s">
        <v>197</v>
      </c>
    </row>
    <row r="2623">
      <c r="A2623" s="154" t="s">
        <v>6012</v>
      </c>
      <c r="B2623" s="154" t="s">
        <v>6013</v>
      </c>
      <c r="C2623" s="155"/>
      <c r="D2623" s="154">
        <v>2.0</v>
      </c>
      <c r="E2623" s="154" t="s">
        <v>1237</v>
      </c>
      <c r="F2623" s="154" t="s">
        <v>6017</v>
      </c>
      <c r="G2623" s="154">
        <v>4.3916089E7</v>
      </c>
      <c r="H2623" s="156">
        <v>0.0</v>
      </c>
      <c r="I2623" s="154">
        <v>5.06463222E8</v>
      </c>
      <c r="J2623" s="156">
        <v>0.0</v>
      </c>
      <c r="K2623" s="154" t="s">
        <v>259</v>
      </c>
    </row>
    <row r="2624">
      <c r="A2624" s="154" t="s">
        <v>6018</v>
      </c>
      <c r="B2624" s="154" t="s">
        <v>6019</v>
      </c>
      <c r="C2624" s="155"/>
      <c r="D2624" s="154">
        <v>2.0</v>
      </c>
      <c r="E2624" s="154" t="s">
        <v>1237</v>
      </c>
      <c r="F2624" s="154" t="s">
        <v>6020</v>
      </c>
      <c r="G2624" s="154">
        <v>971.0</v>
      </c>
      <c r="H2624" s="156">
        <v>0.0</v>
      </c>
      <c r="I2624" s="154" t="s">
        <v>6021</v>
      </c>
      <c r="J2624" s="154" t="s">
        <v>6022</v>
      </c>
      <c r="K2624" s="154" t="s">
        <v>197</v>
      </c>
    </row>
    <row r="2625">
      <c r="A2625" s="154" t="s">
        <v>6018</v>
      </c>
      <c r="B2625" s="155"/>
      <c r="C2625" s="154" t="s">
        <v>6019</v>
      </c>
      <c r="D2625" s="155"/>
      <c r="E2625" s="155"/>
      <c r="F2625" s="154" t="s">
        <v>6023</v>
      </c>
      <c r="G2625" s="154">
        <v>971.0</v>
      </c>
      <c r="H2625" s="156">
        <v>0.0</v>
      </c>
      <c r="I2625" s="154" t="s">
        <v>6021</v>
      </c>
      <c r="J2625" s="154" t="s">
        <v>6022</v>
      </c>
      <c r="K2625" s="154" t="s">
        <v>760</v>
      </c>
    </row>
    <row r="2626">
      <c r="A2626" s="154" t="s">
        <v>6024</v>
      </c>
      <c r="B2626" s="154" t="s">
        <v>6025</v>
      </c>
      <c r="C2626" s="155"/>
      <c r="D2626" s="154">
        <v>2.0</v>
      </c>
      <c r="E2626" s="154" t="s">
        <v>1237</v>
      </c>
      <c r="F2626" s="154" t="s">
        <v>6026</v>
      </c>
      <c r="G2626" s="154">
        <v>5.04594259E8</v>
      </c>
      <c r="H2626" s="156">
        <v>0.0</v>
      </c>
      <c r="I2626" s="154">
        <v>5.04594259E8</v>
      </c>
      <c r="J2626" s="156">
        <v>0.0</v>
      </c>
      <c r="K2626" s="154" t="s">
        <v>914</v>
      </c>
    </row>
    <row r="2627">
      <c r="A2627" s="154" t="s">
        <v>6024</v>
      </c>
      <c r="B2627" s="155"/>
      <c r="C2627" s="154" t="s">
        <v>6025</v>
      </c>
      <c r="D2627" s="155"/>
      <c r="E2627" s="155"/>
      <c r="F2627" s="154" t="s">
        <v>6026</v>
      </c>
      <c r="G2627" s="154">
        <v>5.04594259E8</v>
      </c>
      <c r="H2627" s="156">
        <v>0.0</v>
      </c>
      <c r="I2627" s="154">
        <v>5.04594259E8</v>
      </c>
      <c r="J2627" s="156">
        <v>0.0</v>
      </c>
      <c r="K2627" s="154" t="s">
        <v>914</v>
      </c>
    </row>
    <row r="2628">
      <c r="A2628" s="154" t="s">
        <v>6027</v>
      </c>
      <c r="B2628" s="155"/>
      <c r="C2628" s="154" t="s">
        <v>6028</v>
      </c>
      <c r="D2628" s="155"/>
      <c r="E2628" s="155"/>
      <c r="F2628" s="154" t="s">
        <v>6029</v>
      </c>
      <c r="G2628" s="154">
        <v>0.0</v>
      </c>
      <c r="H2628" s="156">
        <v>0.0</v>
      </c>
      <c r="I2628" s="154">
        <v>5.59007815E8</v>
      </c>
      <c r="J2628" s="156">
        <v>0.0</v>
      </c>
      <c r="K2628" s="154" t="s">
        <v>361</v>
      </c>
    </row>
    <row r="2629">
      <c r="A2629" s="154" t="s">
        <v>6027</v>
      </c>
      <c r="B2629" s="154" t="s">
        <v>6028</v>
      </c>
      <c r="C2629" s="155"/>
      <c r="D2629" s="154">
        <v>2.0</v>
      </c>
      <c r="E2629" s="154" t="s">
        <v>1237</v>
      </c>
      <c r="F2629" s="154" t="s">
        <v>6029</v>
      </c>
      <c r="G2629" s="154">
        <v>0.0</v>
      </c>
      <c r="H2629" s="156">
        <v>0.0</v>
      </c>
      <c r="I2629" s="154">
        <v>5.59007815E8</v>
      </c>
      <c r="J2629" s="156">
        <v>0.0</v>
      </c>
      <c r="K2629" s="154" t="s">
        <v>361</v>
      </c>
    </row>
    <row r="2630">
      <c r="A2630" s="154" t="s">
        <v>6030</v>
      </c>
      <c r="B2630" s="154" t="s">
        <v>6031</v>
      </c>
      <c r="C2630" s="155"/>
      <c r="D2630" s="154">
        <v>2.0</v>
      </c>
      <c r="E2630" s="154" t="s">
        <v>1237</v>
      </c>
      <c r="F2630" s="154" t="s">
        <v>6032</v>
      </c>
      <c r="G2630" s="154">
        <v>5.05038903E8</v>
      </c>
      <c r="H2630" s="156">
        <v>0.0</v>
      </c>
      <c r="I2630" s="154">
        <v>5.05038903E8</v>
      </c>
      <c r="J2630" s="156">
        <v>0.0</v>
      </c>
      <c r="K2630" s="154" t="s">
        <v>1059</v>
      </c>
    </row>
    <row r="2631">
      <c r="A2631" s="154" t="s">
        <v>6030</v>
      </c>
      <c r="B2631" s="155"/>
      <c r="C2631" s="154" t="s">
        <v>6031</v>
      </c>
      <c r="D2631" s="155"/>
      <c r="E2631" s="155"/>
      <c r="F2631" s="154" t="s">
        <v>6032</v>
      </c>
      <c r="G2631" s="154">
        <v>5.05038903E8</v>
      </c>
      <c r="H2631" s="156">
        <v>0.0</v>
      </c>
      <c r="I2631" s="154">
        <v>5.05038903E8</v>
      </c>
      <c r="J2631" s="156">
        <v>0.0</v>
      </c>
      <c r="K2631" s="154" t="s">
        <v>1059</v>
      </c>
    </row>
    <row r="2632">
      <c r="A2632" s="154" t="s">
        <v>6033</v>
      </c>
      <c r="B2632" s="155"/>
      <c r="C2632" s="154" t="s">
        <v>6034</v>
      </c>
      <c r="D2632" s="155"/>
      <c r="E2632" s="155"/>
      <c r="F2632" s="154" t="s">
        <v>6035</v>
      </c>
      <c r="G2632" s="156">
        <v>0.0</v>
      </c>
      <c r="H2632" s="156">
        <v>0.0</v>
      </c>
      <c r="I2632" s="154">
        <v>9.71501013635E11</v>
      </c>
      <c r="J2632" s="156">
        <v>0.0</v>
      </c>
      <c r="K2632" s="154" t="s">
        <v>361</v>
      </c>
    </row>
    <row r="2633">
      <c r="A2633" s="154" t="s">
        <v>6033</v>
      </c>
      <c r="B2633" s="154" t="s">
        <v>6034</v>
      </c>
      <c r="C2633" s="155"/>
      <c r="D2633" s="154">
        <v>2.0</v>
      </c>
      <c r="E2633" s="154" t="s">
        <v>1237</v>
      </c>
      <c r="F2633" s="154" t="s">
        <v>6036</v>
      </c>
      <c r="G2633" s="156">
        <v>0.0</v>
      </c>
      <c r="H2633" s="156">
        <v>0.0</v>
      </c>
      <c r="I2633" s="154">
        <v>9.71501013635E11</v>
      </c>
      <c r="J2633" s="156">
        <v>0.0</v>
      </c>
      <c r="K2633" s="154" t="s">
        <v>361</v>
      </c>
    </row>
    <row r="2634">
      <c r="A2634" s="154" t="s">
        <v>6037</v>
      </c>
      <c r="B2634" s="154" t="s">
        <v>6038</v>
      </c>
      <c r="C2634" s="155"/>
      <c r="D2634" s="154">
        <v>2.0</v>
      </c>
      <c r="E2634" s="154" t="s">
        <v>1237</v>
      </c>
      <c r="F2634" s="154" t="s">
        <v>1238</v>
      </c>
      <c r="G2634" s="154">
        <v>4.7018111E7</v>
      </c>
      <c r="H2634" s="154" t="s">
        <v>1239</v>
      </c>
      <c r="I2634" s="156">
        <v>0.0</v>
      </c>
      <c r="J2634" s="156">
        <v>0.0</v>
      </c>
      <c r="K2634" s="156">
        <v>0.0</v>
      </c>
    </row>
    <row r="2635">
      <c r="A2635" s="154" t="s">
        <v>6037</v>
      </c>
      <c r="B2635" s="155"/>
      <c r="C2635" s="154" t="s">
        <v>6038</v>
      </c>
      <c r="D2635" s="155"/>
      <c r="E2635" s="155"/>
      <c r="F2635" s="154" t="s">
        <v>1238</v>
      </c>
      <c r="G2635" s="154">
        <v>4.7018111E7</v>
      </c>
      <c r="H2635" s="154" t="s">
        <v>1239</v>
      </c>
      <c r="I2635" s="156">
        <v>0.0</v>
      </c>
      <c r="J2635" s="156">
        <v>0.0</v>
      </c>
      <c r="K2635" s="156">
        <v>0.0</v>
      </c>
    </row>
    <row r="2636">
      <c r="A2636" s="154" t="s">
        <v>6039</v>
      </c>
      <c r="B2636" s="154" t="s">
        <v>6040</v>
      </c>
      <c r="C2636" s="155"/>
      <c r="D2636" s="154">
        <v>2.0</v>
      </c>
      <c r="E2636" s="154" t="s">
        <v>1237</v>
      </c>
      <c r="F2636" s="154" t="s">
        <v>1238</v>
      </c>
      <c r="G2636" s="154">
        <v>4.7018111E7</v>
      </c>
      <c r="H2636" s="154" t="s">
        <v>1239</v>
      </c>
      <c r="I2636" s="156">
        <v>0.0</v>
      </c>
      <c r="J2636" s="156">
        <v>0.0</v>
      </c>
      <c r="K2636" s="156">
        <v>0.0</v>
      </c>
    </row>
    <row r="2637">
      <c r="A2637" s="154" t="s">
        <v>6039</v>
      </c>
      <c r="B2637" s="155"/>
      <c r="C2637" s="154" t="s">
        <v>6040</v>
      </c>
      <c r="D2637" s="155"/>
      <c r="E2637" s="155"/>
      <c r="F2637" s="154" t="s">
        <v>1238</v>
      </c>
      <c r="G2637" s="154">
        <v>4.7018111E7</v>
      </c>
      <c r="H2637" s="154" t="s">
        <v>1239</v>
      </c>
      <c r="I2637" s="156">
        <v>0.0</v>
      </c>
      <c r="J2637" s="156">
        <v>0.0</v>
      </c>
      <c r="K2637" s="156">
        <v>0.0</v>
      </c>
    </row>
    <row r="2638">
      <c r="A2638" s="154" t="s">
        <v>6041</v>
      </c>
      <c r="B2638" s="154" t="s">
        <v>6042</v>
      </c>
      <c r="D2638" s="154">
        <v>2.0</v>
      </c>
      <c r="E2638" s="154" t="s">
        <v>761</v>
      </c>
      <c r="F2638" s="154" t="s">
        <v>6043</v>
      </c>
      <c r="G2638" s="154" t="s">
        <v>6044</v>
      </c>
      <c r="H2638" s="154" t="s">
        <v>6045</v>
      </c>
      <c r="I2638" s="154" t="s">
        <v>6046</v>
      </c>
      <c r="J2638" s="154" t="s">
        <v>6047</v>
      </c>
      <c r="K2638" s="154" t="s">
        <v>818</v>
      </c>
    </row>
    <row r="2639">
      <c r="A2639" s="154" t="s">
        <v>6041</v>
      </c>
      <c r="B2639" s="155"/>
      <c r="C2639" s="154" t="s">
        <v>6042</v>
      </c>
      <c r="D2639" s="155"/>
      <c r="E2639" s="155"/>
      <c r="F2639" s="154" t="s">
        <v>6043</v>
      </c>
      <c r="G2639" s="154" t="s">
        <v>6044</v>
      </c>
      <c r="H2639" s="154" t="s">
        <v>6045</v>
      </c>
      <c r="I2639" s="154" t="s">
        <v>6046</v>
      </c>
      <c r="J2639" s="154" t="s">
        <v>6047</v>
      </c>
      <c r="K2639" s="154" t="s">
        <v>818</v>
      </c>
    </row>
    <row r="2640">
      <c r="A2640" s="154" t="s">
        <v>6048</v>
      </c>
      <c r="B2640" s="154" t="s">
        <v>6049</v>
      </c>
      <c r="D2640" s="154">
        <v>2.0</v>
      </c>
      <c r="E2640" s="154" t="s">
        <v>761</v>
      </c>
      <c r="F2640" s="154" t="s">
        <v>6050</v>
      </c>
      <c r="G2640" s="156">
        <v>0.0</v>
      </c>
      <c r="H2640" s="154" t="s">
        <v>1185</v>
      </c>
      <c r="I2640" s="154" t="s">
        <v>6051</v>
      </c>
      <c r="J2640" s="154" t="s">
        <v>6052</v>
      </c>
      <c r="K2640" s="154" t="s">
        <v>361</v>
      </c>
    </row>
    <row r="2641">
      <c r="A2641" s="154" t="s">
        <v>6048</v>
      </c>
      <c r="B2641" s="155"/>
      <c r="C2641" s="154" t="s">
        <v>6049</v>
      </c>
      <c r="D2641" s="155"/>
      <c r="E2641" s="155"/>
      <c r="F2641" s="154" t="s">
        <v>6050</v>
      </c>
      <c r="G2641" s="156">
        <v>0.0</v>
      </c>
      <c r="H2641" s="154" t="s">
        <v>1185</v>
      </c>
      <c r="I2641" s="154" t="s">
        <v>6051</v>
      </c>
      <c r="J2641" s="154" t="s">
        <v>6052</v>
      </c>
      <c r="K2641" s="154" t="s">
        <v>361</v>
      </c>
    </row>
    <row r="2642">
      <c r="A2642" s="154" t="s">
        <v>6053</v>
      </c>
      <c r="B2642" s="155"/>
      <c r="C2642" s="154" t="s">
        <v>6054</v>
      </c>
      <c r="D2642" s="155"/>
      <c r="E2642" s="155"/>
      <c r="F2642" s="154" t="s">
        <v>6055</v>
      </c>
      <c r="G2642" s="156">
        <v>0.0</v>
      </c>
      <c r="H2642" s="156">
        <v>0.0</v>
      </c>
      <c r="I2642" s="154" t="s">
        <v>853</v>
      </c>
      <c r="J2642" s="156">
        <v>0.0</v>
      </c>
      <c r="K2642" s="154" t="s">
        <v>361</v>
      </c>
    </row>
    <row r="2643">
      <c r="A2643" s="154" t="s">
        <v>6053</v>
      </c>
      <c r="B2643" s="154" t="s">
        <v>6054</v>
      </c>
      <c r="D2643" s="154">
        <v>2.0</v>
      </c>
      <c r="E2643" s="154" t="s">
        <v>761</v>
      </c>
      <c r="F2643" s="154" t="s">
        <v>6056</v>
      </c>
      <c r="G2643" s="156">
        <v>0.0</v>
      </c>
      <c r="H2643" s="156">
        <v>0.0</v>
      </c>
      <c r="I2643" s="154" t="s">
        <v>853</v>
      </c>
      <c r="J2643" s="156">
        <v>0.0</v>
      </c>
      <c r="K2643" s="154" t="s">
        <v>361</v>
      </c>
    </row>
    <row r="2644">
      <c r="A2644" s="154" t="s">
        <v>6057</v>
      </c>
      <c r="B2644" s="155"/>
      <c r="C2644" s="154" t="s">
        <v>6058</v>
      </c>
      <c r="D2644" s="155"/>
      <c r="E2644" s="155"/>
      <c r="F2644" s="154" t="s">
        <v>6059</v>
      </c>
      <c r="G2644" s="154">
        <v>0.0</v>
      </c>
      <c r="H2644" s="156">
        <v>0.0</v>
      </c>
      <c r="I2644" s="154">
        <v>0.0</v>
      </c>
      <c r="J2644" s="156">
        <v>0.0</v>
      </c>
      <c r="K2644" s="154" t="s">
        <v>760</v>
      </c>
    </row>
    <row r="2645">
      <c r="A2645" s="154" t="s">
        <v>6057</v>
      </c>
      <c r="B2645" s="154" t="s">
        <v>6058</v>
      </c>
      <c r="D2645" s="154">
        <v>2.0</v>
      </c>
      <c r="E2645" s="154" t="s">
        <v>761</v>
      </c>
      <c r="F2645" s="154" t="s">
        <v>6059</v>
      </c>
      <c r="G2645" s="154">
        <v>0.0</v>
      </c>
      <c r="H2645" s="156">
        <v>0.0</v>
      </c>
      <c r="I2645" s="154">
        <v>0.0</v>
      </c>
      <c r="J2645" s="156">
        <v>0.0</v>
      </c>
      <c r="K2645" s="154" t="s">
        <v>760</v>
      </c>
    </row>
    <row r="2646">
      <c r="A2646" s="154" t="s">
        <v>6060</v>
      </c>
      <c r="B2646" s="155"/>
      <c r="C2646" s="154" t="s">
        <v>6061</v>
      </c>
      <c r="D2646" s="155"/>
      <c r="E2646" s="155"/>
      <c r="F2646" s="154" t="s">
        <v>6062</v>
      </c>
      <c r="G2646" s="154">
        <v>0.0</v>
      </c>
      <c r="H2646" s="156">
        <v>0.0</v>
      </c>
      <c r="I2646" s="154">
        <v>9.71554151992E11</v>
      </c>
      <c r="J2646" s="156">
        <v>0.0</v>
      </c>
      <c r="K2646" s="154" t="s">
        <v>361</v>
      </c>
    </row>
    <row r="2647">
      <c r="A2647" s="154" t="s">
        <v>6060</v>
      </c>
      <c r="B2647" s="154" t="s">
        <v>6061</v>
      </c>
      <c r="D2647" s="154">
        <v>2.0</v>
      </c>
      <c r="E2647" s="154" t="s">
        <v>761</v>
      </c>
      <c r="F2647" s="154" t="s">
        <v>6062</v>
      </c>
      <c r="G2647" s="154">
        <v>0.0</v>
      </c>
      <c r="H2647" s="156">
        <v>0.0</v>
      </c>
      <c r="I2647" s="154">
        <v>9.71554151992E11</v>
      </c>
      <c r="J2647" s="156">
        <v>0.0</v>
      </c>
      <c r="K2647" s="154" t="s">
        <v>361</v>
      </c>
    </row>
    <row r="2648">
      <c r="A2648" s="154" t="s">
        <v>6063</v>
      </c>
      <c r="B2648" s="154" t="s">
        <v>6064</v>
      </c>
      <c r="D2648" s="154">
        <v>2.0</v>
      </c>
      <c r="E2648" s="154" t="s">
        <v>761</v>
      </c>
      <c r="F2648" s="154" t="s">
        <v>6065</v>
      </c>
      <c r="G2648" s="154">
        <v>5.06257949E8</v>
      </c>
      <c r="H2648" s="156">
        <v>0.0</v>
      </c>
      <c r="I2648" s="156">
        <v>0.0</v>
      </c>
      <c r="J2648" s="156">
        <v>0.0</v>
      </c>
      <c r="K2648" s="154" t="s">
        <v>320</v>
      </c>
    </row>
    <row r="2649">
      <c r="A2649" s="154" t="s">
        <v>6063</v>
      </c>
      <c r="B2649" s="155"/>
      <c r="C2649" s="154" t="s">
        <v>6064</v>
      </c>
      <c r="D2649" s="155"/>
      <c r="E2649" s="155"/>
      <c r="F2649" s="154" t="s">
        <v>6065</v>
      </c>
      <c r="G2649" s="154">
        <v>5.06257949E8</v>
      </c>
      <c r="H2649" s="156">
        <v>0.0</v>
      </c>
      <c r="I2649" s="156">
        <v>0.0</v>
      </c>
      <c r="J2649" s="156">
        <v>0.0</v>
      </c>
      <c r="K2649" s="154" t="s">
        <v>320</v>
      </c>
    </row>
    <row r="2650">
      <c r="A2650" s="154" t="s">
        <v>6066</v>
      </c>
      <c r="B2650" s="154" t="s">
        <v>6067</v>
      </c>
      <c r="D2650" s="154">
        <v>2.0</v>
      </c>
      <c r="E2650" s="154" t="s">
        <v>761</v>
      </c>
      <c r="F2650" s="154" t="s">
        <v>6068</v>
      </c>
      <c r="G2650" s="156">
        <v>0.0</v>
      </c>
      <c r="H2650" s="154" t="s">
        <v>6069</v>
      </c>
      <c r="I2650" s="154" t="s">
        <v>6070</v>
      </c>
      <c r="J2650" s="154" t="s">
        <v>6071</v>
      </c>
      <c r="K2650" s="154" t="s">
        <v>259</v>
      </c>
    </row>
    <row r="2651">
      <c r="A2651" s="154" t="s">
        <v>6066</v>
      </c>
      <c r="B2651" s="155"/>
      <c r="C2651" s="154" t="s">
        <v>6067</v>
      </c>
      <c r="D2651" s="155"/>
      <c r="E2651" s="155"/>
      <c r="F2651" s="154" t="s">
        <v>6068</v>
      </c>
      <c r="G2651" s="156">
        <v>0.0</v>
      </c>
      <c r="H2651" s="154" t="s">
        <v>6069</v>
      </c>
      <c r="I2651" s="154" t="s">
        <v>6070</v>
      </c>
      <c r="J2651" s="154" t="s">
        <v>6071</v>
      </c>
      <c r="K2651" s="154" t="s">
        <v>259</v>
      </c>
    </row>
    <row r="2652">
      <c r="A2652" s="154" t="s">
        <v>6072</v>
      </c>
      <c r="B2652" s="154" t="s">
        <v>6073</v>
      </c>
      <c r="D2652" s="154">
        <v>2.0</v>
      </c>
      <c r="E2652" s="154" t="s">
        <v>761</v>
      </c>
      <c r="F2652" s="154" t="s">
        <v>6074</v>
      </c>
      <c r="G2652" s="154">
        <v>2825044.0</v>
      </c>
      <c r="H2652" s="156">
        <v>0.0</v>
      </c>
      <c r="I2652" s="154">
        <v>9.71506243767E11</v>
      </c>
      <c r="J2652" s="156">
        <v>0.0</v>
      </c>
      <c r="K2652" s="154" t="s">
        <v>207</v>
      </c>
    </row>
    <row r="2653">
      <c r="A2653" s="154" t="s">
        <v>6072</v>
      </c>
      <c r="B2653" s="155"/>
      <c r="C2653" s="154" t="s">
        <v>6073</v>
      </c>
      <c r="D2653" s="155"/>
      <c r="E2653" s="155"/>
      <c r="F2653" s="154" t="s">
        <v>6074</v>
      </c>
      <c r="G2653" s="154">
        <v>2825044.0</v>
      </c>
      <c r="H2653" s="156">
        <v>0.0</v>
      </c>
      <c r="I2653" s="154">
        <v>9.71506243767E11</v>
      </c>
      <c r="J2653" s="156">
        <v>0.0</v>
      </c>
      <c r="K2653" s="154" t="s">
        <v>207</v>
      </c>
    </row>
    <row r="2654">
      <c r="A2654" s="154" t="s">
        <v>6075</v>
      </c>
      <c r="B2654" s="155"/>
      <c r="C2654" s="154" t="s">
        <v>6076</v>
      </c>
      <c r="D2654" s="155"/>
      <c r="E2654" s="155"/>
      <c r="F2654" s="154" t="s">
        <v>6077</v>
      </c>
      <c r="G2654" s="154">
        <v>4.359159E7</v>
      </c>
      <c r="H2654" s="156">
        <v>0.0</v>
      </c>
      <c r="I2654" s="154">
        <v>1.0E9</v>
      </c>
      <c r="J2654" s="156">
        <v>0.0</v>
      </c>
      <c r="K2654" s="154" t="s">
        <v>259</v>
      </c>
    </row>
    <row r="2655">
      <c r="A2655" s="154" t="s">
        <v>6075</v>
      </c>
      <c r="B2655" s="154" t="s">
        <v>6076</v>
      </c>
      <c r="D2655" s="154">
        <v>2.0</v>
      </c>
      <c r="E2655" s="154" t="s">
        <v>761</v>
      </c>
      <c r="F2655" s="154" t="s">
        <v>6077</v>
      </c>
      <c r="G2655" s="154">
        <v>4.359159E7</v>
      </c>
      <c r="H2655" s="156">
        <v>0.0</v>
      </c>
      <c r="I2655" s="154">
        <v>1.0E9</v>
      </c>
      <c r="J2655" s="156">
        <v>0.0</v>
      </c>
      <c r="K2655" s="154" t="s">
        <v>259</v>
      </c>
    </row>
    <row r="2656">
      <c r="A2656" s="154" t="s">
        <v>6078</v>
      </c>
      <c r="B2656" s="154" t="s">
        <v>6079</v>
      </c>
      <c r="D2656" s="154">
        <v>2.0</v>
      </c>
      <c r="E2656" s="154" t="s">
        <v>761</v>
      </c>
      <c r="F2656" s="154" t="s">
        <v>6080</v>
      </c>
      <c r="G2656" s="156">
        <v>0.0</v>
      </c>
      <c r="H2656" s="154" t="s">
        <v>6081</v>
      </c>
      <c r="I2656" s="154" t="s">
        <v>6082</v>
      </c>
      <c r="J2656" s="156">
        <v>0.0</v>
      </c>
      <c r="K2656" s="154" t="s">
        <v>259</v>
      </c>
    </row>
    <row r="2657">
      <c r="A2657" s="154" t="s">
        <v>6078</v>
      </c>
      <c r="B2657" s="155"/>
      <c r="C2657" s="154" t="s">
        <v>6079</v>
      </c>
      <c r="D2657" s="155"/>
      <c r="E2657" s="155"/>
      <c r="F2657" s="154" t="s">
        <v>6083</v>
      </c>
      <c r="G2657" s="154">
        <v>5.03438654E8</v>
      </c>
      <c r="H2657" s="156">
        <v>0.0</v>
      </c>
      <c r="I2657" s="154">
        <v>5.03438654E8</v>
      </c>
      <c r="J2657" s="156">
        <v>0.0</v>
      </c>
      <c r="K2657" s="154" t="s">
        <v>939</v>
      </c>
    </row>
    <row r="2658">
      <c r="A2658" s="154" t="s">
        <v>6084</v>
      </c>
      <c r="B2658" s="155"/>
      <c r="C2658" s="154" t="s">
        <v>6085</v>
      </c>
      <c r="D2658" s="155"/>
      <c r="E2658" s="155"/>
      <c r="F2658" s="154" t="s">
        <v>6086</v>
      </c>
      <c r="G2658" s="156">
        <v>0.0</v>
      </c>
      <c r="H2658" s="156">
        <v>0.0</v>
      </c>
      <c r="I2658" s="154" t="s">
        <v>6087</v>
      </c>
      <c r="J2658" s="154" t="s">
        <v>6088</v>
      </c>
      <c r="K2658" s="154" t="s">
        <v>197</v>
      </c>
    </row>
    <row r="2659">
      <c r="A2659" s="154" t="s">
        <v>6084</v>
      </c>
      <c r="B2659" s="154" t="s">
        <v>6085</v>
      </c>
      <c r="D2659" s="154">
        <v>2.0</v>
      </c>
      <c r="E2659" s="154" t="s">
        <v>761</v>
      </c>
      <c r="F2659" s="154" t="s">
        <v>6086</v>
      </c>
      <c r="G2659" s="156">
        <v>0.0</v>
      </c>
      <c r="H2659" s="156">
        <v>0.0</v>
      </c>
      <c r="I2659" s="154" t="s">
        <v>6087</v>
      </c>
      <c r="J2659" s="154" t="s">
        <v>6088</v>
      </c>
      <c r="K2659" s="154" t="s">
        <v>197</v>
      </c>
    </row>
    <row r="2660">
      <c r="A2660" s="154" t="s">
        <v>6089</v>
      </c>
      <c r="B2660" s="155"/>
      <c r="C2660" s="154" t="s">
        <v>6090</v>
      </c>
      <c r="D2660" s="155"/>
      <c r="E2660" s="155"/>
      <c r="F2660" s="154" t="s">
        <v>6091</v>
      </c>
      <c r="G2660" s="156">
        <v>0.0</v>
      </c>
      <c r="H2660" s="156">
        <v>0.0</v>
      </c>
      <c r="I2660" s="154">
        <v>5.057649E8</v>
      </c>
      <c r="J2660" s="156">
        <v>0.0</v>
      </c>
      <c r="K2660" s="154" t="s">
        <v>361</v>
      </c>
    </row>
    <row r="2661">
      <c r="A2661" s="154" t="s">
        <v>6089</v>
      </c>
      <c r="B2661" s="154" t="s">
        <v>6090</v>
      </c>
      <c r="D2661" s="154">
        <v>2.0</v>
      </c>
      <c r="E2661" s="154" t="s">
        <v>761</v>
      </c>
      <c r="F2661" s="154" t="s">
        <v>6091</v>
      </c>
      <c r="G2661" s="156">
        <v>0.0</v>
      </c>
      <c r="H2661" s="156">
        <v>0.0</v>
      </c>
      <c r="I2661" s="154">
        <v>5.057649E8</v>
      </c>
      <c r="J2661" s="156">
        <v>0.0</v>
      </c>
      <c r="K2661" s="154" t="s">
        <v>361</v>
      </c>
    </row>
    <row r="2662">
      <c r="A2662" s="154" t="s">
        <v>6092</v>
      </c>
      <c r="B2662" s="154" t="s">
        <v>6093</v>
      </c>
      <c r="D2662" s="154">
        <v>2.0</v>
      </c>
      <c r="E2662" s="154" t="s">
        <v>761</v>
      </c>
      <c r="F2662" s="154" t="s">
        <v>6094</v>
      </c>
      <c r="G2662" s="154">
        <v>4.2941234E7</v>
      </c>
      <c r="H2662" s="156">
        <v>0.0</v>
      </c>
      <c r="I2662" s="154">
        <v>9.71502806581E11</v>
      </c>
      <c r="J2662" s="156">
        <v>0.0</v>
      </c>
      <c r="K2662" s="154" t="s">
        <v>361</v>
      </c>
    </row>
    <row r="2663">
      <c r="A2663" s="154" t="s">
        <v>6092</v>
      </c>
      <c r="B2663" s="155"/>
      <c r="C2663" s="154" t="s">
        <v>6093</v>
      </c>
      <c r="D2663" s="155"/>
      <c r="E2663" s="155"/>
      <c r="F2663" s="154" t="s">
        <v>6094</v>
      </c>
      <c r="G2663" s="154">
        <v>4.2941234E7</v>
      </c>
      <c r="H2663" s="156">
        <v>0.0</v>
      </c>
      <c r="I2663" s="154">
        <v>9.71502806581E11</v>
      </c>
      <c r="J2663" s="156">
        <v>0.0</v>
      </c>
      <c r="K2663" s="154" t="s">
        <v>361</v>
      </c>
    </row>
    <row r="2664">
      <c r="A2664" s="154" t="s">
        <v>6095</v>
      </c>
      <c r="B2664" s="155"/>
      <c r="C2664" s="154" t="s">
        <v>6096</v>
      </c>
      <c r="D2664" s="155"/>
      <c r="E2664" s="155"/>
      <c r="F2664" s="154" t="s">
        <v>6097</v>
      </c>
      <c r="G2664" s="154">
        <v>4.3619346E7</v>
      </c>
      <c r="H2664" s="156">
        <v>0.0</v>
      </c>
      <c r="I2664" s="154">
        <v>9.71506403161E11</v>
      </c>
      <c r="J2664" s="156">
        <v>0.0</v>
      </c>
      <c r="K2664" s="154" t="s">
        <v>776</v>
      </c>
    </row>
    <row r="2665">
      <c r="A2665" s="154" t="s">
        <v>6095</v>
      </c>
      <c r="B2665" s="154" t="s">
        <v>6096</v>
      </c>
      <c r="D2665" s="154">
        <v>2.0</v>
      </c>
      <c r="E2665" s="154" t="s">
        <v>761</v>
      </c>
      <c r="F2665" s="154" t="s">
        <v>6097</v>
      </c>
      <c r="G2665" s="154">
        <v>4.3619346E7</v>
      </c>
      <c r="H2665" s="156">
        <v>0.0</v>
      </c>
      <c r="I2665" s="154">
        <v>9.71506403161E11</v>
      </c>
      <c r="J2665" s="156">
        <v>0.0</v>
      </c>
      <c r="K2665" s="154" t="s">
        <v>776</v>
      </c>
    </row>
    <row r="2666">
      <c r="A2666" s="154" t="s">
        <v>6098</v>
      </c>
      <c r="B2666" s="154" t="s">
        <v>6099</v>
      </c>
      <c r="D2666" s="154">
        <v>2.0</v>
      </c>
      <c r="E2666" s="154" t="s">
        <v>761</v>
      </c>
      <c r="F2666" s="154" t="s">
        <v>6100</v>
      </c>
      <c r="G2666" s="156">
        <v>0.0</v>
      </c>
      <c r="H2666" s="154" t="s">
        <v>6101</v>
      </c>
      <c r="I2666" s="154" t="s">
        <v>6102</v>
      </c>
      <c r="J2666" s="154" t="s">
        <v>6103</v>
      </c>
      <c r="K2666" s="154" t="s">
        <v>197</v>
      </c>
    </row>
    <row r="2667">
      <c r="A2667" s="154" t="s">
        <v>6098</v>
      </c>
      <c r="B2667" s="155"/>
      <c r="C2667" s="154" t="s">
        <v>6099</v>
      </c>
      <c r="D2667" s="155"/>
      <c r="E2667" s="155"/>
      <c r="F2667" s="154" t="s">
        <v>6100</v>
      </c>
      <c r="G2667" s="156">
        <v>0.0</v>
      </c>
      <c r="H2667" s="154" t="s">
        <v>1185</v>
      </c>
      <c r="I2667" s="154" t="s">
        <v>6102</v>
      </c>
      <c r="J2667" s="154" t="s">
        <v>6103</v>
      </c>
      <c r="K2667" s="154" t="s">
        <v>197</v>
      </c>
    </row>
    <row r="2668">
      <c r="A2668" s="154" t="s">
        <v>6104</v>
      </c>
      <c r="B2668" s="154" t="s">
        <v>6105</v>
      </c>
      <c r="D2668" s="154">
        <v>2.0</v>
      </c>
      <c r="E2668" s="154" t="s">
        <v>761</v>
      </c>
      <c r="F2668" s="154" t="s">
        <v>6106</v>
      </c>
      <c r="G2668" s="154">
        <v>4.0</v>
      </c>
      <c r="H2668" s="156">
        <v>0.0</v>
      </c>
      <c r="I2668" s="154">
        <v>5.04440116E8</v>
      </c>
      <c r="J2668" s="156">
        <v>0.0</v>
      </c>
      <c r="K2668" s="154" t="s">
        <v>2195</v>
      </c>
    </row>
    <row r="2669">
      <c r="A2669" s="154" t="s">
        <v>6104</v>
      </c>
      <c r="B2669" s="155"/>
      <c r="C2669" s="154" t="s">
        <v>6105</v>
      </c>
      <c r="D2669" s="155"/>
      <c r="E2669" s="155"/>
      <c r="F2669" s="154" t="s">
        <v>6106</v>
      </c>
      <c r="G2669" s="154">
        <v>4.0</v>
      </c>
      <c r="H2669" s="156">
        <v>0.0</v>
      </c>
      <c r="I2669" s="154">
        <v>5.04440116E8</v>
      </c>
      <c r="J2669" s="156">
        <v>0.0</v>
      </c>
      <c r="K2669" s="154" t="s">
        <v>2195</v>
      </c>
    </row>
    <row r="2670">
      <c r="A2670" s="154" t="s">
        <v>6107</v>
      </c>
      <c r="B2670" s="155"/>
      <c r="C2670" s="154" t="s">
        <v>6108</v>
      </c>
      <c r="D2670" s="155"/>
      <c r="E2670" s="155"/>
      <c r="F2670" s="154" t="s">
        <v>6109</v>
      </c>
      <c r="G2670" s="154">
        <v>4.3621615E7</v>
      </c>
      <c r="H2670" s="156">
        <v>0.0</v>
      </c>
      <c r="I2670" s="156">
        <v>0.0</v>
      </c>
      <c r="J2670" s="156">
        <v>0.0</v>
      </c>
      <c r="K2670" s="154" t="s">
        <v>240</v>
      </c>
    </row>
    <row r="2671">
      <c r="A2671" s="154" t="s">
        <v>6107</v>
      </c>
      <c r="B2671" s="154" t="s">
        <v>6108</v>
      </c>
      <c r="D2671" s="154">
        <v>2.0</v>
      </c>
      <c r="E2671" s="154" t="s">
        <v>761</v>
      </c>
      <c r="F2671" s="154" t="s">
        <v>6110</v>
      </c>
      <c r="G2671" s="154">
        <v>5.01465415E8</v>
      </c>
      <c r="H2671" s="156">
        <v>0.0</v>
      </c>
      <c r="I2671" s="154">
        <v>9.71502418458E11</v>
      </c>
      <c r="J2671" s="156">
        <v>0.0</v>
      </c>
      <c r="K2671" s="154" t="s">
        <v>240</v>
      </c>
    </row>
    <row r="2672">
      <c r="A2672" s="154" t="s">
        <v>6111</v>
      </c>
      <c r="B2672" s="154" t="s">
        <v>6112</v>
      </c>
      <c r="D2672" s="154">
        <v>2.0</v>
      </c>
      <c r="E2672" s="154" t="s">
        <v>761</v>
      </c>
      <c r="F2672" s="154" t="s">
        <v>6113</v>
      </c>
      <c r="G2672" s="154">
        <v>5.06586287E8</v>
      </c>
      <c r="H2672" s="156">
        <v>0.0</v>
      </c>
      <c r="I2672" s="156">
        <v>0.0</v>
      </c>
      <c r="J2672" s="156">
        <v>0.0</v>
      </c>
      <c r="K2672" s="154" t="s">
        <v>301</v>
      </c>
    </row>
    <row r="2673">
      <c r="A2673" s="154" t="s">
        <v>6111</v>
      </c>
      <c r="B2673" s="155"/>
      <c r="C2673" s="154" t="s">
        <v>6112</v>
      </c>
      <c r="D2673" s="155"/>
      <c r="E2673" s="155"/>
      <c r="F2673" s="154" t="s">
        <v>6113</v>
      </c>
      <c r="G2673" s="154">
        <v>5.06586287E8</v>
      </c>
      <c r="H2673" s="156">
        <v>0.0</v>
      </c>
      <c r="I2673" s="156">
        <v>0.0</v>
      </c>
      <c r="J2673" s="156">
        <v>0.0</v>
      </c>
      <c r="K2673" s="154" t="s">
        <v>301</v>
      </c>
    </row>
    <row r="2674">
      <c r="A2674" s="154" t="s">
        <v>6114</v>
      </c>
      <c r="B2674" s="155"/>
      <c r="C2674" s="154" t="s">
        <v>6115</v>
      </c>
      <c r="D2674" s="155"/>
      <c r="E2674" s="155"/>
      <c r="F2674" s="154" t="s">
        <v>6116</v>
      </c>
      <c r="G2674" s="154">
        <v>0.0</v>
      </c>
      <c r="H2674" s="156">
        <v>0.0</v>
      </c>
      <c r="I2674" s="156">
        <v>0.0</v>
      </c>
      <c r="J2674" s="156">
        <v>0.0</v>
      </c>
      <c r="K2674" s="154" t="s">
        <v>361</v>
      </c>
    </row>
    <row r="2675">
      <c r="A2675" s="154" t="s">
        <v>6114</v>
      </c>
      <c r="B2675" s="154" t="s">
        <v>6115</v>
      </c>
      <c r="D2675" s="154">
        <v>2.0</v>
      </c>
      <c r="E2675" s="154" t="s">
        <v>761</v>
      </c>
      <c r="F2675" s="154" t="s">
        <v>6117</v>
      </c>
      <c r="G2675" s="154">
        <v>3.0</v>
      </c>
      <c r="H2675" s="156">
        <v>0.0</v>
      </c>
      <c r="I2675" s="154">
        <v>5.03439379E8</v>
      </c>
      <c r="J2675" s="156">
        <v>0.0</v>
      </c>
      <c r="K2675" s="154" t="s">
        <v>361</v>
      </c>
    </row>
    <row r="2676">
      <c r="A2676" s="154" t="s">
        <v>6118</v>
      </c>
      <c r="B2676" s="154" t="s">
        <v>6119</v>
      </c>
      <c r="D2676" s="154">
        <v>2.0</v>
      </c>
      <c r="E2676" s="154" t="s">
        <v>761</v>
      </c>
      <c r="F2676" s="154" t="s">
        <v>6120</v>
      </c>
      <c r="G2676" s="154">
        <v>0.0</v>
      </c>
      <c r="H2676" s="156">
        <v>0.0</v>
      </c>
      <c r="I2676" s="154">
        <v>9.71554705684E11</v>
      </c>
      <c r="J2676" s="156">
        <v>0.0</v>
      </c>
      <c r="K2676" s="154" t="s">
        <v>361</v>
      </c>
    </row>
    <row r="2677">
      <c r="A2677" s="154" t="s">
        <v>6118</v>
      </c>
      <c r="B2677" s="155"/>
      <c r="C2677" s="154" t="s">
        <v>6119</v>
      </c>
      <c r="D2677" s="155"/>
      <c r="E2677" s="155"/>
      <c r="F2677" s="154" t="s">
        <v>6120</v>
      </c>
      <c r="G2677" s="154">
        <v>0.0</v>
      </c>
      <c r="H2677" s="156">
        <v>0.0</v>
      </c>
      <c r="I2677" s="154">
        <v>9.71554705684E11</v>
      </c>
      <c r="J2677" s="156">
        <v>0.0</v>
      </c>
      <c r="K2677" s="154" t="s">
        <v>361</v>
      </c>
    </row>
    <row r="2678">
      <c r="A2678" s="154" t="s">
        <v>6121</v>
      </c>
      <c r="B2678" s="154" t="s">
        <v>6122</v>
      </c>
      <c r="D2678" s="154">
        <v>2.0</v>
      </c>
      <c r="E2678" s="154" t="s">
        <v>761</v>
      </c>
      <c r="F2678" s="154" t="s">
        <v>6123</v>
      </c>
      <c r="G2678" s="156">
        <v>0.0</v>
      </c>
      <c r="H2678" s="156">
        <v>0.0</v>
      </c>
      <c r="I2678" s="154" t="s">
        <v>6124</v>
      </c>
      <c r="J2678" s="156">
        <v>0.0</v>
      </c>
      <c r="K2678" s="154" t="s">
        <v>1059</v>
      </c>
    </row>
    <row r="2679">
      <c r="A2679" s="154" t="s">
        <v>6121</v>
      </c>
      <c r="B2679" s="155"/>
      <c r="C2679" s="154" t="s">
        <v>6122</v>
      </c>
      <c r="D2679" s="155"/>
      <c r="E2679" s="155"/>
      <c r="F2679" s="154" t="s">
        <v>6125</v>
      </c>
      <c r="G2679" s="156">
        <v>0.0</v>
      </c>
      <c r="H2679" s="156">
        <v>0.0</v>
      </c>
      <c r="I2679" s="154" t="s">
        <v>6124</v>
      </c>
      <c r="J2679" s="156">
        <v>0.0</v>
      </c>
      <c r="K2679" s="154" t="s">
        <v>1059</v>
      </c>
    </row>
    <row r="2680">
      <c r="A2680" s="154" t="s">
        <v>6126</v>
      </c>
      <c r="B2680" s="154" t="s">
        <v>6127</v>
      </c>
      <c r="D2680" s="154">
        <v>2.0</v>
      </c>
      <c r="E2680" s="154" t="s">
        <v>761</v>
      </c>
      <c r="F2680" s="154" t="s">
        <v>6128</v>
      </c>
      <c r="G2680" s="156">
        <v>0.0</v>
      </c>
      <c r="H2680" s="156">
        <v>0.0</v>
      </c>
      <c r="I2680" s="154" t="s">
        <v>6129</v>
      </c>
      <c r="J2680" s="154" t="s">
        <v>6130</v>
      </c>
      <c r="K2680" s="154" t="s">
        <v>259</v>
      </c>
    </row>
    <row r="2681">
      <c r="A2681" s="154" t="s">
        <v>6126</v>
      </c>
      <c r="B2681" s="155"/>
      <c r="C2681" s="154" t="s">
        <v>6127</v>
      </c>
      <c r="D2681" s="155"/>
      <c r="E2681" s="155"/>
      <c r="F2681" s="154" t="s">
        <v>6128</v>
      </c>
      <c r="G2681" s="156">
        <v>0.0</v>
      </c>
      <c r="H2681" s="156">
        <v>0.0</v>
      </c>
      <c r="I2681" s="154" t="s">
        <v>6129</v>
      </c>
      <c r="J2681" s="154" t="s">
        <v>6130</v>
      </c>
      <c r="K2681" s="154" t="s">
        <v>259</v>
      </c>
    </row>
    <row r="2682">
      <c r="A2682" s="154" t="s">
        <v>6131</v>
      </c>
      <c r="B2682" s="155"/>
      <c r="C2682" s="154" t="s">
        <v>6132</v>
      </c>
      <c r="D2682" s="155"/>
      <c r="E2682" s="155"/>
      <c r="F2682" s="154" t="s">
        <v>6133</v>
      </c>
      <c r="G2682" s="154">
        <v>0.0</v>
      </c>
      <c r="H2682" s="156">
        <v>0.0</v>
      </c>
      <c r="I2682" s="154">
        <v>9.71506246525E11</v>
      </c>
      <c r="J2682" s="156">
        <v>0.0</v>
      </c>
      <c r="K2682" s="154" t="s">
        <v>1461</v>
      </c>
    </row>
    <row r="2683">
      <c r="A2683" s="154" t="s">
        <v>6131</v>
      </c>
      <c r="B2683" s="154" t="s">
        <v>6132</v>
      </c>
      <c r="D2683" s="154">
        <v>2.0</v>
      </c>
      <c r="E2683" s="154" t="s">
        <v>761</v>
      </c>
      <c r="F2683" s="154" t="s">
        <v>1619</v>
      </c>
      <c r="G2683" s="154">
        <v>4.3903333E7</v>
      </c>
      <c r="H2683" s="154" t="s">
        <v>1620</v>
      </c>
      <c r="I2683" s="156">
        <v>0.0</v>
      </c>
      <c r="J2683" s="156">
        <v>0.0</v>
      </c>
      <c r="K2683" s="156">
        <v>0.0</v>
      </c>
    </row>
    <row r="2684">
      <c r="A2684" s="154" t="s">
        <v>6134</v>
      </c>
      <c r="B2684" s="155"/>
      <c r="C2684" s="154" t="s">
        <v>6135</v>
      </c>
      <c r="D2684" s="155"/>
      <c r="E2684" s="155"/>
      <c r="F2684" s="154" t="s">
        <v>6136</v>
      </c>
      <c r="G2684" s="156">
        <v>0.0</v>
      </c>
      <c r="H2684" s="154" t="s">
        <v>2925</v>
      </c>
      <c r="I2684" s="154" t="s">
        <v>853</v>
      </c>
      <c r="J2684" s="154" t="s">
        <v>809</v>
      </c>
      <c r="K2684" s="154" t="s">
        <v>301</v>
      </c>
    </row>
    <row r="2685">
      <c r="A2685" s="154" t="s">
        <v>6134</v>
      </c>
      <c r="B2685" s="154" t="s">
        <v>6135</v>
      </c>
      <c r="D2685" s="154">
        <v>2.0</v>
      </c>
      <c r="E2685" s="154" t="s">
        <v>761</v>
      </c>
      <c r="F2685" s="154" t="s">
        <v>6137</v>
      </c>
      <c r="G2685" s="156">
        <v>0.0</v>
      </c>
      <c r="H2685" s="154" t="s">
        <v>2925</v>
      </c>
      <c r="I2685" s="154" t="s">
        <v>853</v>
      </c>
      <c r="J2685" s="154" t="s">
        <v>1133</v>
      </c>
      <c r="K2685" s="154" t="s">
        <v>301</v>
      </c>
    </row>
    <row r="2686">
      <c r="A2686" s="154" t="s">
        <v>6138</v>
      </c>
      <c r="B2686" s="154" t="s">
        <v>6139</v>
      </c>
      <c r="D2686" s="154">
        <v>2.0</v>
      </c>
      <c r="E2686" s="154" t="s">
        <v>761</v>
      </c>
      <c r="F2686" s="154" t="s">
        <v>3058</v>
      </c>
      <c r="G2686" s="156">
        <v>0.0</v>
      </c>
      <c r="H2686" s="154" t="s">
        <v>3059</v>
      </c>
      <c r="I2686" s="154" t="s">
        <v>3060</v>
      </c>
      <c r="J2686" s="154" t="s">
        <v>3061</v>
      </c>
      <c r="K2686" s="154" t="s">
        <v>760</v>
      </c>
    </row>
    <row r="2687">
      <c r="A2687" s="154" t="s">
        <v>6138</v>
      </c>
      <c r="B2687" s="155"/>
      <c r="C2687" s="154" t="s">
        <v>6139</v>
      </c>
      <c r="D2687" s="155"/>
      <c r="E2687" s="155"/>
      <c r="F2687" s="154" t="s">
        <v>3058</v>
      </c>
      <c r="G2687" s="156">
        <v>0.0</v>
      </c>
      <c r="H2687" s="154" t="s">
        <v>3059</v>
      </c>
      <c r="I2687" s="154" t="s">
        <v>3060</v>
      </c>
      <c r="J2687" s="154" t="s">
        <v>3061</v>
      </c>
      <c r="K2687" s="154" t="s">
        <v>760</v>
      </c>
    </row>
    <row r="2688">
      <c r="A2688" s="154" t="s">
        <v>6140</v>
      </c>
      <c r="B2688" s="154" t="s">
        <v>6141</v>
      </c>
      <c r="D2688" s="154">
        <v>2.0</v>
      </c>
      <c r="E2688" s="154" t="s">
        <v>761</v>
      </c>
      <c r="F2688" s="154" t="s">
        <v>3786</v>
      </c>
      <c r="G2688" s="154">
        <v>4.3902282E7</v>
      </c>
      <c r="H2688" s="154" t="s">
        <v>1185</v>
      </c>
      <c r="I2688" s="156">
        <v>0.0</v>
      </c>
      <c r="J2688" s="156">
        <v>0.0</v>
      </c>
      <c r="K2688" s="156">
        <v>0.0</v>
      </c>
    </row>
    <row r="2689">
      <c r="A2689" s="154" t="s">
        <v>6140</v>
      </c>
      <c r="B2689" s="155"/>
      <c r="C2689" s="154" t="s">
        <v>6141</v>
      </c>
      <c r="D2689" s="155"/>
      <c r="E2689" s="155"/>
      <c r="F2689" s="154" t="s">
        <v>6142</v>
      </c>
      <c r="G2689" s="156">
        <v>0.0</v>
      </c>
      <c r="H2689" s="154" t="s">
        <v>5983</v>
      </c>
      <c r="I2689" s="154" t="s">
        <v>6143</v>
      </c>
      <c r="J2689" s="154" t="s">
        <v>6144</v>
      </c>
      <c r="K2689" s="154" t="s">
        <v>329</v>
      </c>
    </row>
    <row r="2690">
      <c r="A2690" s="154" t="s">
        <v>6145</v>
      </c>
      <c r="B2690" s="154" t="s">
        <v>6146</v>
      </c>
      <c r="D2690" s="154">
        <v>2.0</v>
      </c>
      <c r="E2690" s="154" t="s">
        <v>761</v>
      </c>
      <c r="F2690" s="154" t="s">
        <v>6147</v>
      </c>
      <c r="G2690" s="154" t="s">
        <v>6148</v>
      </c>
      <c r="H2690" s="156">
        <v>0.0</v>
      </c>
      <c r="I2690" s="154">
        <v>9.7150653636E11</v>
      </c>
      <c r="J2690" s="156">
        <v>0.0</v>
      </c>
      <c r="K2690" s="154" t="s">
        <v>776</v>
      </c>
    </row>
    <row r="2691">
      <c r="A2691" s="154" t="s">
        <v>6145</v>
      </c>
      <c r="B2691" s="155"/>
      <c r="C2691" s="154" t="s">
        <v>6146</v>
      </c>
      <c r="D2691" s="155"/>
      <c r="E2691" s="155"/>
      <c r="F2691" s="154" t="s">
        <v>6147</v>
      </c>
      <c r="G2691" s="154" t="s">
        <v>6148</v>
      </c>
      <c r="H2691" s="156">
        <v>0.0</v>
      </c>
      <c r="I2691" s="154">
        <v>9.7150653636E11</v>
      </c>
      <c r="J2691" s="156">
        <v>0.0</v>
      </c>
      <c r="K2691" s="154" t="s">
        <v>776</v>
      </c>
    </row>
    <row r="2692">
      <c r="A2692" s="154" t="s">
        <v>6149</v>
      </c>
      <c r="B2692" s="155"/>
      <c r="C2692" s="154" t="s">
        <v>6150</v>
      </c>
      <c r="D2692" s="155"/>
      <c r="E2692" s="155"/>
      <c r="F2692" s="154" t="s">
        <v>6151</v>
      </c>
      <c r="G2692" s="156">
        <v>0.0</v>
      </c>
      <c r="H2692" s="156">
        <v>0.0</v>
      </c>
      <c r="I2692" s="154" t="s">
        <v>6152</v>
      </c>
      <c r="J2692" s="154" t="s">
        <v>6153</v>
      </c>
      <c r="K2692" s="154" t="s">
        <v>259</v>
      </c>
    </row>
    <row r="2693">
      <c r="A2693" s="154" t="s">
        <v>6149</v>
      </c>
      <c r="B2693" s="154" t="s">
        <v>6150</v>
      </c>
      <c r="D2693" s="154">
        <v>2.0</v>
      </c>
      <c r="E2693" s="154" t="s">
        <v>761</v>
      </c>
      <c r="F2693" s="154" t="s">
        <v>6151</v>
      </c>
      <c r="G2693" s="156">
        <v>0.0</v>
      </c>
      <c r="H2693" s="156">
        <v>0.0</v>
      </c>
      <c r="I2693" s="154" t="s">
        <v>6152</v>
      </c>
      <c r="J2693" s="154" t="s">
        <v>6153</v>
      </c>
      <c r="K2693" s="154" t="s">
        <v>259</v>
      </c>
    </row>
    <row r="2694">
      <c r="A2694" s="154" t="s">
        <v>6154</v>
      </c>
      <c r="B2694" s="155"/>
      <c r="C2694" s="154" t="s">
        <v>6155</v>
      </c>
      <c r="D2694" s="155"/>
      <c r="E2694" s="155"/>
      <c r="F2694" s="154" t="s">
        <v>6156</v>
      </c>
      <c r="G2694" s="156">
        <v>0.0</v>
      </c>
      <c r="H2694" s="154" t="s">
        <v>2294</v>
      </c>
      <c r="I2694" s="154" t="s">
        <v>6157</v>
      </c>
      <c r="J2694" s="156">
        <v>0.0</v>
      </c>
      <c r="K2694" s="154" t="s">
        <v>760</v>
      </c>
    </row>
    <row r="2695">
      <c r="A2695" s="154" t="s">
        <v>6154</v>
      </c>
      <c r="B2695" s="154" t="s">
        <v>6155</v>
      </c>
      <c r="D2695" s="154">
        <v>2.0</v>
      </c>
      <c r="E2695" s="154" t="s">
        <v>761</v>
      </c>
      <c r="F2695" s="154" t="s">
        <v>1157</v>
      </c>
      <c r="G2695" s="154" t="s">
        <v>1158</v>
      </c>
      <c r="H2695" s="154" t="s">
        <v>1159</v>
      </c>
      <c r="I2695" s="156">
        <v>0.0</v>
      </c>
      <c r="J2695" s="156">
        <v>0.0</v>
      </c>
      <c r="K2695" s="156">
        <v>0.0</v>
      </c>
    </row>
    <row r="2696">
      <c r="A2696" s="154" t="s">
        <v>6158</v>
      </c>
      <c r="B2696" s="154" t="s">
        <v>6159</v>
      </c>
      <c r="D2696" s="154">
        <v>2.0</v>
      </c>
      <c r="E2696" s="154" t="s">
        <v>761</v>
      </c>
      <c r="F2696" s="154" t="s">
        <v>6160</v>
      </c>
      <c r="G2696" s="156">
        <v>0.0</v>
      </c>
      <c r="H2696" s="156">
        <v>0.0</v>
      </c>
      <c r="I2696" s="154" t="s">
        <v>853</v>
      </c>
      <c r="J2696" s="156">
        <v>0.0</v>
      </c>
      <c r="K2696" s="154" t="s">
        <v>361</v>
      </c>
    </row>
    <row r="2697">
      <c r="A2697" s="154" t="s">
        <v>6158</v>
      </c>
      <c r="B2697" s="155"/>
      <c r="C2697" s="154" t="s">
        <v>6159</v>
      </c>
      <c r="D2697" s="155"/>
      <c r="E2697" s="155"/>
      <c r="F2697" s="154" t="s">
        <v>6160</v>
      </c>
      <c r="G2697" s="156">
        <v>0.0</v>
      </c>
      <c r="H2697" s="156">
        <v>0.0</v>
      </c>
      <c r="I2697" s="154" t="s">
        <v>853</v>
      </c>
      <c r="J2697" s="156">
        <v>0.0</v>
      </c>
      <c r="K2697" s="154" t="s">
        <v>361</v>
      </c>
    </row>
    <row r="2698">
      <c r="A2698" s="154" t="s">
        <v>6161</v>
      </c>
      <c r="B2698" s="155"/>
      <c r="C2698" s="154" t="s">
        <v>6162</v>
      </c>
      <c r="D2698" s="155"/>
      <c r="E2698" s="155"/>
      <c r="F2698" s="154" t="s">
        <v>6163</v>
      </c>
      <c r="G2698" s="154">
        <v>971.0</v>
      </c>
      <c r="H2698" s="156">
        <v>0.0</v>
      </c>
      <c r="I2698" s="154" t="s">
        <v>6164</v>
      </c>
      <c r="J2698" s="154" t="s">
        <v>6165</v>
      </c>
      <c r="K2698" s="154" t="s">
        <v>846</v>
      </c>
    </row>
    <row r="2699">
      <c r="A2699" s="154" t="s">
        <v>6161</v>
      </c>
      <c r="B2699" s="154" t="s">
        <v>6162</v>
      </c>
      <c r="D2699" s="154">
        <v>2.0</v>
      </c>
      <c r="E2699" s="154" t="s">
        <v>761</v>
      </c>
      <c r="F2699" s="154" t="s">
        <v>6163</v>
      </c>
      <c r="G2699" s="154">
        <v>971.0</v>
      </c>
      <c r="H2699" s="156">
        <v>0.0</v>
      </c>
      <c r="I2699" s="154" t="s">
        <v>6164</v>
      </c>
      <c r="J2699" s="154" t="s">
        <v>6165</v>
      </c>
      <c r="K2699" s="154" t="s">
        <v>846</v>
      </c>
    </row>
    <row r="2700">
      <c r="A2700" s="154" t="s">
        <v>6166</v>
      </c>
      <c r="B2700" s="155"/>
      <c r="C2700" s="154" t="s">
        <v>6167</v>
      </c>
      <c r="D2700" s="155"/>
      <c r="E2700" s="155"/>
      <c r="F2700" s="154" t="s">
        <v>6168</v>
      </c>
      <c r="G2700" s="156">
        <v>0.0</v>
      </c>
      <c r="H2700" s="156">
        <v>0.0</v>
      </c>
      <c r="I2700" s="154">
        <v>5.050693E7</v>
      </c>
      <c r="J2700" s="156">
        <v>0.0</v>
      </c>
      <c r="K2700" s="154" t="s">
        <v>776</v>
      </c>
    </row>
    <row r="2701">
      <c r="A2701" s="154" t="s">
        <v>6166</v>
      </c>
      <c r="B2701" s="154" t="s">
        <v>6167</v>
      </c>
      <c r="D2701" s="154">
        <v>2.0</v>
      </c>
      <c r="E2701" s="154" t="s">
        <v>761</v>
      </c>
      <c r="F2701" s="154" t="s">
        <v>5620</v>
      </c>
      <c r="G2701" s="154" t="s">
        <v>5621</v>
      </c>
      <c r="H2701" s="156">
        <v>0.0</v>
      </c>
      <c r="I2701" s="154">
        <v>9.7150550693E11</v>
      </c>
      <c r="J2701" s="156">
        <v>0.0</v>
      </c>
      <c r="K2701" s="154" t="s">
        <v>776</v>
      </c>
    </row>
    <row r="2702">
      <c r="A2702" s="154" t="s">
        <v>6169</v>
      </c>
      <c r="B2702" s="154" t="s">
        <v>6170</v>
      </c>
      <c r="D2702" s="154">
        <v>2.0</v>
      </c>
      <c r="E2702" s="154" t="s">
        <v>761</v>
      </c>
      <c r="F2702" s="154" t="s">
        <v>6171</v>
      </c>
      <c r="G2702" s="154">
        <v>4.2222333E7</v>
      </c>
      <c r="H2702" s="156">
        <v>0.0</v>
      </c>
      <c r="I2702" s="154">
        <v>5.02800559E8</v>
      </c>
      <c r="J2702" s="156">
        <v>0.0</v>
      </c>
      <c r="K2702" s="154" t="s">
        <v>361</v>
      </c>
    </row>
    <row r="2703">
      <c r="A2703" s="154" t="s">
        <v>6169</v>
      </c>
      <c r="B2703" s="155"/>
      <c r="C2703" s="154" t="s">
        <v>6170</v>
      </c>
      <c r="D2703" s="155"/>
      <c r="E2703" s="155"/>
      <c r="F2703" s="154" t="s">
        <v>6171</v>
      </c>
      <c r="G2703" s="154">
        <v>4.2222333E7</v>
      </c>
      <c r="H2703" s="156">
        <v>0.0</v>
      </c>
      <c r="I2703" s="154">
        <v>5.02800559E8</v>
      </c>
      <c r="J2703" s="156">
        <v>0.0</v>
      </c>
      <c r="K2703" s="154" t="s">
        <v>361</v>
      </c>
    </row>
    <row r="2704">
      <c r="A2704" s="154" t="s">
        <v>6172</v>
      </c>
      <c r="B2704" s="155"/>
      <c r="C2704" s="154" t="s">
        <v>6173</v>
      </c>
      <c r="D2704" s="155"/>
      <c r="E2704" s="155"/>
      <c r="F2704" s="154" t="s">
        <v>6174</v>
      </c>
      <c r="G2704" s="154">
        <v>0.0</v>
      </c>
      <c r="H2704" s="156">
        <v>0.0</v>
      </c>
      <c r="I2704" s="156">
        <v>0.0</v>
      </c>
      <c r="J2704" s="156">
        <v>0.0</v>
      </c>
      <c r="K2704" s="156">
        <v>0.0</v>
      </c>
    </row>
    <row r="2705">
      <c r="A2705" s="154" t="s">
        <v>6172</v>
      </c>
      <c r="B2705" s="154" t="s">
        <v>6173</v>
      </c>
      <c r="D2705" s="154">
        <v>2.0</v>
      </c>
      <c r="E2705" s="154" t="s">
        <v>761</v>
      </c>
      <c r="F2705" s="154" t="s">
        <v>6174</v>
      </c>
      <c r="G2705" s="154">
        <v>0.0</v>
      </c>
      <c r="H2705" s="156">
        <v>0.0</v>
      </c>
      <c r="I2705" s="156">
        <v>0.0</v>
      </c>
      <c r="J2705" s="156">
        <v>0.0</v>
      </c>
      <c r="K2705" s="156">
        <v>0.0</v>
      </c>
    </row>
    <row r="2706">
      <c r="A2706" s="154" t="s">
        <v>6175</v>
      </c>
      <c r="B2706" s="155"/>
      <c r="C2706" s="154" t="s">
        <v>6176</v>
      </c>
      <c r="D2706" s="155"/>
      <c r="E2706" s="155"/>
      <c r="F2706" s="154" t="s">
        <v>6177</v>
      </c>
      <c r="G2706" s="154">
        <v>4.3911111E7</v>
      </c>
      <c r="H2706" s="156">
        <v>0.0</v>
      </c>
      <c r="I2706" s="154">
        <v>9.71506001446E11</v>
      </c>
      <c r="J2706" s="156">
        <v>0.0</v>
      </c>
      <c r="K2706" s="154" t="s">
        <v>206</v>
      </c>
    </row>
    <row r="2707">
      <c r="A2707" s="154" t="s">
        <v>6175</v>
      </c>
      <c r="B2707" s="154" t="s">
        <v>6176</v>
      </c>
      <c r="D2707" s="154">
        <v>2.0</v>
      </c>
      <c r="E2707" s="154" t="s">
        <v>761</v>
      </c>
      <c r="F2707" s="154" t="s">
        <v>6177</v>
      </c>
      <c r="G2707" s="154">
        <v>4.3911111E7</v>
      </c>
      <c r="H2707" s="156">
        <v>0.0</v>
      </c>
      <c r="I2707" s="154">
        <v>9.71506001446E11</v>
      </c>
      <c r="J2707" s="156">
        <v>0.0</v>
      </c>
      <c r="K2707" s="154" t="s">
        <v>206</v>
      </c>
    </row>
    <row r="2708">
      <c r="A2708" s="154" t="s">
        <v>6178</v>
      </c>
      <c r="B2708" s="154" t="s">
        <v>6179</v>
      </c>
      <c r="D2708" s="154">
        <v>2.0</v>
      </c>
      <c r="E2708" s="154" t="s">
        <v>761</v>
      </c>
      <c r="F2708" s="154" t="s">
        <v>6180</v>
      </c>
      <c r="G2708" s="156">
        <v>0.0</v>
      </c>
      <c r="H2708" s="154" t="s">
        <v>6181</v>
      </c>
      <c r="I2708" s="154" t="s">
        <v>3157</v>
      </c>
      <c r="J2708" s="156">
        <v>0.0</v>
      </c>
      <c r="K2708" s="154" t="s">
        <v>361</v>
      </c>
    </row>
    <row r="2709">
      <c r="A2709" s="154" t="s">
        <v>6178</v>
      </c>
      <c r="B2709" s="155"/>
      <c r="C2709" s="154" t="s">
        <v>6179</v>
      </c>
      <c r="D2709" s="155"/>
      <c r="E2709" s="155"/>
      <c r="F2709" s="154" t="s">
        <v>6180</v>
      </c>
      <c r="G2709" s="156">
        <v>0.0</v>
      </c>
      <c r="H2709" s="154" t="s">
        <v>6181</v>
      </c>
      <c r="I2709" s="154" t="s">
        <v>3157</v>
      </c>
      <c r="J2709" s="156">
        <v>0.0</v>
      </c>
      <c r="K2709" s="154" t="s">
        <v>361</v>
      </c>
    </row>
    <row r="2710">
      <c r="A2710" s="154" t="s">
        <v>6182</v>
      </c>
      <c r="B2710" s="154" t="s">
        <v>6183</v>
      </c>
      <c r="D2710" s="154">
        <v>2.0</v>
      </c>
      <c r="E2710" s="154" t="s">
        <v>761</v>
      </c>
      <c r="F2710" s="154" t="s">
        <v>6184</v>
      </c>
      <c r="G2710" s="154">
        <v>4.3324E7</v>
      </c>
      <c r="H2710" s="156">
        <v>0.0</v>
      </c>
      <c r="I2710" s="154">
        <v>9.7155896143E11</v>
      </c>
      <c r="J2710" s="156">
        <v>0.0</v>
      </c>
      <c r="K2710" s="154" t="s">
        <v>320</v>
      </c>
    </row>
    <row r="2711">
      <c r="A2711" s="154" t="s">
        <v>6182</v>
      </c>
      <c r="B2711" s="155"/>
      <c r="C2711" s="154" t="s">
        <v>6183</v>
      </c>
      <c r="D2711" s="155"/>
      <c r="E2711" s="155"/>
      <c r="F2711" s="154" t="s">
        <v>6184</v>
      </c>
      <c r="G2711" s="154">
        <v>4.3324E7</v>
      </c>
      <c r="H2711" s="156">
        <v>0.0</v>
      </c>
      <c r="I2711" s="154">
        <v>9.7155896143E11</v>
      </c>
      <c r="J2711" s="156">
        <v>0.0</v>
      </c>
      <c r="K2711" s="154" t="s">
        <v>320</v>
      </c>
    </row>
    <row r="2712">
      <c r="A2712" s="154" t="s">
        <v>6185</v>
      </c>
      <c r="B2712" s="155"/>
      <c r="C2712" s="154" t="s">
        <v>6186</v>
      </c>
      <c r="D2712" s="155"/>
      <c r="E2712" s="155"/>
      <c r="F2712" s="154" t="s">
        <v>6187</v>
      </c>
      <c r="G2712" s="154">
        <v>0.0</v>
      </c>
      <c r="H2712" s="156">
        <v>0.0</v>
      </c>
      <c r="I2712" s="154">
        <v>9.71552011138E11</v>
      </c>
      <c r="J2712" s="156">
        <v>0.0</v>
      </c>
      <c r="K2712" s="154" t="s">
        <v>301</v>
      </c>
    </row>
    <row r="2713">
      <c r="A2713" s="154" t="s">
        <v>6185</v>
      </c>
      <c r="B2713" s="154" t="s">
        <v>6186</v>
      </c>
      <c r="D2713" s="154">
        <v>2.0</v>
      </c>
      <c r="E2713" s="154" t="s">
        <v>761</v>
      </c>
      <c r="F2713" s="154" t="s">
        <v>6187</v>
      </c>
      <c r="G2713" s="154">
        <v>0.0</v>
      </c>
      <c r="H2713" s="156">
        <v>0.0</v>
      </c>
      <c r="I2713" s="154">
        <v>9.71552011138E11</v>
      </c>
      <c r="J2713" s="156">
        <v>0.0</v>
      </c>
      <c r="K2713" s="154" t="s">
        <v>301</v>
      </c>
    </row>
    <row r="2714">
      <c r="A2714" s="154" t="s">
        <v>6188</v>
      </c>
      <c r="B2714" s="154" t="s">
        <v>6189</v>
      </c>
      <c r="D2714" s="154">
        <v>2.0</v>
      </c>
      <c r="E2714" s="154" t="s">
        <v>761</v>
      </c>
      <c r="F2714" s="154" t="s">
        <v>3940</v>
      </c>
      <c r="G2714" s="156">
        <v>0.0</v>
      </c>
      <c r="H2714" s="156">
        <v>0.0</v>
      </c>
      <c r="I2714" s="154" t="s">
        <v>3941</v>
      </c>
      <c r="J2714" s="156">
        <v>0.0</v>
      </c>
      <c r="K2714" s="154" t="s">
        <v>1196</v>
      </c>
    </row>
    <row r="2715">
      <c r="A2715" s="154" t="s">
        <v>6188</v>
      </c>
      <c r="B2715" s="155"/>
      <c r="C2715" s="154" t="s">
        <v>6189</v>
      </c>
      <c r="D2715" s="155"/>
      <c r="E2715" s="155"/>
      <c r="F2715" s="154" t="s">
        <v>3940</v>
      </c>
      <c r="G2715" s="156">
        <v>0.0</v>
      </c>
      <c r="H2715" s="156">
        <v>0.0</v>
      </c>
      <c r="I2715" s="154" t="s">
        <v>3941</v>
      </c>
      <c r="J2715" s="156">
        <v>0.0</v>
      </c>
      <c r="K2715" s="154" t="s">
        <v>1196</v>
      </c>
    </row>
    <row r="2716">
      <c r="A2716" s="154" t="s">
        <v>6190</v>
      </c>
      <c r="B2716" s="155"/>
      <c r="C2716" s="154" t="s">
        <v>6191</v>
      </c>
      <c r="D2716" s="155"/>
      <c r="E2716" s="155"/>
      <c r="F2716" s="154" t="s">
        <v>6192</v>
      </c>
      <c r="G2716" s="154">
        <v>5.59387258E8</v>
      </c>
      <c r="H2716" s="156">
        <v>0.0</v>
      </c>
      <c r="I2716" s="156">
        <v>0.0</v>
      </c>
      <c r="J2716" s="156">
        <v>0.0</v>
      </c>
      <c r="K2716" s="154" t="s">
        <v>914</v>
      </c>
    </row>
    <row r="2717">
      <c r="A2717" s="154" t="s">
        <v>6190</v>
      </c>
      <c r="B2717" s="154" t="s">
        <v>6191</v>
      </c>
      <c r="D2717" s="154">
        <v>2.0</v>
      </c>
      <c r="E2717" s="154" t="s">
        <v>761</v>
      </c>
      <c r="F2717" s="154" t="s">
        <v>6192</v>
      </c>
      <c r="G2717" s="154">
        <v>5.59387258E8</v>
      </c>
      <c r="H2717" s="156">
        <v>0.0</v>
      </c>
      <c r="I2717" s="156">
        <v>0.0</v>
      </c>
      <c r="J2717" s="156">
        <v>0.0</v>
      </c>
      <c r="K2717" s="154" t="s">
        <v>914</v>
      </c>
    </row>
    <row r="2718">
      <c r="A2718" s="154" t="s">
        <v>6193</v>
      </c>
      <c r="B2718" s="154" t="s">
        <v>6194</v>
      </c>
      <c r="D2718" s="154">
        <v>2.0</v>
      </c>
      <c r="E2718" s="154" t="s">
        <v>761</v>
      </c>
      <c r="F2718" s="154" t="s">
        <v>1190</v>
      </c>
      <c r="G2718" s="154">
        <v>5.0851975E8</v>
      </c>
      <c r="H2718" s="154" t="s">
        <v>1191</v>
      </c>
      <c r="I2718" s="156">
        <v>0.0</v>
      </c>
      <c r="J2718" s="156">
        <v>0.0</v>
      </c>
      <c r="K2718" s="156">
        <v>0.0</v>
      </c>
    </row>
    <row r="2719">
      <c r="A2719" s="154" t="s">
        <v>6193</v>
      </c>
      <c r="B2719" s="155"/>
      <c r="C2719" s="154" t="s">
        <v>6194</v>
      </c>
      <c r="D2719" s="155"/>
      <c r="E2719" s="155"/>
      <c r="F2719" s="154" t="s">
        <v>6195</v>
      </c>
      <c r="G2719" s="154">
        <v>971.0</v>
      </c>
      <c r="H2719" s="156">
        <v>0.0</v>
      </c>
      <c r="I2719" s="154" t="s">
        <v>6196</v>
      </c>
      <c r="J2719" s="154" t="s">
        <v>6197</v>
      </c>
      <c r="K2719" s="154" t="s">
        <v>361</v>
      </c>
    </row>
    <row r="2720">
      <c r="A2720" s="154" t="s">
        <v>6198</v>
      </c>
      <c r="B2720" s="155"/>
      <c r="C2720" s="154" t="s">
        <v>6199</v>
      </c>
      <c r="D2720" s="155"/>
      <c r="E2720" s="155"/>
      <c r="F2720" s="154" t="s">
        <v>6200</v>
      </c>
      <c r="G2720" s="156">
        <v>0.0</v>
      </c>
      <c r="H2720" s="154" t="s">
        <v>6201</v>
      </c>
      <c r="I2720" s="154" t="s">
        <v>6202</v>
      </c>
      <c r="J2720" s="154" t="s">
        <v>6203</v>
      </c>
      <c r="K2720" s="154" t="s">
        <v>1196</v>
      </c>
    </row>
    <row r="2721">
      <c r="A2721" s="154" t="s">
        <v>6198</v>
      </c>
      <c r="B2721" s="154" t="s">
        <v>6199</v>
      </c>
      <c r="D2721" s="154">
        <v>2.0</v>
      </c>
      <c r="E2721" s="154" t="s">
        <v>761</v>
      </c>
      <c r="F2721" s="154" t="s">
        <v>6200</v>
      </c>
      <c r="G2721" s="156">
        <v>0.0</v>
      </c>
      <c r="H2721" s="154" t="s">
        <v>6201</v>
      </c>
      <c r="I2721" s="154" t="s">
        <v>6202</v>
      </c>
      <c r="J2721" s="154" t="s">
        <v>6203</v>
      </c>
      <c r="K2721" s="154" t="s">
        <v>1196</v>
      </c>
    </row>
    <row r="2722">
      <c r="A2722" s="154" t="s">
        <v>6204</v>
      </c>
      <c r="B2722" s="155"/>
      <c r="C2722" s="154" t="s">
        <v>6205</v>
      </c>
      <c r="D2722" s="155"/>
      <c r="E2722" s="155"/>
      <c r="F2722" s="154" t="s">
        <v>2203</v>
      </c>
      <c r="G2722" s="154">
        <v>5.09126362E8</v>
      </c>
      <c r="H2722" s="154" t="s">
        <v>2204</v>
      </c>
      <c r="I2722" s="155">
        <f t="shared" ref="I2722:I2723" si="16">+923218209698</f>
        <v>923218209698</v>
      </c>
      <c r="J2722" s="156">
        <v>0.0</v>
      </c>
      <c r="K2722" s="154" t="s">
        <v>760</v>
      </c>
    </row>
    <row r="2723">
      <c r="A2723" s="154" t="s">
        <v>6204</v>
      </c>
      <c r="B2723" s="154" t="s">
        <v>6205</v>
      </c>
      <c r="D2723" s="154">
        <v>2.0</v>
      </c>
      <c r="E2723" s="154" t="s">
        <v>761</v>
      </c>
      <c r="F2723" s="154" t="s">
        <v>2203</v>
      </c>
      <c r="G2723" s="154">
        <v>5.09126362E8</v>
      </c>
      <c r="H2723" s="154" t="s">
        <v>2204</v>
      </c>
      <c r="I2723" s="155">
        <f t="shared" si="16"/>
        <v>923218209698</v>
      </c>
      <c r="J2723" s="156">
        <v>0.0</v>
      </c>
      <c r="K2723" s="154" t="s">
        <v>760</v>
      </c>
    </row>
    <row r="2724">
      <c r="A2724" s="154" t="s">
        <v>6206</v>
      </c>
      <c r="B2724" s="155"/>
      <c r="C2724" s="154" t="s">
        <v>6207</v>
      </c>
      <c r="D2724" s="155"/>
      <c r="E2724" s="155"/>
      <c r="F2724" s="154" t="s">
        <v>4430</v>
      </c>
      <c r="G2724" s="154" t="s">
        <v>4431</v>
      </c>
      <c r="H2724" s="154" t="s">
        <v>4432</v>
      </c>
      <c r="I2724" s="154" t="s">
        <v>4433</v>
      </c>
      <c r="J2724" s="154" t="s">
        <v>4434</v>
      </c>
      <c r="K2724" s="154" t="s">
        <v>240</v>
      </c>
    </row>
    <row r="2725">
      <c r="A2725" s="154" t="s">
        <v>6206</v>
      </c>
      <c r="B2725" s="154" t="s">
        <v>6207</v>
      </c>
      <c r="D2725" s="154">
        <v>2.0</v>
      </c>
      <c r="E2725" s="154" t="s">
        <v>761</v>
      </c>
      <c r="F2725" s="154" t="s">
        <v>4430</v>
      </c>
      <c r="G2725" s="154" t="s">
        <v>4431</v>
      </c>
      <c r="H2725" s="154" t="s">
        <v>4432</v>
      </c>
      <c r="I2725" s="154" t="s">
        <v>4433</v>
      </c>
      <c r="J2725" s="154" t="s">
        <v>4434</v>
      </c>
      <c r="K2725" s="154" t="s">
        <v>240</v>
      </c>
    </row>
    <row r="2726">
      <c r="A2726" s="154" t="s">
        <v>6208</v>
      </c>
      <c r="B2726" s="155"/>
      <c r="C2726" s="154" t="s">
        <v>6209</v>
      </c>
      <c r="D2726" s="155"/>
      <c r="E2726" s="155"/>
      <c r="F2726" s="154" t="s">
        <v>6210</v>
      </c>
      <c r="G2726" s="156">
        <v>0.0</v>
      </c>
      <c r="H2726" s="156">
        <v>0.0</v>
      </c>
      <c r="I2726" s="154">
        <v>5.04520798E8</v>
      </c>
      <c r="J2726" s="156">
        <v>0.0</v>
      </c>
      <c r="K2726" s="154" t="s">
        <v>259</v>
      </c>
    </row>
    <row r="2727">
      <c r="A2727" s="154" t="s">
        <v>6208</v>
      </c>
      <c r="B2727" s="154" t="s">
        <v>6209</v>
      </c>
      <c r="D2727" s="154">
        <v>2.0</v>
      </c>
      <c r="E2727" s="154" t="s">
        <v>761</v>
      </c>
      <c r="F2727" s="154" t="s">
        <v>6210</v>
      </c>
      <c r="G2727" s="156">
        <v>0.0</v>
      </c>
      <c r="H2727" s="156">
        <v>0.0</v>
      </c>
      <c r="I2727" s="154">
        <v>5.04520798E8</v>
      </c>
      <c r="J2727" s="156">
        <v>0.0</v>
      </c>
      <c r="K2727" s="154" t="s">
        <v>259</v>
      </c>
    </row>
    <row r="2728">
      <c r="A2728" s="154" t="s">
        <v>6211</v>
      </c>
      <c r="B2728" s="154" t="s">
        <v>6212</v>
      </c>
      <c r="D2728" s="154">
        <v>2.0</v>
      </c>
      <c r="E2728" s="154" t="s">
        <v>761</v>
      </c>
      <c r="F2728" s="154" t="s">
        <v>6213</v>
      </c>
      <c r="G2728" s="154" t="s">
        <v>6214</v>
      </c>
      <c r="H2728" s="156">
        <v>0.0</v>
      </c>
      <c r="I2728" s="154" t="s">
        <v>6215</v>
      </c>
      <c r="J2728" s="154" t="s">
        <v>1555</v>
      </c>
      <c r="K2728" s="154" t="s">
        <v>776</v>
      </c>
    </row>
    <row r="2729">
      <c r="A2729" s="154" t="s">
        <v>6211</v>
      </c>
      <c r="B2729" s="155"/>
      <c r="C2729" s="154" t="s">
        <v>6212</v>
      </c>
      <c r="D2729" s="155"/>
      <c r="E2729" s="155"/>
      <c r="F2729" s="154" t="s">
        <v>6216</v>
      </c>
      <c r="G2729" s="154" t="s">
        <v>6214</v>
      </c>
      <c r="H2729" s="156">
        <v>0.0</v>
      </c>
      <c r="I2729" s="154" t="s">
        <v>6215</v>
      </c>
      <c r="J2729" s="154" t="s">
        <v>6214</v>
      </c>
      <c r="K2729" s="154" t="s">
        <v>776</v>
      </c>
    </row>
    <row r="2730">
      <c r="A2730" s="154" t="s">
        <v>6217</v>
      </c>
      <c r="B2730" s="154" t="s">
        <v>6218</v>
      </c>
      <c r="D2730" s="154">
        <v>2.0</v>
      </c>
      <c r="E2730" s="154" t="s">
        <v>761</v>
      </c>
      <c r="F2730" s="154" t="s">
        <v>6219</v>
      </c>
      <c r="G2730" s="156">
        <v>0.0</v>
      </c>
      <c r="H2730" s="156">
        <v>0.0</v>
      </c>
      <c r="I2730" s="154">
        <v>5.04507713E8</v>
      </c>
      <c r="J2730" s="156">
        <v>0.0</v>
      </c>
      <c r="K2730" s="154" t="s">
        <v>939</v>
      </c>
    </row>
    <row r="2731">
      <c r="A2731" s="154" t="s">
        <v>6217</v>
      </c>
      <c r="B2731" s="155"/>
      <c r="C2731" s="154" t="s">
        <v>6218</v>
      </c>
      <c r="D2731" s="155"/>
      <c r="E2731" s="155"/>
      <c r="F2731" s="154" t="s">
        <v>6219</v>
      </c>
      <c r="G2731" s="156">
        <v>0.0</v>
      </c>
      <c r="H2731" s="156">
        <v>0.0</v>
      </c>
      <c r="I2731" s="154">
        <v>5.04507713E8</v>
      </c>
      <c r="J2731" s="156">
        <v>0.0</v>
      </c>
      <c r="K2731" s="154" t="s">
        <v>939</v>
      </c>
    </row>
    <row r="2732">
      <c r="A2732" s="154" t="s">
        <v>6220</v>
      </c>
      <c r="B2732" s="155"/>
      <c r="C2732" s="154" t="s">
        <v>6221</v>
      </c>
      <c r="D2732" s="155"/>
      <c r="E2732" s="155"/>
      <c r="F2732" s="154" t="s">
        <v>6222</v>
      </c>
      <c r="G2732" s="156">
        <v>0.0</v>
      </c>
      <c r="H2732" s="156">
        <v>0.0</v>
      </c>
      <c r="I2732" s="154">
        <v>5.06566457E8</v>
      </c>
      <c r="J2732" s="156">
        <v>0.0</v>
      </c>
      <c r="K2732" s="154" t="s">
        <v>1059</v>
      </c>
    </row>
    <row r="2733">
      <c r="A2733" s="154" t="s">
        <v>6220</v>
      </c>
      <c r="B2733" s="154" t="s">
        <v>6221</v>
      </c>
      <c r="D2733" s="154">
        <v>2.0</v>
      </c>
      <c r="E2733" s="154" t="s">
        <v>761</v>
      </c>
      <c r="F2733" s="154" t="s">
        <v>6222</v>
      </c>
      <c r="G2733" s="156">
        <v>0.0</v>
      </c>
      <c r="H2733" s="156">
        <v>0.0</v>
      </c>
      <c r="I2733" s="154">
        <v>5.06566457E8</v>
      </c>
      <c r="J2733" s="156">
        <v>0.0</v>
      </c>
      <c r="K2733" s="154" t="s">
        <v>1059</v>
      </c>
    </row>
    <row r="2734">
      <c r="A2734" s="154" t="s">
        <v>6223</v>
      </c>
      <c r="B2734" s="154" t="s">
        <v>6224</v>
      </c>
      <c r="D2734" s="154">
        <v>2.0</v>
      </c>
      <c r="E2734" s="154" t="s">
        <v>761</v>
      </c>
      <c r="F2734" s="154" t="s">
        <v>6225</v>
      </c>
      <c r="G2734" s="154">
        <v>5.55749013E8</v>
      </c>
      <c r="H2734" s="156">
        <v>0.0</v>
      </c>
      <c r="I2734" s="156">
        <v>0.0</v>
      </c>
      <c r="J2734" s="156">
        <v>0.0</v>
      </c>
      <c r="K2734" s="154" t="s">
        <v>776</v>
      </c>
    </row>
    <row r="2735">
      <c r="A2735" s="154" t="s">
        <v>6223</v>
      </c>
      <c r="B2735" s="155"/>
      <c r="C2735" s="154" t="s">
        <v>6224</v>
      </c>
      <c r="D2735" s="155"/>
      <c r="E2735" s="155"/>
      <c r="F2735" s="154" t="s">
        <v>6225</v>
      </c>
      <c r="G2735" s="154">
        <v>5.55749013E8</v>
      </c>
      <c r="H2735" s="156">
        <v>0.0</v>
      </c>
      <c r="I2735" s="156">
        <v>0.0</v>
      </c>
      <c r="J2735" s="156">
        <v>0.0</v>
      </c>
      <c r="K2735" s="154" t="s">
        <v>776</v>
      </c>
    </row>
    <row r="2736">
      <c r="A2736" s="154" t="s">
        <v>6226</v>
      </c>
      <c r="B2736" s="155"/>
      <c r="C2736" s="154" t="s">
        <v>6227</v>
      </c>
      <c r="D2736" s="155"/>
      <c r="E2736" s="155"/>
      <c r="F2736" s="154" t="s">
        <v>6228</v>
      </c>
      <c r="G2736" s="154">
        <v>0.0</v>
      </c>
      <c r="H2736" s="156">
        <v>0.0</v>
      </c>
      <c r="I2736" s="154">
        <v>5.06516548E8</v>
      </c>
      <c r="J2736" s="156">
        <v>0.0</v>
      </c>
      <c r="K2736" s="154" t="s">
        <v>197</v>
      </c>
    </row>
    <row r="2737">
      <c r="A2737" s="154" t="s">
        <v>6226</v>
      </c>
      <c r="B2737" s="154" t="s">
        <v>6227</v>
      </c>
      <c r="D2737" s="154">
        <v>2.0</v>
      </c>
      <c r="E2737" s="154" t="s">
        <v>761</v>
      </c>
      <c r="F2737" s="154" t="s">
        <v>6228</v>
      </c>
      <c r="G2737" s="154">
        <v>0.0</v>
      </c>
      <c r="H2737" s="156">
        <v>0.0</v>
      </c>
      <c r="I2737" s="154">
        <v>5.06516548E8</v>
      </c>
      <c r="J2737" s="156">
        <v>0.0</v>
      </c>
      <c r="K2737" s="154" t="s">
        <v>197</v>
      </c>
    </row>
    <row r="2738">
      <c r="A2738" s="154" t="s">
        <v>6229</v>
      </c>
      <c r="B2738" s="154" t="s">
        <v>6230</v>
      </c>
      <c r="D2738" s="154">
        <v>2.0</v>
      </c>
      <c r="E2738" s="154" t="s">
        <v>761</v>
      </c>
      <c r="F2738" s="154" t="s">
        <v>6231</v>
      </c>
      <c r="G2738" s="154">
        <v>4.5083723E7</v>
      </c>
      <c r="H2738" s="156">
        <v>0.0</v>
      </c>
      <c r="I2738" s="154">
        <v>5.06404715E8</v>
      </c>
      <c r="J2738" s="156">
        <v>0.0</v>
      </c>
      <c r="K2738" s="154" t="s">
        <v>259</v>
      </c>
    </row>
    <row r="2739">
      <c r="A2739" s="154" t="s">
        <v>6229</v>
      </c>
      <c r="B2739" s="155"/>
      <c r="C2739" s="154" t="s">
        <v>6230</v>
      </c>
      <c r="D2739" s="155"/>
      <c r="E2739" s="155"/>
      <c r="F2739" s="154" t="s">
        <v>6231</v>
      </c>
      <c r="G2739" s="154">
        <v>4.5083723E7</v>
      </c>
      <c r="H2739" s="156">
        <v>0.0</v>
      </c>
      <c r="I2739" s="154">
        <v>5.06404715E8</v>
      </c>
      <c r="J2739" s="156">
        <v>0.0</v>
      </c>
      <c r="K2739" s="154" t="s">
        <v>259</v>
      </c>
    </row>
    <row r="2740">
      <c r="A2740" s="154" t="s">
        <v>6232</v>
      </c>
      <c r="B2740" s="155"/>
      <c r="C2740" s="154" t="s">
        <v>6233</v>
      </c>
      <c r="D2740" s="155"/>
      <c r="E2740" s="155"/>
      <c r="F2740" s="154" t="s">
        <v>6234</v>
      </c>
      <c r="G2740" s="154">
        <v>2068666.0</v>
      </c>
      <c r="H2740" s="156">
        <v>0.0</v>
      </c>
      <c r="I2740" s="154" t="s">
        <v>6235</v>
      </c>
      <c r="J2740" s="156">
        <v>0.0</v>
      </c>
      <c r="K2740" s="154" t="s">
        <v>253</v>
      </c>
    </row>
    <row r="2741">
      <c r="A2741" s="154" t="s">
        <v>6232</v>
      </c>
      <c r="B2741" s="154" t="s">
        <v>6233</v>
      </c>
      <c r="D2741" s="154">
        <v>2.0</v>
      </c>
      <c r="E2741" s="154" t="s">
        <v>761</v>
      </c>
      <c r="F2741" s="154" t="s">
        <v>6234</v>
      </c>
      <c r="G2741" s="154">
        <v>2068666.0</v>
      </c>
      <c r="H2741" s="156">
        <v>0.0</v>
      </c>
      <c r="I2741" s="154" t="s">
        <v>6235</v>
      </c>
      <c r="J2741" s="156">
        <v>0.0</v>
      </c>
      <c r="K2741" s="154" t="s">
        <v>253</v>
      </c>
    </row>
    <row r="2742">
      <c r="A2742" s="154" t="s">
        <v>6236</v>
      </c>
      <c r="B2742" s="155"/>
      <c r="C2742" s="154" t="s">
        <v>6237</v>
      </c>
      <c r="D2742" s="155"/>
      <c r="E2742" s="155"/>
      <c r="F2742" s="154" t="s">
        <v>6238</v>
      </c>
      <c r="G2742" s="154" t="s">
        <v>6239</v>
      </c>
      <c r="H2742" s="154" t="s">
        <v>6240</v>
      </c>
      <c r="I2742" s="154" t="s">
        <v>6241</v>
      </c>
      <c r="J2742" s="154" t="s">
        <v>6242</v>
      </c>
      <c r="K2742" s="154" t="s">
        <v>789</v>
      </c>
    </row>
    <row r="2743">
      <c r="A2743" s="154" t="s">
        <v>6236</v>
      </c>
      <c r="B2743" s="154" t="s">
        <v>6237</v>
      </c>
      <c r="D2743" s="154">
        <v>2.0</v>
      </c>
      <c r="E2743" s="154" t="s">
        <v>761</v>
      </c>
      <c r="F2743" s="154" t="s">
        <v>6238</v>
      </c>
      <c r="G2743" s="154" t="s">
        <v>6239</v>
      </c>
      <c r="H2743" s="154" t="s">
        <v>6240</v>
      </c>
      <c r="I2743" s="154" t="s">
        <v>6241</v>
      </c>
      <c r="J2743" s="154" t="s">
        <v>6242</v>
      </c>
      <c r="K2743" s="154" t="s">
        <v>789</v>
      </c>
    </row>
    <row r="2744">
      <c r="A2744" s="154" t="s">
        <v>6243</v>
      </c>
      <c r="B2744" s="154" t="s">
        <v>6244</v>
      </c>
      <c r="D2744" s="154">
        <v>2.0</v>
      </c>
      <c r="E2744" s="154" t="s">
        <v>761</v>
      </c>
      <c r="F2744" s="154" t="s">
        <v>6245</v>
      </c>
      <c r="G2744" s="156">
        <v>0.0</v>
      </c>
      <c r="H2744" s="156">
        <v>0.0</v>
      </c>
      <c r="I2744" s="154" t="s">
        <v>6246</v>
      </c>
      <c r="J2744" s="156">
        <v>0.0</v>
      </c>
      <c r="K2744" s="154" t="s">
        <v>311</v>
      </c>
    </row>
    <row r="2745">
      <c r="A2745" s="154" t="s">
        <v>6243</v>
      </c>
      <c r="B2745" s="155"/>
      <c r="C2745" s="154" t="s">
        <v>6244</v>
      </c>
      <c r="D2745" s="155"/>
      <c r="E2745" s="155"/>
      <c r="F2745" s="154" t="s">
        <v>6245</v>
      </c>
      <c r="G2745" s="156">
        <v>0.0</v>
      </c>
      <c r="H2745" s="156">
        <v>0.0</v>
      </c>
      <c r="I2745" s="154" t="s">
        <v>6246</v>
      </c>
      <c r="J2745" s="156">
        <v>0.0</v>
      </c>
      <c r="K2745" s="154" t="s">
        <v>311</v>
      </c>
    </row>
    <row r="2746">
      <c r="A2746" s="154" t="s">
        <v>6247</v>
      </c>
      <c r="B2746" s="155"/>
      <c r="C2746" s="154" t="s">
        <v>6248</v>
      </c>
      <c r="D2746" s="155"/>
      <c r="E2746" s="155"/>
      <c r="F2746" s="154" t="s">
        <v>2047</v>
      </c>
      <c r="G2746" s="154" t="s">
        <v>2048</v>
      </c>
      <c r="H2746" s="154" t="s">
        <v>2049</v>
      </c>
      <c r="I2746" s="154" t="s">
        <v>2050</v>
      </c>
      <c r="J2746" s="156">
        <v>0.0</v>
      </c>
      <c r="K2746" s="154" t="s">
        <v>207</v>
      </c>
    </row>
    <row r="2747">
      <c r="A2747" s="154" t="s">
        <v>6247</v>
      </c>
      <c r="B2747" s="154" t="s">
        <v>6248</v>
      </c>
      <c r="D2747" s="154">
        <v>2.0</v>
      </c>
      <c r="E2747" s="154" t="s">
        <v>761</v>
      </c>
      <c r="F2747" s="154" t="s">
        <v>2047</v>
      </c>
      <c r="G2747" s="154" t="s">
        <v>2048</v>
      </c>
      <c r="H2747" s="154" t="s">
        <v>2049</v>
      </c>
      <c r="I2747" s="154" t="s">
        <v>2050</v>
      </c>
      <c r="J2747" s="156">
        <v>0.0</v>
      </c>
      <c r="K2747" s="154" t="s">
        <v>207</v>
      </c>
    </row>
    <row r="2748">
      <c r="A2748" s="154" t="s">
        <v>6249</v>
      </c>
      <c r="B2748" s="154" t="s">
        <v>6250</v>
      </c>
      <c r="D2748" s="154">
        <v>2.0</v>
      </c>
      <c r="E2748" s="154" t="s">
        <v>761</v>
      </c>
      <c r="F2748" s="154" t="s">
        <v>6251</v>
      </c>
      <c r="G2748" s="154" t="s">
        <v>823</v>
      </c>
      <c r="H2748" s="154" t="s">
        <v>6252</v>
      </c>
      <c r="I2748" s="154" t="s">
        <v>825</v>
      </c>
      <c r="J2748" s="154" t="s">
        <v>6253</v>
      </c>
      <c r="K2748" s="154" t="s">
        <v>776</v>
      </c>
    </row>
    <row r="2749">
      <c r="A2749" s="154" t="s">
        <v>6249</v>
      </c>
      <c r="B2749" s="155"/>
      <c r="C2749" s="154" t="s">
        <v>6250</v>
      </c>
      <c r="D2749" s="155"/>
      <c r="E2749" s="155"/>
      <c r="F2749" s="154" t="s">
        <v>6251</v>
      </c>
      <c r="G2749" s="154" t="s">
        <v>823</v>
      </c>
      <c r="H2749" s="154" t="s">
        <v>6252</v>
      </c>
      <c r="I2749" s="154" t="s">
        <v>825</v>
      </c>
      <c r="J2749" s="154" t="s">
        <v>6253</v>
      </c>
      <c r="K2749" s="154" t="s">
        <v>776</v>
      </c>
    </row>
    <row r="2750">
      <c r="A2750" s="154" t="s">
        <v>6254</v>
      </c>
      <c r="B2750" s="154" t="s">
        <v>6255</v>
      </c>
      <c r="D2750" s="154">
        <v>2.0</v>
      </c>
      <c r="E2750" s="154" t="s">
        <v>761</v>
      </c>
      <c r="F2750" s="154" t="s">
        <v>3429</v>
      </c>
      <c r="G2750" s="154">
        <v>9.71042821E11</v>
      </c>
      <c r="H2750" s="154" t="s">
        <v>2022</v>
      </c>
      <c r="I2750" s="156">
        <v>0.0</v>
      </c>
      <c r="J2750" s="156">
        <v>0.0</v>
      </c>
      <c r="K2750" s="156">
        <v>0.0</v>
      </c>
    </row>
    <row r="2751">
      <c r="A2751" s="154" t="s">
        <v>6254</v>
      </c>
      <c r="B2751" s="155"/>
      <c r="C2751" s="154" t="s">
        <v>6255</v>
      </c>
      <c r="D2751" s="155"/>
      <c r="E2751" s="155"/>
      <c r="F2751" s="154" t="s">
        <v>3429</v>
      </c>
      <c r="G2751" s="154">
        <v>9.71042821E11</v>
      </c>
      <c r="H2751" s="154" t="s">
        <v>2022</v>
      </c>
      <c r="I2751" s="156">
        <v>0.0</v>
      </c>
      <c r="J2751" s="156">
        <v>0.0</v>
      </c>
      <c r="K2751" s="156">
        <v>0.0</v>
      </c>
    </row>
    <row r="2752">
      <c r="A2752" s="154" t="s">
        <v>6256</v>
      </c>
      <c r="B2752" s="154" t="s">
        <v>6257</v>
      </c>
      <c r="D2752" s="154">
        <v>2.0</v>
      </c>
      <c r="E2752" s="154" t="s">
        <v>761</v>
      </c>
      <c r="F2752" s="154" t="s">
        <v>3252</v>
      </c>
      <c r="G2752" s="154" t="s">
        <v>3253</v>
      </c>
      <c r="H2752" s="154" t="s">
        <v>3254</v>
      </c>
      <c r="I2752" s="154" t="s">
        <v>3255</v>
      </c>
      <c r="J2752" s="156">
        <v>0.0</v>
      </c>
      <c r="K2752" s="154" t="s">
        <v>207</v>
      </c>
    </row>
    <row r="2753">
      <c r="A2753" s="154" t="s">
        <v>6256</v>
      </c>
      <c r="B2753" s="155"/>
      <c r="C2753" s="154" t="s">
        <v>6257</v>
      </c>
      <c r="D2753" s="155"/>
      <c r="E2753" s="155"/>
      <c r="F2753" s="154" t="s">
        <v>3252</v>
      </c>
      <c r="G2753" s="154" t="s">
        <v>3253</v>
      </c>
      <c r="H2753" s="154" t="s">
        <v>3254</v>
      </c>
      <c r="I2753" s="154" t="s">
        <v>3255</v>
      </c>
      <c r="J2753" s="156">
        <v>0.0</v>
      </c>
      <c r="K2753" s="154" t="s">
        <v>207</v>
      </c>
    </row>
    <row r="2754">
      <c r="A2754" s="154" t="s">
        <v>6258</v>
      </c>
      <c r="B2754" s="154" t="s">
        <v>6259</v>
      </c>
      <c r="D2754" s="154">
        <v>2.0</v>
      </c>
      <c r="E2754" s="154" t="s">
        <v>761</v>
      </c>
      <c r="F2754" s="154" t="s">
        <v>6260</v>
      </c>
      <c r="G2754" s="154">
        <v>5.0754669E8</v>
      </c>
      <c r="H2754" s="156">
        <v>0.0</v>
      </c>
      <c r="I2754" s="156">
        <v>0.0</v>
      </c>
      <c r="J2754" s="156">
        <v>0.0</v>
      </c>
      <c r="K2754" s="154" t="s">
        <v>259</v>
      </c>
    </row>
    <row r="2755">
      <c r="A2755" s="154" t="s">
        <v>6258</v>
      </c>
      <c r="B2755" s="155"/>
      <c r="C2755" s="154" t="s">
        <v>6259</v>
      </c>
      <c r="D2755" s="155"/>
      <c r="E2755" s="155"/>
      <c r="F2755" s="154" t="s">
        <v>6260</v>
      </c>
      <c r="G2755" s="154">
        <v>5.0754669E8</v>
      </c>
      <c r="H2755" s="156">
        <v>0.0</v>
      </c>
      <c r="I2755" s="156">
        <v>0.0</v>
      </c>
      <c r="J2755" s="156">
        <v>0.0</v>
      </c>
      <c r="K2755" s="154" t="s">
        <v>259</v>
      </c>
    </row>
    <row r="2756">
      <c r="A2756" s="154" t="s">
        <v>6261</v>
      </c>
      <c r="B2756" s="155"/>
      <c r="C2756" s="154" t="s">
        <v>6262</v>
      </c>
      <c r="D2756" s="155"/>
      <c r="E2756" s="155"/>
      <c r="F2756" s="154" t="s">
        <v>6263</v>
      </c>
      <c r="G2756" s="156">
        <v>0.0</v>
      </c>
      <c r="H2756" s="154" t="s">
        <v>1838</v>
      </c>
      <c r="I2756" s="154" t="s">
        <v>6264</v>
      </c>
      <c r="J2756" s="154" t="s">
        <v>6265</v>
      </c>
      <c r="K2756" s="154" t="s">
        <v>361</v>
      </c>
    </row>
    <row r="2757">
      <c r="A2757" s="154" t="s">
        <v>6261</v>
      </c>
      <c r="B2757" s="154" t="s">
        <v>6262</v>
      </c>
      <c r="D2757" s="154">
        <v>2.0</v>
      </c>
      <c r="E2757" s="154" t="s">
        <v>761</v>
      </c>
      <c r="F2757" s="154" t="s">
        <v>6263</v>
      </c>
      <c r="G2757" s="156">
        <v>0.0</v>
      </c>
      <c r="H2757" s="154" t="s">
        <v>1838</v>
      </c>
      <c r="I2757" s="154" t="s">
        <v>6264</v>
      </c>
      <c r="J2757" s="154" t="s">
        <v>6265</v>
      </c>
      <c r="K2757" s="154" t="s">
        <v>361</v>
      </c>
    </row>
    <row r="2758">
      <c r="A2758" s="154" t="s">
        <v>6266</v>
      </c>
      <c r="B2758" s="155"/>
      <c r="C2758" s="154" t="s">
        <v>6267</v>
      </c>
      <c r="D2758" s="155"/>
      <c r="E2758" s="155"/>
      <c r="F2758" s="154" t="s">
        <v>6268</v>
      </c>
      <c r="G2758" s="156">
        <v>0.0</v>
      </c>
      <c r="H2758" s="156">
        <v>0.0</v>
      </c>
      <c r="I2758" s="154">
        <v>5.05580784E8</v>
      </c>
      <c r="J2758" s="156">
        <v>0.0</v>
      </c>
      <c r="K2758" s="154" t="s">
        <v>776</v>
      </c>
    </row>
    <row r="2759">
      <c r="A2759" s="154" t="s">
        <v>6266</v>
      </c>
      <c r="B2759" s="154" t="s">
        <v>6267</v>
      </c>
      <c r="D2759" s="154">
        <v>2.0</v>
      </c>
      <c r="E2759" s="154" t="s">
        <v>761</v>
      </c>
      <c r="F2759" s="154" t="s">
        <v>6269</v>
      </c>
      <c r="G2759" s="156">
        <v>0.0</v>
      </c>
      <c r="H2759" s="156">
        <v>0.0</v>
      </c>
      <c r="I2759" s="154" t="s">
        <v>6270</v>
      </c>
      <c r="J2759" s="156">
        <v>0.0</v>
      </c>
      <c r="K2759" s="154" t="s">
        <v>776</v>
      </c>
    </row>
    <row r="2760">
      <c r="A2760" s="154" t="s">
        <v>6271</v>
      </c>
      <c r="B2760" s="154" t="s">
        <v>6272</v>
      </c>
      <c r="D2760" s="154">
        <v>2.0</v>
      </c>
      <c r="E2760" s="154" t="s">
        <v>761</v>
      </c>
      <c r="F2760" s="154" t="s">
        <v>6273</v>
      </c>
      <c r="G2760" s="154">
        <v>5.033114874E9</v>
      </c>
      <c r="H2760" s="156">
        <v>0.0</v>
      </c>
      <c r="I2760" s="156">
        <v>0.0</v>
      </c>
      <c r="J2760" s="156">
        <v>0.0</v>
      </c>
      <c r="K2760" s="156">
        <v>0.0</v>
      </c>
    </row>
    <row r="2761">
      <c r="A2761" s="154" t="s">
        <v>6271</v>
      </c>
      <c r="B2761" s="155"/>
      <c r="C2761" s="154" t="s">
        <v>6272</v>
      </c>
      <c r="D2761" s="155"/>
      <c r="E2761" s="155"/>
      <c r="F2761" s="154" t="s">
        <v>6273</v>
      </c>
      <c r="G2761" s="154">
        <v>5.033114874E9</v>
      </c>
      <c r="H2761" s="156">
        <v>0.0</v>
      </c>
      <c r="I2761" s="156">
        <v>0.0</v>
      </c>
      <c r="J2761" s="156">
        <v>0.0</v>
      </c>
      <c r="K2761" s="156">
        <v>0.0</v>
      </c>
    </row>
    <row r="2762">
      <c r="A2762" s="154" t="s">
        <v>6274</v>
      </c>
      <c r="B2762" s="154" t="s">
        <v>6275</v>
      </c>
      <c r="D2762" s="154">
        <v>2.0</v>
      </c>
      <c r="E2762" s="154" t="s">
        <v>761</v>
      </c>
      <c r="F2762" s="154" t="s">
        <v>6276</v>
      </c>
      <c r="G2762" s="156">
        <v>0.0</v>
      </c>
      <c r="H2762" s="156">
        <v>0.0</v>
      </c>
      <c r="I2762" s="154">
        <v>8.5290979902E10</v>
      </c>
      <c r="J2762" s="156">
        <v>0.0</v>
      </c>
      <c r="K2762" s="154" t="s">
        <v>361</v>
      </c>
    </row>
    <row r="2763">
      <c r="A2763" s="154" t="s">
        <v>6274</v>
      </c>
      <c r="B2763" s="155"/>
      <c r="C2763" s="154" t="s">
        <v>6275</v>
      </c>
      <c r="D2763" s="155"/>
      <c r="E2763" s="155"/>
      <c r="F2763" s="154" t="s">
        <v>6276</v>
      </c>
      <c r="G2763" s="156">
        <v>0.0</v>
      </c>
      <c r="H2763" s="156">
        <v>0.0</v>
      </c>
      <c r="I2763" s="154">
        <v>8.5290979902E10</v>
      </c>
      <c r="J2763" s="156">
        <v>0.0</v>
      </c>
      <c r="K2763" s="154" t="s">
        <v>361</v>
      </c>
    </row>
    <row r="2764">
      <c r="A2764" s="154" t="s">
        <v>6277</v>
      </c>
      <c r="B2764" s="154" t="s">
        <v>6278</v>
      </c>
      <c r="D2764" s="154">
        <v>2.0</v>
      </c>
      <c r="E2764" s="154" t="s">
        <v>761</v>
      </c>
      <c r="F2764" s="154" t="s">
        <v>6279</v>
      </c>
      <c r="G2764" s="154">
        <v>5.07931313E8</v>
      </c>
      <c r="H2764" s="156">
        <v>0.0</v>
      </c>
      <c r="I2764" s="156">
        <v>0.0</v>
      </c>
      <c r="J2764" s="156">
        <v>0.0</v>
      </c>
      <c r="K2764" s="154" t="s">
        <v>240</v>
      </c>
    </row>
    <row r="2765">
      <c r="A2765" s="154" t="s">
        <v>6277</v>
      </c>
      <c r="B2765" s="155"/>
      <c r="C2765" s="154" t="s">
        <v>6278</v>
      </c>
      <c r="D2765" s="155"/>
      <c r="E2765" s="155"/>
      <c r="F2765" s="154" t="s">
        <v>792</v>
      </c>
      <c r="G2765" s="154" t="s">
        <v>793</v>
      </c>
      <c r="H2765" s="154" t="s">
        <v>794</v>
      </c>
      <c r="I2765" s="156">
        <v>0.0</v>
      </c>
      <c r="J2765" s="156">
        <v>0.0</v>
      </c>
      <c r="K2765" s="156">
        <v>0.0</v>
      </c>
    </row>
    <row r="2766">
      <c r="A2766" s="154" t="s">
        <v>6280</v>
      </c>
      <c r="B2766" s="154" t="s">
        <v>6281</v>
      </c>
      <c r="D2766" s="154">
        <v>2.0</v>
      </c>
      <c r="E2766" s="154" t="s">
        <v>761</v>
      </c>
      <c r="F2766" s="154" t="s">
        <v>6282</v>
      </c>
      <c r="G2766" s="156">
        <v>0.0</v>
      </c>
      <c r="H2766" s="156">
        <v>0.0</v>
      </c>
      <c r="I2766" s="154">
        <v>5.05158072E8</v>
      </c>
      <c r="J2766" s="156">
        <v>0.0</v>
      </c>
      <c r="K2766" s="154" t="s">
        <v>240</v>
      </c>
    </row>
    <row r="2767">
      <c r="A2767" s="154" t="s">
        <v>6280</v>
      </c>
      <c r="B2767" s="155"/>
      <c r="C2767" s="154" t="s">
        <v>6281</v>
      </c>
      <c r="D2767" s="155"/>
      <c r="E2767" s="155"/>
      <c r="F2767" s="154" t="s">
        <v>6282</v>
      </c>
      <c r="G2767" s="156">
        <v>0.0</v>
      </c>
      <c r="H2767" s="156">
        <v>0.0</v>
      </c>
      <c r="I2767" s="154">
        <v>5.05158072E8</v>
      </c>
      <c r="J2767" s="156">
        <v>0.0</v>
      </c>
      <c r="K2767" s="154" t="s">
        <v>240</v>
      </c>
    </row>
    <row r="2768">
      <c r="A2768" s="154" t="s">
        <v>6283</v>
      </c>
      <c r="B2768" s="155"/>
      <c r="C2768" s="154" t="s">
        <v>6284</v>
      </c>
      <c r="D2768" s="155"/>
      <c r="E2768" s="155"/>
      <c r="F2768" s="154" t="s">
        <v>6285</v>
      </c>
      <c r="G2768" s="154">
        <v>5.4661108E7</v>
      </c>
      <c r="H2768" s="156">
        <v>0.0</v>
      </c>
      <c r="I2768" s="154">
        <v>5.4661108E7</v>
      </c>
      <c r="J2768" s="156">
        <v>0.0</v>
      </c>
      <c r="K2768" s="154" t="s">
        <v>301</v>
      </c>
    </row>
    <row r="2769">
      <c r="A2769" s="154" t="s">
        <v>6283</v>
      </c>
      <c r="B2769" s="154" t="s">
        <v>6284</v>
      </c>
      <c r="D2769" s="154">
        <v>2.0</v>
      </c>
      <c r="E2769" s="154" t="s">
        <v>761</v>
      </c>
      <c r="F2769" s="154" t="s">
        <v>6285</v>
      </c>
      <c r="G2769" s="154">
        <v>5.4661108E7</v>
      </c>
      <c r="H2769" s="156">
        <v>0.0</v>
      </c>
      <c r="I2769" s="154">
        <v>5.4661108E7</v>
      </c>
      <c r="J2769" s="156">
        <v>0.0</v>
      </c>
      <c r="K2769" s="154" t="s">
        <v>301</v>
      </c>
    </row>
    <row r="2770">
      <c r="A2770" s="154" t="s">
        <v>6286</v>
      </c>
      <c r="B2770" s="154" t="s">
        <v>6287</v>
      </c>
      <c r="D2770" s="154">
        <v>2.0</v>
      </c>
      <c r="E2770" s="154" t="s">
        <v>761</v>
      </c>
      <c r="F2770" s="154" t="s">
        <v>5620</v>
      </c>
      <c r="G2770" s="154" t="s">
        <v>5621</v>
      </c>
      <c r="H2770" s="156">
        <v>0.0</v>
      </c>
      <c r="I2770" s="154">
        <v>9.7150550693E11</v>
      </c>
      <c r="J2770" s="156">
        <v>0.0</v>
      </c>
      <c r="K2770" s="154" t="s">
        <v>776</v>
      </c>
    </row>
    <row r="2771">
      <c r="A2771" s="154" t="s">
        <v>6286</v>
      </c>
      <c r="B2771" s="155"/>
      <c r="C2771" s="154" t="s">
        <v>6287</v>
      </c>
      <c r="D2771" s="155"/>
      <c r="E2771" s="155"/>
      <c r="F2771" s="154" t="s">
        <v>5620</v>
      </c>
      <c r="G2771" s="154" t="s">
        <v>5621</v>
      </c>
      <c r="H2771" s="156">
        <v>0.0</v>
      </c>
      <c r="I2771" s="154">
        <v>9.7150550693E11</v>
      </c>
      <c r="J2771" s="156">
        <v>0.0</v>
      </c>
      <c r="K2771" s="154" t="s">
        <v>776</v>
      </c>
    </row>
    <row r="2772">
      <c r="A2772" s="154" t="s">
        <v>6288</v>
      </c>
      <c r="B2772" s="154" t="s">
        <v>6289</v>
      </c>
      <c r="D2772" s="154">
        <v>2.0</v>
      </c>
      <c r="E2772" s="154" t="s">
        <v>761</v>
      </c>
      <c r="F2772" s="154" t="s">
        <v>6290</v>
      </c>
      <c r="G2772" s="154">
        <v>4.3258111E7</v>
      </c>
      <c r="H2772" s="154" t="s">
        <v>6291</v>
      </c>
      <c r="I2772" s="154">
        <v>5.04565659E8</v>
      </c>
      <c r="J2772" s="156">
        <v>0.0</v>
      </c>
      <c r="K2772" s="154" t="s">
        <v>361</v>
      </c>
    </row>
    <row r="2773">
      <c r="A2773" s="154" t="s">
        <v>6288</v>
      </c>
      <c r="B2773" s="155"/>
      <c r="C2773" s="154" t="s">
        <v>6289</v>
      </c>
      <c r="D2773" s="155"/>
      <c r="E2773" s="155"/>
      <c r="F2773" s="154" t="s">
        <v>6290</v>
      </c>
      <c r="G2773" s="154">
        <v>4.3258111E7</v>
      </c>
      <c r="H2773" s="154" t="s">
        <v>6291</v>
      </c>
      <c r="I2773" s="154">
        <v>5.04565659E8</v>
      </c>
      <c r="J2773" s="156">
        <v>0.0</v>
      </c>
      <c r="K2773" s="154" t="s">
        <v>361</v>
      </c>
    </row>
    <row r="2774">
      <c r="A2774" s="154" t="s">
        <v>6292</v>
      </c>
      <c r="B2774" s="155"/>
      <c r="C2774" s="154" t="s">
        <v>6293</v>
      </c>
      <c r="D2774" s="155"/>
      <c r="E2774" s="155"/>
      <c r="F2774" s="154" t="s">
        <v>6294</v>
      </c>
      <c r="G2774" s="156">
        <v>0.0</v>
      </c>
      <c r="H2774" s="156">
        <v>0.0</v>
      </c>
      <c r="I2774" s="154" t="s">
        <v>6295</v>
      </c>
      <c r="J2774" s="154" t="s">
        <v>6296</v>
      </c>
      <c r="K2774" s="154" t="s">
        <v>361</v>
      </c>
    </row>
    <row r="2775">
      <c r="A2775" s="154" t="s">
        <v>6292</v>
      </c>
      <c r="B2775" s="154" t="s">
        <v>6293</v>
      </c>
      <c r="D2775" s="154">
        <v>2.0</v>
      </c>
      <c r="E2775" s="154" t="s">
        <v>761</v>
      </c>
      <c r="F2775" s="154" t="s">
        <v>6294</v>
      </c>
      <c r="G2775" s="156">
        <v>0.0</v>
      </c>
      <c r="H2775" s="156">
        <v>0.0</v>
      </c>
      <c r="I2775" s="154" t="s">
        <v>6295</v>
      </c>
      <c r="J2775" s="154" t="s">
        <v>6296</v>
      </c>
      <c r="K2775" s="154" t="s">
        <v>361</v>
      </c>
    </row>
    <row r="2776">
      <c r="A2776" s="154" t="s">
        <v>6297</v>
      </c>
      <c r="B2776" s="154" t="s">
        <v>6298</v>
      </c>
      <c r="D2776" s="154">
        <v>2.0</v>
      </c>
      <c r="E2776" s="154" t="s">
        <v>761</v>
      </c>
      <c r="F2776" s="154" t="s">
        <v>6299</v>
      </c>
      <c r="G2776" s="156">
        <v>0.0</v>
      </c>
      <c r="H2776" s="156">
        <v>0.0</v>
      </c>
      <c r="I2776" s="154">
        <v>5.06591491E8</v>
      </c>
      <c r="J2776" s="156">
        <v>0.0</v>
      </c>
      <c r="K2776" s="154" t="s">
        <v>6300</v>
      </c>
    </row>
    <row r="2777">
      <c r="A2777" s="154" t="s">
        <v>6297</v>
      </c>
      <c r="B2777" s="155"/>
      <c r="C2777" s="154" t="s">
        <v>6298</v>
      </c>
      <c r="D2777" s="155"/>
      <c r="E2777" s="155"/>
      <c r="F2777" s="154" t="s">
        <v>6299</v>
      </c>
      <c r="G2777" s="156">
        <v>0.0</v>
      </c>
      <c r="H2777" s="156">
        <v>0.0</v>
      </c>
      <c r="I2777" s="154">
        <v>5.06591491E8</v>
      </c>
      <c r="J2777" s="156">
        <v>0.0</v>
      </c>
      <c r="K2777" s="154" t="s">
        <v>6300</v>
      </c>
    </row>
    <row r="2778">
      <c r="A2778" s="154" t="s">
        <v>6301</v>
      </c>
      <c r="B2778" s="155"/>
      <c r="C2778" s="154" t="s">
        <v>6302</v>
      </c>
      <c r="D2778" s="155"/>
      <c r="E2778" s="155"/>
      <c r="F2778" s="154" t="s">
        <v>6303</v>
      </c>
      <c r="G2778" s="154">
        <v>5.07150557E8</v>
      </c>
      <c r="H2778" s="156">
        <v>0.0</v>
      </c>
      <c r="I2778" s="156">
        <v>0.0</v>
      </c>
      <c r="J2778" s="156">
        <v>0.0</v>
      </c>
      <c r="K2778" s="156">
        <v>0.0</v>
      </c>
    </row>
    <row r="2779">
      <c r="A2779" s="154" t="s">
        <v>6301</v>
      </c>
      <c r="B2779" s="154" t="s">
        <v>6302</v>
      </c>
      <c r="D2779" s="154">
        <v>2.0</v>
      </c>
      <c r="E2779" s="154" t="s">
        <v>761</v>
      </c>
      <c r="F2779" s="154" t="s">
        <v>6303</v>
      </c>
      <c r="G2779" s="154">
        <v>5.07150557E8</v>
      </c>
      <c r="H2779" s="156">
        <v>0.0</v>
      </c>
      <c r="I2779" s="156">
        <v>0.0</v>
      </c>
      <c r="J2779" s="156">
        <v>0.0</v>
      </c>
      <c r="K2779" s="156">
        <v>0.0</v>
      </c>
    </row>
    <row r="2780">
      <c r="A2780" s="154" t="s">
        <v>6304</v>
      </c>
      <c r="B2780" s="155"/>
      <c r="C2780" s="154" t="s">
        <v>6305</v>
      </c>
      <c r="D2780" s="155"/>
      <c r="E2780" s="155"/>
      <c r="F2780" s="154" t="s">
        <v>3786</v>
      </c>
      <c r="G2780" s="154">
        <v>4.3902282E7</v>
      </c>
      <c r="H2780" s="154" t="s">
        <v>1185</v>
      </c>
      <c r="I2780" s="156">
        <v>0.0</v>
      </c>
      <c r="J2780" s="156">
        <v>0.0</v>
      </c>
      <c r="K2780" s="156">
        <v>0.0</v>
      </c>
    </row>
    <row r="2781">
      <c r="A2781" s="154" t="s">
        <v>6304</v>
      </c>
      <c r="B2781" s="154" t="s">
        <v>6305</v>
      </c>
      <c r="D2781" s="154">
        <v>2.0</v>
      </c>
      <c r="E2781" s="154" t="s">
        <v>761</v>
      </c>
      <c r="F2781" s="154" t="s">
        <v>6306</v>
      </c>
      <c r="G2781" s="154">
        <v>2.6547615E7</v>
      </c>
      <c r="H2781" s="156">
        <v>0.0</v>
      </c>
      <c r="I2781" s="154">
        <v>5.66851811E8</v>
      </c>
      <c r="J2781" s="156">
        <v>0.0</v>
      </c>
      <c r="K2781" s="154" t="s">
        <v>240</v>
      </c>
    </row>
    <row r="2782">
      <c r="A2782" s="154" t="s">
        <v>6307</v>
      </c>
      <c r="B2782" s="155"/>
      <c r="C2782" s="154" t="s">
        <v>6308</v>
      </c>
      <c r="D2782" s="155"/>
      <c r="E2782" s="155"/>
      <c r="F2782" s="154" t="s">
        <v>6309</v>
      </c>
      <c r="G2782" s="154">
        <v>2.4994227E7</v>
      </c>
      <c r="H2782" s="156">
        <v>0.0</v>
      </c>
      <c r="I2782" s="154">
        <v>9.71509786303E11</v>
      </c>
      <c r="J2782" s="156">
        <v>0.0</v>
      </c>
      <c r="K2782" s="154" t="s">
        <v>240</v>
      </c>
    </row>
    <row r="2783">
      <c r="A2783" s="154" t="s">
        <v>6307</v>
      </c>
      <c r="B2783" s="154" t="s">
        <v>6308</v>
      </c>
      <c r="C2783" s="155"/>
      <c r="D2783" s="154">
        <v>2.0</v>
      </c>
      <c r="E2783" s="154" t="s">
        <v>897</v>
      </c>
      <c r="F2783" s="154" t="s">
        <v>6309</v>
      </c>
      <c r="G2783" s="154">
        <v>2.4994227E7</v>
      </c>
      <c r="H2783" s="156">
        <v>0.0</v>
      </c>
      <c r="I2783" s="154">
        <v>9.71509786303E11</v>
      </c>
      <c r="J2783" s="156">
        <v>0.0</v>
      </c>
      <c r="K2783" s="154" t="s">
        <v>240</v>
      </c>
    </row>
    <row r="2784">
      <c r="A2784" s="154" t="s">
        <v>6310</v>
      </c>
      <c r="B2784" s="154" t="s">
        <v>6311</v>
      </c>
      <c r="C2784" s="155"/>
      <c r="D2784" s="154">
        <v>2.0</v>
      </c>
      <c r="E2784" s="154" t="s">
        <v>897</v>
      </c>
      <c r="F2784" s="154" t="s">
        <v>6312</v>
      </c>
      <c r="G2784" s="154">
        <v>1.0</v>
      </c>
      <c r="H2784" s="156">
        <v>0.0</v>
      </c>
      <c r="I2784" s="156">
        <v>0.0</v>
      </c>
      <c r="J2784" s="156">
        <v>0.0</v>
      </c>
      <c r="K2784" s="156">
        <v>0.0</v>
      </c>
    </row>
    <row r="2785">
      <c r="A2785" s="154" t="s">
        <v>6310</v>
      </c>
      <c r="B2785" s="155"/>
      <c r="C2785" s="154" t="s">
        <v>6311</v>
      </c>
      <c r="D2785" s="155"/>
      <c r="E2785" s="155"/>
      <c r="F2785" s="154" t="s">
        <v>6312</v>
      </c>
      <c r="G2785" s="154">
        <v>1.0</v>
      </c>
      <c r="H2785" s="156">
        <v>0.0</v>
      </c>
      <c r="I2785" s="156">
        <v>0.0</v>
      </c>
      <c r="J2785" s="156">
        <v>0.0</v>
      </c>
      <c r="K2785" s="156">
        <v>0.0</v>
      </c>
    </row>
    <row r="2786">
      <c r="A2786" s="154" t="s">
        <v>6313</v>
      </c>
      <c r="B2786" s="154" t="s">
        <v>6314</v>
      </c>
      <c r="C2786" s="155"/>
      <c r="D2786" s="154">
        <v>2.0</v>
      </c>
      <c r="E2786" s="154" t="s">
        <v>897</v>
      </c>
      <c r="F2786" s="154" t="s">
        <v>5877</v>
      </c>
      <c r="G2786" s="156">
        <v>0.0</v>
      </c>
      <c r="H2786" s="154" t="s">
        <v>5878</v>
      </c>
      <c r="I2786" s="154" t="s">
        <v>5879</v>
      </c>
      <c r="J2786" s="154" t="s">
        <v>809</v>
      </c>
      <c r="K2786" s="154" t="s">
        <v>259</v>
      </c>
    </row>
    <row r="2787">
      <c r="A2787" s="154" t="s">
        <v>6313</v>
      </c>
      <c r="B2787" s="155"/>
      <c r="C2787" s="154" t="s">
        <v>6314</v>
      </c>
      <c r="D2787" s="155"/>
      <c r="E2787" s="155"/>
      <c r="F2787" s="154" t="s">
        <v>6315</v>
      </c>
      <c r="G2787" s="154">
        <v>4.3747218E7</v>
      </c>
      <c r="H2787" s="154" t="s">
        <v>6316</v>
      </c>
      <c r="I2787" s="154">
        <v>9.71508068192E11</v>
      </c>
      <c r="J2787" s="156">
        <v>0.0</v>
      </c>
      <c r="K2787" s="154" t="s">
        <v>259</v>
      </c>
    </row>
    <row r="2788">
      <c r="A2788" s="154" t="s">
        <v>6317</v>
      </c>
      <c r="B2788" s="154" t="s">
        <v>6318</v>
      </c>
      <c r="C2788" s="155"/>
      <c r="D2788" s="154">
        <v>2.0</v>
      </c>
      <c r="E2788" s="154" t="s">
        <v>897</v>
      </c>
      <c r="F2788" s="154" t="s">
        <v>6319</v>
      </c>
      <c r="G2788" s="156">
        <v>0.0</v>
      </c>
      <c r="H2788" s="154" t="s">
        <v>6320</v>
      </c>
      <c r="I2788" s="154" t="s">
        <v>6321</v>
      </c>
      <c r="J2788" s="156">
        <v>0.0</v>
      </c>
      <c r="K2788" s="154" t="s">
        <v>361</v>
      </c>
    </row>
    <row r="2789">
      <c r="A2789" s="154" t="s">
        <v>6317</v>
      </c>
      <c r="B2789" s="155"/>
      <c r="C2789" s="154" t="s">
        <v>6318</v>
      </c>
      <c r="D2789" s="155"/>
      <c r="E2789" s="155"/>
      <c r="F2789" s="154" t="s">
        <v>6319</v>
      </c>
      <c r="G2789" s="156">
        <v>0.0</v>
      </c>
      <c r="H2789" s="154" t="s">
        <v>6320</v>
      </c>
      <c r="I2789" s="154" t="s">
        <v>6321</v>
      </c>
      <c r="J2789" s="156">
        <v>0.0</v>
      </c>
      <c r="K2789" s="154" t="s">
        <v>361</v>
      </c>
    </row>
    <row r="2790">
      <c r="A2790" s="154" t="s">
        <v>6322</v>
      </c>
      <c r="B2790" s="154" t="s">
        <v>6323</v>
      </c>
      <c r="C2790" s="155"/>
      <c r="D2790" s="154">
        <v>2.0</v>
      </c>
      <c r="E2790" s="154" t="s">
        <v>897</v>
      </c>
      <c r="F2790" s="154" t="s">
        <v>6324</v>
      </c>
      <c r="G2790" s="154">
        <v>0.0</v>
      </c>
      <c r="H2790" s="156">
        <v>0.0</v>
      </c>
      <c r="I2790" s="154">
        <v>9.71504582562E11</v>
      </c>
      <c r="J2790" s="156">
        <v>0.0</v>
      </c>
      <c r="K2790" s="154" t="s">
        <v>361</v>
      </c>
    </row>
    <row r="2791">
      <c r="A2791" s="154" t="s">
        <v>6322</v>
      </c>
      <c r="B2791" s="155"/>
      <c r="C2791" s="154" t="s">
        <v>6323</v>
      </c>
      <c r="D2791" s="155"/>
      <c r="E2791" s="155"/>
      <c r="F2791" s="154" t="s">
        <v>6324</v>
      </c>
      <c r="G2791" s="154">
        <v>0.0</v>
      </c>
      <c r="H2791" s="156">
        <v>0.0</v>
      </c>
      <c r="I2791" s="154">
        <v>9.71504582562E11</v>
      </c>
      <c r="J2791" s="156">
        <v>0.0</v>
      </c>
      <c r="K2791" s="154" t="s">
        <v>361</v>
      </c>
    </row>
    <row r="2792">
      <c r="A2792" s="154" t="s">
        <v>6325</v>
      </c>
      <c r="B2792" s="154" t="s">
        <v>6326</v>
      </c>
      <c r="C2792" s="155"/>
      <c r="D2792" s="154">
        <v>2.0</v>
      </c>
      <c r="E2792" s="154" t="s">
        <v>897</v>
      </c>
      <c r="F2792" s="154" t="s">
        <v>6327</v>
      </c>
      <c r="G2792" s="154">
        <v>4.3091E7</v>
      </c>
      <c r="H2792" s="156">
        <v>0.0</v>
      </c>
      <c r="I2792" s="155">
        <f>+971504500329</f>
        <v>971504500329</v>
      </c>
      <c r="J2792" s="156">
        <v>0.0</v>
      </c>
      <c r="K2792" s="154" t="s">
        <v>259</v>
      </c>
    </row>
    <row r="2793">
      <c r="A2793" s="154" t="s">
        <v>6325</v>
      </c>
      <c r="B2793" s="155"/>
      <c r="C2793" s="154" t="s">
        <v>6326</v>
      </c>
      <c r="D2793" s="155"/>
      <c r="E2793" s="155"/>
      <c r="F2793" s="154" t="s">
        <v>6328</v>
      </c>
      <c r="G2793" s="154">
        <v>4.3091E7</v>
      </c>
      <c r="H2793" s="156">
        <v>0.0</v>
      </c>
      <c r="I2793" s="154">
        <v>5.045000329E9</v>
      </c>
      <c r="J2793" s="156">
        <v>0.0</v>
      </c>
      <c r="K2793" s="154" t="s">
        <v>259</v>
      </c>
    </row>
    <row r="2794">
      <c r="A2794" s="154" t="s">
        <v>6329</v>
      </c>
      <c r="B2794" s="155"/>
      <c r="C2794" s="154" t="s">
        <v>6330</v>
      </c>
      <c r="D2794" s="155"/>
      <c r="E2794" s="155"/>
      <c r="F2794" s="154" t="s">
        <v>6331</v>
      </c>
      <c r="G2794" s="154">
        <v>0.0</v>
      </c>
      <c r="H2794" s="156">
        <v>0.0</v>
      </c>
      <c r="I2794" s="154">
        <v>9.71506244845E11</v>
      </c>
      <c r="J2794" s="156">
        <v>0.0</v>
      </c>
      <c r="K2794" s="154" t="s">
        <v>247</v>
      </c>
    </row>
    <row r="2795">
      <c r="A2795" s="154" t="s">
        <v>6329</v>
      </c>
      <c r="B2795" s="154" t="s">
        <v>6330</v>
      </c>
      <c r="C2795" s="155"/>
      <c r="D2795" s="154">
        <v>2.0</v>
      </c>
      <c r="E2795" s="154" t="s">
        <v>1237</v>
      </c>
      <c r="F2795" s="154" t="s">
        <v>6331</v>
      </c>
      <c r="G2795" s="154">
        <v>0.0</v>
      </c>
      <c r="H2795" s="156">
        <v>0.0</v>
      </c>
      <c r="I2795" s="154">
        <v>9.71506244845E11</v>
      </c>
      <c r="J2795" s="156">
        <v>0.0</v>
      </c>
      <c r="K2795" s="154" t="s">
        <v>247</v>
      </c>
    </row>
    <row r="2796">
      <c r="A2796" s="154" t="s">
        <v>6332</v>
      </c>
      <c r="B2796" s="155"/>
      <c r="C2796" s="154" t="s">
        <v>6333</v>
      </c>
      <c r="D2796" s="155"/>
      <c r="E2796" s="155"/>
      <c r="F2796" s="154" t="s">
        <v>6334</v>
      </c>
      <c r="G2796" s="154">
        <v>4.2256256E7</v>
      </c>
      <c r="H2796" s="156">
        <v>0.0</v>
      </c>
      <c r="I2796" s="154">
        <v>5.06405315E8</v>
      </c>
      <c r="J2796" s="156">
        <v>0.0</v>
      </c>
      <c r="K2796" s="154" t="s">
        <v>760</v>
      </c>
    </row>
    <row r="2797">
      <c r="A2797" s="154" t="s">
        <v>6332</v>
      </c>
      <c r="B2797" s="154" t="s">
        <v>6333</v>
      </c>
      <c r="C2797" s="155"/>
      <c r="D2797" s="154">
        <v>2.0</v>
      </c>
      <c r="E2797" s="154" t="s">
        <v>1237</v>
      </c>
      <c r="F2797" s="154" t="s">
        <v>6334</v>
      </c>
      <c r="G2797" s="154">
        <v>4.2256256E7</v>
      </c>
      <c r="H2797" s="156">
        <v>0.0</v>
      </c>
      <c r="I2797" s="154">
        <v>5.06405315E8</v>
      </c>
      <c r="J2797" s="156">
        <v>0.0</v>
      </c>
      <c r="K2797" s="154" t="s">
        <v>760</v>
      </c>
    </row>
    <row r="2798">
      <c r="A2798" s="154" t="s">
        <v>6335</v>
      </c>
      <c r="B2798" s="154" t="s">
        <v>6336</v>
      </c>
      <c r="C2798" s="155"/>
      <c r="D2798" s="154">
        <v>2.0</v>
      </c>
      <c r="E2798" s="154" t="s">
        <v>1237</v>
      </c>
      <c r="F2798" s="154" t="s">
        <v>6337</v>
      </c>
      <c r="G2798" s="154">
        <v>5.58944777E8</v>
      </c>
      <c r="H2798" s="154" t="s">
        <v>6338</v>
      </c>
      <c r="I2798" s="156">
        <v>0.0</v>
      </c>
      <c r="J2798" s="156">
        <v>0.0</v>
      </c>
      <c r="K2798" s="156">
        <v>0.0</v>
      </c>
    </row>
    <row r="2799">
      <c r="A2799" s="154" t="s">
        <v>6335</v>
      </c>
      <c r="B2799" s="155"/>
      <c r="C2799" s="154" t="s">
        <v>6336</v>
      </c>
      <c r="D2799" s="155"/>
      <c r="E2799" s="155"/>
      <c r="F2799" s="154" t="s">
        <v>6337</v>
      </c>
      <c r="G2799" s="154">
        <v>5.58944777E8</v>
      </c>
      <c r="H2799" s="154" t="s">
        <v>6338</v>
      </c>
      <c r="I2799" s="156">
        <v>0.0</v>
      </c>
      <c r="J2799" s="156">
        <v>0.0</v>
      </c>
      <c r="K2799" s="156">
        <v>0.0</v>
      </c>
    </row>
    <row r="2800">
      <c r="A2800" s="154" t="s">
        <v>6339</v>
      </c>
      <c r="B2800" s="155"/>
      <c r="C2800" s="154" t="s">
        <v>6340</v>
      </c>
      <c r="D2800" s="155"/>
      <c r="E2800" s="155"/>
      <c r="F2800" s="154" t="s">
        <v>6341</v>
      </c>
      <c r="G2800" s="156">
        <v>0.0</v>
      </c>
      <c r="H2800" s="156">
        <v>0.0</v>
      </c>
      <c r="I2800" s="154">
        <v>9.71505523609E11</v>
      </c>
      <c r="J2800" s="156">
        <v>0.0</v>
      </c>
      <c r="K2800" s="154" t="s">
        <v>1059</v>
      </c>
    </row>
    <row r="2801">
      <c r="A2801" s="154" t="s">
        <v>6339</v>
      </c>
      <c r="B2801" s="154" t="s">
        <v>6340</v>
      </c>
      <c r="C2801" s="155"/>
      <c r="D2801" s="154">
        <v>2.0</v>
      </c>
      <c r="E2801" s="154" t="s">
        <v>1237</v>
      </c>
      <c r="F2801" s="154" t="s">
        <v>6341</v>
      </c>
      <c r="G2801" s="156">
        <v>0.0</v>
      </c>
      <c r="H2801" s="156">
        <v>0.0</v>
      </c>
      <c r="I2801" s="154">
        <v>9.71505523609E11</v>
      </c>
      <c r="J2801" s="156">
        <v>0.0</v>
      </c>
      <c r="K2801" s="154" t="s">
        <v>1059</v>
      </c>
    </row>
    <row r="2802">
      <c r="A2802" s="154" t="s">
        <v>6342</v>
      </c>
      <c r="B2802" s="154" t="s">
        <v>6343</v>
      </c>
      <c r="C2802" s="155"/>
      <c r="D2802" s="154">
        <v>2.0</v>
      </c>
      <c r="E2802" s="154" t="s">
        <v>1237</v>
      </c>
      <c r="F2802" s="154" t="s">
        <v>3436</v>
      </c>
      <c r="G2802" s="154" t="s">
        <v>3437</v>
      </c>
      <c r="H2802" s="154" t="s">
        <v>3438</v>
      </c>
      <c r="I2802" s="156">
        <v>0.0</v>
      </c>
      <c r="J2802" s="156">
        <v>0.0</v>
      </c>
      <c r="K2802" s="156">
        <v>0.0</v>
      </c>
    </row>
    <row r="2803">
      <c r="A2803" s="154" t="s">
        <v>6342</v>
      </c>
      <c r="B2803" s="155"/>
      <c r="C2803" s="154" t="s">
        <v>6343</v>
      </c>
      <c r="D2803" s="155"/>
      <c r="E2803" s="155"/>
      <c r="F2803" s="154" t="s">
        <v>3436</v>
      </c>
      <c r="G2803" s="154" t="s">
        <v>3437</v>
      </c>
      <c r="H2803" s="154" t="s">
        <v>3438</v>
      </c>
      <c r="I2803" s="156">
        <v>0.0</v>
      </c>
      <c r="J2803" s="156">
        <v>0.0</v>
      </c>
      <c r="K2803" s="156">
        <v>0.0</v>
      </c>
    </row>
    <row r="2804">
      <c r="A2804" s="154" t="s">
        <v>6344</v>
      </c>
      <c r="B2804" s="154" t="s">
        <v>6345</v>
      </c>
      <c r="C2804" s="155"/>
      <c r="D2804" s="154">
        <v>2.0</v>
      </c>
      <c r="E2804" s="154" t="s">
        <v>1237</v>
      </c>
      <c r="F2804" s="154" t="s">
        <v>6346</v>
      </c>
      <c r="G2804" s="156">
        <v>0.0</v>
      </c>
      <c r="H2804" s="156">
        <v>0.0</v>
      </c>
      <c r="I2804" s="154">
        <v>5.04576503E8</v>
      </c>
      <c r="J2804" s="156">
        <v>0.0</v>
      </c>
      <c r="K2804" s="154" t="s">
        <v>361</v>
      </c>
    </row>
    <row r="2805">
      <c r="A2805" s="154" t="s">
        <v>6344</v>
      </c>
      <c r="B2805" s="155"/>
      <c r="C2805" s="154" t="s">
        <v>6345</v>
      </c>
      <c r="D2805" s="155"/>
      <c r="E2805" s="155"/>
      <c r="F2805" s="154" t="s">
        <v>6346</v>
      </c>
      <c r="G2805" s="156">
        <v>0.0</v>
      </c>
      <c r="H2805" s="156">
        <v>0.0</v>
      </c>
      <c r="I2805" s="154">
        <v>5.04576503E8</v>
      </c>
      <c r="J2805" s="156">
        <v>0.0</v>
      </c>
      <c r="K2805" s="154" t="s">
        <v>361</v>
      </c>
    </row>
    <row r="2806">
      <c r="A2806" s="154" t="s">
        <v>6347</v>
      </c>
      <c r="B2806" s="155"/>
      <c r="C2806" s="154" t="s">
        <v>6348</v>
      </c>
      <c r="D2806" s="155"/>
      <c r="E2806" s="155"/>
      <c r="F2806" s="154" t="s">
        <v>6349</v>
      </c>
      <c r="G2806" s="154">
        <v>9.714339405E10</v>
      </c>
      <c r="H2806" s="154" t="s">
        <v>6350</v>
      </c>
      <c r="I2806" s="154">
        <v>9.71506500383E11</v>
      </c>
      <c r="J2806" s="156">
        <v>0.0</v>
      </c>
      <c r="K2806" s="154" t="s">
        <v>240</v>
      </c>
    </row>
    <row r="2807">
      <c r="A2807" s="154" t="s">
        <v>6347</v>
      </c>
      <c r="B2807" s="154" t="s">
        <v>6348</v>
      </c>
      <c r="C2807" s="155"/>
      <c r="D2807" s="154">
        <v>2.0</v>
      </c>
      <c r="E2807" s="154" t="s">
        <v>1237</v>
      </c>
      <c r="F2807" s="154" t="s">
        <v>6351</v>
      </c>
      <c r="G2807" s="154">
        <v>9.714339405E10</v>
      </c>
      <c r="H2807" s="154" t="s">
        <v>6350</v>
      </c>
      <c r="I2807" s="155" t="str">
        <f>+971 50 645 8138</f>
        <v>#ERROR!</v>
      </c>
      <c r="J2807" s="156">
        <v>0.0</v>
      </c>
      <c r="K2807" s="154" t="s">
        <v>301</v>
      </c>
    </row>
    <row r="2808">
      <c r="A2808" s="154" t="s">
        <v>6352</v>
      </c>
      <c r="B2808" s="154" t="s">
        <v>6353</v>
      </c>
      <c r="C2808" s="155"/>
      <c r="D2808" s="154">
        <v>2.0</v>
      </c>
      <c r="E2808" s="154" t="s">
        <v>1237</v>
      </c>
      <c r="F2808" s="154" t="s">
        <v>6354</v>
      </c>
      <c r="G2808" s="156">
        <v>0.0</v>
      </c>
      <c r="H2808" s="154" t="s">
        <v>6355</v>
      </c>
      <c r="I2808" s="154" t="s">
        <v>6356</v>
      </c>
      <c r="J2808" s="154" t="s">
        <v>6357</v>
      </c>
      <c r="K2808" s="154" t="s">
        <v>361</v>
      </c>
    </row>
    <row r="2809">
      <c r="A2809" s="154" t="s">
        <v>6352</v>
      </c>
      <c r="B2809" s="155"/>
      <c r="C2809" s="154" t="s">
        <v>6353</v>
      </c>
      <c r="D2809" s="155"/>
      <c r="E2809" s="155"/>
      <c r="F2809" s="154" t="s">
        <v>6354</v>
      </c>
      <c r="G2809" s="156">
        <v>0.0</v>
      </c>
      <c r="H2809" s="154" t="s">
        <v>6355</v>
      </c>
      <c r="I2809" s="154" t="s">
        <v>6356</v>
      </c>
      <c r="J2809" s="154" t="s">
        <v>6357</v>
      </c>
      <c r="K2809" s="154" t="s">
        <v>361</v>
      </c>
    </row>
    <row r="2810">
      <c r="A2810" s="154" t="s">
        <v>6358</v>
      </c>
      <c r="B2810" s="155"/>
      <c r="C2810" s="154" t="s">
        <v>6359</v>
      </c>
      <c r="D2810" s="155"/>
      <c r="E2810" s="155"/>
      <c r="F2810" s="154" t="s">
        <v>6360</v>
      </c>
      <c r="G2810" s="156">
        <v>0.0</v>
      </c>
      <c r="H2810" s="156">
        <v>0.0</v>
      </c>
      <c r="I2810" s="154" t="s">
        <v>6361</v>
      </c>
      <c r="J2810" s="154" t="s">
        <v>6362</v>
      </c>
      <c r="K2810" s="154" t="s">
        <v>259</v>
      </c>
    </row>
    <row r="2811">
      <c r="A2811" s="154" t="s">
        <v>6358</v>
      </c>
      <c r="B2811" s="154" t="s">
        <v>6359</v>
      </c>
      <c r="C2811" s="155"/>
      <c r="D2811" s="154">
        <v>2.0</v>
      </c>
      <c r="E2811" s="154" t="s">
        <v>1237</v>
      </c>
      <c r="F2811" s="154" t="s">
        <v>6360</v>
      </c>
      <c r="G2811" s="156">
        <v>0.0</v>
      </c>
      <c r="H2811" s="156">
        <v>0.0</v>
      </c>
      <c r="I2811" s="154" t="s">
        <v>6361</v>
      </c>
      <c r="J2811" s="154" t="s">
        <v>6362</v>
      </c>
      <c r="K2811" s="154" t="s">
        <v>259</v>
      </c>
    </row>
    <row r="2812">
      <c r="A2812" s="154" t="s">
        <v>6363</v>
      </c>
      <c r="B2812" s="155"/>
      <c r="C2812" s="154" t="s">
        <v>6364</v>
      </c>
      <c r="D2812" s="155"/>
      <c r="E2812" s="155"/>
      <c r="F2812" s="154" t="s">
        <v>6365</v>
      </c>
      <c r="G2812" s="156">
        <v>0.0</v>
      </c>
      <c r="H2812" s="156">
        <v>0.0</v>
      </c>
      <c r="I2812" s="154">
        <v>9.71552267811E11</v>
      </c>
      <c r="J2812" s="156">
        <v>0.0</v>
      </c>
      <c r="K2812" s="154" t="s">
        <v>2143</v>
      </c>
    </row>
    <row r="2813">
      <c r="A2813" s="154" t="s">
        <v>6363</v>
      </c>
      <c r="B2813" s="154" t="s">
        <v>6364</v>
      </c>
      <c r="C2813" s="155"/>
      <c r="D2813" s="154">
        <v>2.0</v>
      </c>
      <c r="E2813" s="154" t="s">
        <v>1237</v>
      </c>
      <c r="F2813" s="154" t="s">
        <v>6365</v>
      </c>
      <c r="G2813" s="156">
        <v>0.0</v>
      </c>
      <c r="H2813" s="156">
        <v>0.0</v>
      </c>
      <c r="I2813" s="154">
        <v>9.71552267811E11</v>
      </c>
      <c r="J2813" s="156">
        <v>0.0</v>
      </c>
      <c r="K2813" s="154" t="s">
        <v>2143</v>
      </c>
    </row>
    <row r="2814">
      <c r="A2814" s="154" t="s">
        <v>6366</v>
      </c>
      <c r="B2814" s="154" t="s">
        <v>6367</v>
      </c>
      <c r="C2814" s="155"/>
      <c r="D2814" s="154">
        <v>2.0</v>
      </c>
      <c r="E2814" s="154" t="s">
        <v>1237</v>
      </c>
      <c r="F2814" s="154" t="s">
        <v>6368</v>
      </c>
      <c r="G2814" s="154">
        <v>4.4542096E7</v>
      </c>
      <c r="H2814" s="154" t="s">
        <v>6369</v>
      </c>
      <c r="I2814" s="154">
        <v>9.71504734731E11</v>
      </c>
      <c r="J2814" s="156">
        <v>0.0</v>
      </c>
      <c r="K2814" s="154" t="s">
        <v>914</v>
      </c>
    </row>
    <row r="2815">
      <c r="A2815" s="154" t="s">
        <v>6366</v>
      </c>
      <c r="B2815" s="155"/>
      <c r="C2815" s="154" t="s">
        <v>6367</v>
      </c>
      <c r="D2815" s="155"/>
      <c r="E2815" s="155"/>
      <c r="F2815" s="154" t="s">
        <v>6368</v>
      </c>
      <c r="G2815" s="154">
        <v>4.4542096E7</v>
      </c>
      <c r="H2815" s="154" t="s">
        <v>6369</v>
      </c>
      <c r="I2815" s="154">
        <v>9.71504734731E11</v>
      </c>
      <c r="J2815" s="156">
        <v>0.0</v>
      </c>
      <c r="K2815" s="154" t="s">
        <v>914</v>
      </c>
    </row>
    <row r="2816">
      <c r="A2816" s="154" t="s">
        <v>6370</v>
      </c>
      <c r="B2816" s="155"/>
      <c r="C2816" s="154" t="s">
        <v>6371</v>
      </c>
      <c r="D2816" s="155"/>
      <c r="E2816" s="155"/>
      <c r="F2816" s="154" t="s">
        <v>6372</v>
      </c>
      <c r="G2816" s="154">
        <v>9.71555450514E11</v>
      </c>
      <c r="H2816" s="156">
        <v>0.0</v>
      </c>
      <c r="I2816" s="154">
        <v>9.7150284547E11</v>
      </c>
      <c r="J2816" s="156">
        <v>0.0</v>
      </c>
      <c r="K2816" s="154" t="s">
        <v>206</v>
      </c>
    </row>
    <row r="2817">
      <c r="A2817" s="154" t="s">
        <v>6370</v>
      </c>
      <c r="B2817" s="154" t="s">
        <v>6371</v>
      </c>
      <c r="C2817" s="155"/>
      <c r="D2817" s="154">
        <v>2.0</v>
      </c>
      <c r="E2817" s="154" t="s">
        <v>1237</v>
      </c>
      <c r="F2817" s="154" t="s">
        <v>6372</v>
      </c>
      <c r="G2817" s="154">
        <v>9.71555450514E11</v>
      </c>
      <c r="H2817" s="156">
        <v>0.0</v>
      </c>
      <c r="I2817" s="154">
        <v>9.7150284547E11</v>
      </c>
      <c r="J2817" s="156">
        <v>0.0</v>
      </c>
      <c r="K2817" s="154" t="s">
        <v>206</v>
      </c>
    </row>
    <row r="2818">
      <c r="A2818" s="154" t="s">
        <v>6373</v>
      </c>
      <c r="B2818" s="154" t="s">
        <v>6374</v>
      </c>
      <c r="C2818" s="155"/>
      <c r="D2818" s="154">
        <v>2.0</v>
      </c>
      <c r="E2818" s="154" t="s">
        <v>1237</v>
      </c>
      <c r="F2818" s="154" t="s">
        <v>6375</v>
      </c>
      <c r="G2818" s="156">
        <v>0.0</v>
      </c>
      <c r="H2818" s="154" t="s">
        <v>6376</v>
      </c>
      <c r="I2818" s="154" t="s">
        <v>6377</v>
      </c>
      <c r="J2818" s="154" t="s">
        <v>6378</v>
      </c>
      <c r="K2818" s="154" t="s">
        <v>329</v>
      </c>
    </row>
    <row r="2819">
      <c r="A2819" s="154" t="s">
        <v>6373</v>
      </c>
      <c r="B2819" s="155"/>
      <c r="C2819" s="154" t="s">
        <v>6374</v>
      </c>
      <c r="D2819" s="155"/>
      <c r="E2819" s="155"/>
      <c r="F2819" s="154" t="s">
        <v>6375</v>
      </c>
      <c r="G2819" s="156">
        <v>0.0</v>
      </c>
      <c r="H2819" s="154" t="s">
        <v>6376</v>
      </c>
      <c r="I2819" s="154" t="s">
        <v>6377</v>
      </c>
      <c r="J2819" s="154" t="s">
        <v>6378</v>
      </c>
      <c r="K2819" s="154" t="s">
        <v>329</v>
      </c>
    </row>
    <row r="2820">
      <c r="A2820" s="154" t="s">
        <v>6379</v>
      </c>
      <c r="B2820" s="154" t="s">
        <v>6380</v>
      </c>
      <c r="C2820" s="155"/>
      <c r="D2820" s="154">
        <v>2.0</v>
      </c>
      <c r="E2820" s="154" t="s">
        <v>1237</v>
      </c>
      <c r="F2820" s="154" t="s">
        <v>6381</v>
      </c>
      <c r="G2820" s="154" t="s">
        <v>6382</v>
      </c>
      <c r="H2820" s="156">
        <v>0.0</v>
      </c>
      <c r="I2820" s="154" t="s">
        <v>6383</v>
      </c>
      <c r="J2820" s="154" t="s">
        <v>6382</v>
      </c>
      <c r="K2820" s="154" t="s">
        <v>1731</v>
      </c>
    </row>
    <row r="2821">
      <c r="A2821" s="154" t="s">
        <v>6379</v>
      </c>
      <c r="B2821" s="155"/>
      <c r="C2821" s="154" t="s">
        <v>6380</v>
      </c>
      <c r="D2821" s="155"/>
      <c r="E2821" s="155"/>
      <c r="F2821" s="154" t="s">
        <v>6381</v>
      </c>
      <c r="G2821" s="154" t="s">
        <v>6382</v>
      </c>
      <c r="H2821" s="156">
        <v>0.0</v>
      </c>
      <c r="I2821" s="154" t="s">
        <v>6383</v>
      </c>
      <c r="J2821" s="154" t="s">
        <v>6382</v>
      </c>
      <c r="K2821" s="154" t="s">
        <v>1731</v>
      </c>
    </row>
    <row r="2822">
      <c r="A2822" s="154" t="s">
        <v>6384</v>
      </c>
      <c r="B2822" s="155"/>
      <c r="C2822" s="154" t="s">
        <v>6385</v>
      </c>
      <c r="D2822" s="155"/>
      <c r="E2822" s="155"/>
      <c r="F2822" s="154" t="s">
        <v>6381</v>
      </c>
      <c r="G2822" s="154" t="s">
        <v>6382</v>
      </c>
      <c r="H2822" s="156">
        <v>0.0</v>
      </c>
      <c r="I2822" s="154" t="s">
        <v>6383</v>
      </c>
      <c r="J2822" s="154" t="s">
        <v>6382</v>
      </c>
      <c r="K2822" s="154" t="s">
        <v>1731</v>
      </c>
    </row>
    <row r="2823">
      <c r="A2823" s="154" t="s">
        <v>6384</v>
      </c>
      <c r="B2823" s="154" t="s">
        <v>6385</v>
      </c>
      <c r="C2823" s="155"/>
      <c r="D2823" s="154">
        <v>2.0</v>
      </c>
      <c r="E2823" s="154" t="s">
        <v>1237</v>
      </c>
      <c r="F2823" s="154" t="s">
        <v>6381</v>
      </c>
      <c r="G2823" s="154" t="s">
        <v>6382</v>
      </c>
      <c r="H2823" s="156">
        <v>0.0</v>
      </c>
      <c r="I2823" s="154" t="s">
        <v>6383</v>
      </c>
      <c r="J2823" s="154" t="s">
        <v>6382</v>
      </c>
      <c r="K2823" s="154" t="s">
        <v>1731</v>
      </c>
    </row>
    <row r="2824">
      <c r="A2824" s="154" t="s">
        <v>6386</v>
      </c>
      <c r="B2824" s="155"/>
      <c r="C2824" s="154" t="s">
        <v>6387</v>
      </c>
      <c r="D2824" s="155"/>
      <c r="E2824" s="155"/>
      <c r="F2824" s="154" t="s">
        <v>6388</v>
      </c>
      <c r="G2824" s="154" t="s">
        <v>6389</v>
      </c>
      <c r="H2824" s="154" t="s">
        <v>6390</v>
      </c>
      <c r="I2824" s="154" t="s">
        <v>6391</v>
      </c>
      <c r="J2824" s="156">
        <v>0.0</v>
      </c>
      <c r="K2824" s="154" t="s">
        <v>939</v>
      </c>
    </row>
    <row r="2825">
      <c r="A2825" s="154" t="s">
        <v>6386</v>
      </c>
      <c r="B2825" s="154" t="s">
        <v>6387</v>
      </c>
      <c r="C2825" s="155"/>
      <c r="D2825" s="154">
        <v>2.0</v>
      </c>
      <c r="E2825" s="154" t="s">
        <v>1237</v>
      </c>
      <c r="F2825" s="154" t="s">
        <v>6388</v>
      </c>
      <c r="G2825" s="154" t="s">
        <v>6389</v>
      </c>
      <c r="H2825" s="154" t="s">
        <v>6390</v>
      </c>
      <c r="I2825" s="154" t="s">
        <v>6391</v>
      </c>
      <c r="J2825" s="156">
        <v>0.0</v>
      </c>
      <c r="K2825" s="154" t="s">
        <v>939</v>
      </c>
    </row>
    <row r="2826">
      <c r="A2826" s="154" t="s">
        <v>6392</v>
      </c>
      <c r="B2826" s="154" t="s">
        <v>6393</v>
      </c>
      <c r="C2826" s="155"/>
      <c r="D2826" s="154">
        <v>2.0</v>
      </c>
      <c r="E2826" s="154" t="s">
        <v>1237</v>
      </c>
      <c r="F2826" s="154" t="s">
        <v>6394</v>
      </c>
      <c r="G2826" s="154">
        <v>0.0</v>
      </c>
      <c r="H2826" s="154" t="s">
        <v>6395</v>
      </c>
      <c r="I2826" s="154">
        <v>5.07289629E8</v>
      </c>
      <c r="J2826" s="156">
        <v>0.0</v>
      </c>
      <c r="K2826" s="154" t="s">
        <v>259</v>
      </c>
    </row>
    <row r="2827">
      <c r="A2827" s="154" t="s">
        <v>6392</v>
      </c>
      <c r="B2827" s="155"/>
      <c r="C2827" s="154" t="s">
        <v>6393</v>
      </c>
      <c r="D2827" s="155"/>
      <c r="E2827" s="155"/>
      <c r="F2827" s="154" t="s">
        <v>6394</v>
      </c>
      <c r="G2827" s="154">
        <v>0.0</v>
      </c>
      <c r="H2827" s="154" t="s">
        <v>6395</v>
      </c>
      <c r="I2827" s="154">
        <v>5.07289629E8</v>
      </c>
      <c r="J2827" s="156">
        <v>0.0</v>
      </c>
      <c r="K2827" s="154" t="s">
        <v>259</v>
      </c>
    </row>
    <row r="2828">
      <c r="A2828" s="154" t="s">
        <v>6396</v>
      </c>
      <c r="B2828" s="155"/>
      <c r="C2828" s="154" t="s">
        <v>6397</v>
      </c>
      <c r="D2828" s="155"/>
      <c r="E2828" s="155"/>
      <c r="F2828" s="154" t="s">
        <v>6398</v>
      </c>
      <c r="G2828" s="156">
        <v>0.0</v>
      </c>
      <c r="H2828" s="156">
        <v>0.0</v>
      </c>
      <c r="I2828" s="154" t="s">
        <v>5318</v>
      </c>
      <c r="J2828" s="154" t="s">
        <v>5319</v>
      </c>
      <c r="K2828" s="154" t="s">
        <v>197</v>
      </c>
    </row>
    <row r="2829">
      <c r="A2829" s="154" t="s">
        <v>6396</v>
      </c>
      <c r="B2829" s="154" t="s">
        <v>6397</v>
      </c>
      <c r="C2829" s="155"/>
      <c r="D2829" s="154">
        <v>2.0</v>
      </c>
      <c r="E2829" s="154" t="s">
        <v>1237</v>
      </c>
      <c r="F2829" s="154" t="s">
        <v>6398</v>
      </c>
      <c r="G2829" s="156">
        <v>0.0</v>
      </c>
      <c r="H2829" s="156">
        <v>0.0</v>
      </c>
      <c r="I2829" s="154" t="s">
        <v>5318</v>
      </c>
      <c r="J2829" s="154" t="s">
        <v>5319</v>
      </c>
      <c r="K2829" s="154" t="s">
        <v>197</v>
      </c>
    </row>
    <row r="2830">
      <c r="A2830" s="154" t="s">
        <v>6399</v>
      </c>
      <c r="B2830" s="154" t="s">
        <v>6400</v>
      </c>
      <c r="C2830" s="155"/>
      <c r="D2830" s="154">
        <v>2.0</v>
      </c>
      <c r="E2830" s="154" t="s">
        <v>1237</v>
      </c>
      <c r="F2830" s="154" t="s">
        <v>6401</v>
      </c>
      <c r="G2830" s="156">
        <v>0.0</v>
      </c>
      <c r="H2830" s="156">
        <v>0.0</v>
      </c>
      <c r="I2830" s="154">
        <v>2.348099661089E12</v>
      </c>
      <c r="J2830" s="156">
        <v>0.0</v>
      </c>
      <c r="K2830" s="154" t="s">
        <v>1200</v>
      </c>
    </row>
    <row r="2831">
      <c r="A2831" s="154" t="s">
        <v>6399</v>
      </c>
      <c r="B2831" s="155"/>
      <c r="C2831" s="154" t="s">
        <v>6400</v>
      </c>
      <c r="D2831" s="155"/>
      <c r="E2831" s="155"/>
      <c r="F2831" s="154" t="s">
        <v>6401</v>
      </c>
      <c r="G2831" s="156">
        <v>0.0</v>
      </c>
      <c r="H2831" s="156">
        <v>0.0</v>
      </c>
      <c r="I2831" s="154">
        <v>2.348099661089E12</v>
      </c>
      <c r="J2831" s="156">
        <v>0.0</v>
      </c>
      <c r="K2831" s="154" t="s">
        <v>1200</v>
      </c>
    </row>
    <row r="2832">
      <c r="A2832" s="154" t="s">
        <v>6402</v>
      </c>
      <c r="B2832" s="154" t="s">
        <v>6403</v>
      </c>
      <c r="C2832" s="155"/>
      <c r="D2832" s="154">
        <v>2.0</v>
      </c>
      <c r="E2832" s="154" t="s">
        <v>1237</v>
      </c>
      <c r="F2832" s="154" t="s">
        <v>6404</v>
      </c>
      <c r="G2832" s="154">
        <v>6.5770441E7</v>
      </c>
      <c r="H2832" s="156">
        <v>0.0</v>
      </c>
      <c r="I2832" s="154">
        <v>9.7150656306E11</v>
      </c>
      <c r="J2832" s="156">
        <v>0.0</v>
      </c>
      <c r="K2832" s="154" t="s">
        <v>240</v>
      </c>
    </row>
    <row r="2833">
      <c r="A2833" s="154" t="s">
        <v>6402</v>
      </c>
      <c r="B2833" s="155"/>
      <c r="C2833" s="154" t="s">
        <v>6403</v>
      </c>
      <c r="D2833" s="155"/>
      <c r="E2833" s="155"/>
      <c r="F2833" s="154" t="s">
        <v>6404</v>
      </c>
      <c r="G2833" s="154">
        <v>6.5770441E7</v>
      </c>
      <c r="H2833" s="156">
        <v>0.0</v>
      </c>
      <c r="I2833" s="154">
        <v>9.7150656306E11</v>
      </c>
      <c r="J2833" s="156">
        <v>0.0</v>
      </c>
      <c r="K2833" s="154" t="s">
        <v>240</v>
      </c>
    </row>
    <row r="2834">
      <c r="A2834" s="154" t="s">
        <v>6405</v>
      </c>
      <c r="B2834" s="154" t="s">
        <v>6406</v>
      </c>
      <c r="C2834" s="155"/>
      <c r="D2834" s="154">
        <v>2.0</v>
      </c>
      <c r="E2834" s="154" t="s">
        <v>1237</v>
      </c>
      <c r="F2834" s="154" t="s">
        <v>6407</v>
      </c>
      <c r="G2834" s="156">
        <v>0.0</v>
      </c>
      <c r="H2834" s="156">
        <v>0.0</v>
      </c>
      <c r="I2834" s="154" t="s">
        <v>6408</v>
      </c>
      <c r="J2834" s="156">
        <v>0.0</v>
      </c>
      <c r="K2834" s="154" t="s">
        <v>361</v>
      </c>
    </row>
    <row r="2835">
      <c r="A2835" s="154" t="s">
        <v>6405</v>
      </c>
      <c r="B2835" s="155"/>
      <c r="C2835" s="154" t="s">
        <v>6406</v>
      </c>
      <c r="D2835" s="155"/>
      <c r="E2835" s="155"/>
      <c r="F2835" s="154" t="s">
        <v>6407</v>
      </c>
      <c r="G2835" s="156">
        <v>0.0</v>
      </c>
      <c r="H2835" s="156">
        <v>0.0</v>
      </c>
      <c r="I2835" s="154" t="s">
        <v>6408</v>
      </c>
      <c r="J2835" s="156">
        <v>0.0</v>
      </c>
      <c r="K2835" s="154" t="s">
        <v>361</v>
      </c>
    </row>
    <row r="2836">
      <c r="A2836" s="154" t="s">
        <v>6409</v>
      </c>
      <c r="B2836" s="154" t="s">
        <v>6410</v>
      </c>
      <c r="C2836" s="155"/>
      <c r="D2836" s="154">
        <v>2.0</v>
      </c>
      <c r="E2836" s="154" t="s">
        <v>1237</v>
      </c>
      <c r="F2836" s="154" t="s">
        <v>6411</v>
      </c>
      <c r="G2836" s="154">
        <v>1.0</v>
      </c>
      <c r="H2836" s="156">
        <v>0.0</v>
      </c>
      <c r="I2836" s="156">
        <v>0.0</v>
      </c>
      <c r="J2836" s="156">
        <v>0.0</v>
      </c>
      <c r="K2836" s="156">
        <v>0.0</v>
      </c>
    </row>
    <row r="2837">
      <c r="A2837" s="154" t="s">
        <v>6409</v>
      </c>
      <c r="B2837" s="155"/>
      <c r="C2837" s="154" t="s">
        <v>6410</v>
      </c>
      <c r="D2837" s="155"/>
      <c r="E2837" s="155"/>
      <c r="F2837" s="154" t="s">
        <v>6411</v>
      </c>
      <c r="G2837" s="154">
        <v>1.0</v>
      </c>
      <c r="H2837" s="156">
        <v>0.0</v>
      </c>
      <c r="I2837" s="156">
        <v>0.0</v>
      </c>
      <c r="J2837" s="156">
        <v>0.0</v>
      </c>
      <c r="K2837" s="156">
        <v>0.0</v>
      </c>
    </row>
    <row r="2838">
      <c r="A2838" s="154" t="s">
        <v>6412</v>
      </c>
      <c r="B2838" s="154" t="s">
        <v>6413</v>
      </c>
      <c r="C2838" s="155"/>
      <c r="D2838" s="154">
        <v>2.0</v>
      </c>
      <c r="E2838" s="154" t="s">
        <v>1237</v>
      </c>
      <c r="F2838" s="154" t="s">
        <v>6414</v>
      </c>
      <c r="G2838" s="154" t="s">
        <v>6415</v>
      </c>
      <c r="H2838" s="154" t="s">
        <v>6416</v>
      </c>
      <c r="I2838" s="154" t="s">
        <v>6417</v>
      </c>
      <c r="J2838" s="156">
        <v>0.0</v>
      </c>
      <c r="K2838" s="154" t="s">
        <v>207</v>
      </c>
    </row>
    <row r="2839">
      <c r="A2839" s="154" t="s">
        <v>6412</v>
      </c>
      <c r="B2839" s="155"/>
      <c r="C2839" s="154" t="s">
        <v>6413</v>
      </c>
      <c r="D2839" s="155"/>
      <c r="E2839" s="155"/>
      <c r="F2839" s="154" t="s">
        <v>6414</v>
      </c>
      <c r="G2839" s="154" t="s">
        <v>6415</v>
      </c>
      <c r="H2839" s="154" t="s">
        <v>6416</v>
      </c>
      <c r="I2839" s="154" t="s">
        <v>6417</v>
      </c>
      <c r="J2839" s="156">
        <v>0.0</v>
      </c>
      <c r="K2839" s="154" t="s">
        <v>207</v>
      </c>
    </row>
    <row r="2840">
      <c r="A2840" s="154" t="s">
        <v>6418</v>
      </c>
      <c r="B2840" s="154" t="s">
        <v>6419</v>
      </c>
      <c r="C2840" s="155"/>
      <c r="D2840" s="154">
        <v>2.0</v>
      </c>
      <c r="E2840" s="154" t="s">
        <v>1237</v>
      </c>
      <c r="F2840" s="154" t="s">
        <v>6420</v>
      </c>
      <c r="G2840" s="156">
        <v>0.0</v>
      </c>
      <c r="H2840" s="154" t="s">
        <v>6421</v>
      </c>
      <c r="I2840" s="156">
        <v>0.0</v>
      </c>
      <c r="J2840" s="154" t="s">
        <v>6422</v>
      </c>
      <c r="K2840" s="154" t="s">
        <v>846</v>
      </c>
    </row>
    <row r="2841">
      <c r="A2841" s="154" t="s">
        <v>6418</v>
      </c>
      <c r="B2841" s="155"/>
      <c r="C2841" s="154" t="s">
        <v>6419</v>
      </c>
      <c r="D2841" s="155"/>
      <c r="E2841" s="155"/>
      <c r="F2841" s="154" t="s">
        <v>6420</v>
      </c>
      <c r="G2841" s="156">
        <v>0.0</v>
      </c>
      <c r="H2841" s="154" t="s">
        <v>6421</v>
      </c>
      <c r="I2841" s="156">
        <v>0.0</v>
      </c>
      <c r="J2841" s="154" t="s">
        <v>6422</v>
      </c>
      <c r="K2841" s="154" t="s">
        <v>846</v>
      </c>
    </row>
    <row r="2842">
      <c r="A2842" s="154" t="s">
        <v>6423</v>
      </c>
      <c r="B2842" s="155"/>
      <c r="C2842" s="154" t="s">
        <v>6424</v>
      </c>
      <c r="D2842" s="155"/>
      <c r="E2842" s="155"/>
      <c r="F2842" s="154" t="s">
        <v>3429</v>
      </c>
      <c r="G2842" s="154">
        <v>9.71042821E11</v>
      </c>
      <c r="H2842" s="154" t="s">
        <v>2022</v>
      </c>
      <c r="I2842" s="156">
        <v>0.0</v>
      </c>
      <c r="J2842" s="156">
        <v>0.0</v>
      </c>
      <c r="K2842" s="156">
        <v>0.0</v>
      </c>
    </row>
    <row r="2843">
      <c r="A2843" s="154" t="s">
        <v>6423</v>
      </c>
      <c r="B2843" s="154" t="s">
        <v>6424</v>
      </c>
      <c r="C2843" s="155"/>
      <c r="D2843" s="154">
        <v>2.0</v>
      </c>
      <c r="E2843" s="154" t="s">
        <v>1237</v>
      </c>
      <c r="F2843" s="154" t="s">
        <v>3429</v>
      </c>
      <c r="G2843" s="154">
        <v>9.71042821E11</v>
      </c>
      <c r="H2843" s="154" t="s">
        <v>2022</v>
      </c>
      <c r="I2843" s="156">
        <v>0.0</v>
      </c>
      <c r="J2843" s="156">
        <v>0.0</v>
      </c>
      <c r="K2843" s="156">
        <v>0.0</v>
      </c>
    </row>
    <row r="2844">
      <c r="A2844" s="154" t="s">
        <v>6425</v>
      </c>
      <c r="B2844" s="155"/>
      <c r="C2844" s="154" t="s">
        <v>6426</v>
      </c>
      <c r="D2844" s="155"/>
      <c r="E2844" s="155"/>
      <c r="F2844" s="154" t="s">
        <v>6427</v>
      </c>
      <c r="G2844" s="154" t="s">
        <v>6428</v>
      </c>
      <c r="H2844" s="156">
        <v>0.0</v>
      </c>
      <c r="I2844" s="154">
        <v>9.71505504258E11</v>
      </c>
      <c r="J2844" s="156">
        <v>0.0</v>
      </c>
      <c r="K2844" s="154" t="s">
        <v>240</v>
      </c>
    </row>
    <row r="2845">
      <c r="A2845" s="154" t="s">
        <v>6425</v>
      </c>
      <c r="B2845" s="154" t="s">
        <v>6426</v>
      </c>
      <c r="C2845" s="155"/>
      <c r="D2845" s="154">
        <v>2.0</v>
      </c>
      <c r="E2845" s="154" t="s">
        <v>1237</v>
      </c>
      <c r="F2845" s="154" t="s">
        <v>6427</v>
      </c>
      <c r="G2845" s="154" t="s">
        <v>6428</v>
      </c>
      <c r="H2845" s="156">
        <v>0.0</v>
      </c>
      <c r="I2845" s="154">
        <v>9.71505504258E11</v>
      </c>
      <c r="J2845" s="156">
        <v>0.0</v>
      </c>
      <c r="K2845" s="154" t="s">
        <v>240</v>
      </c>
    </row>
    <row r="2846">
      <c r="A2846" s="154" t="s">
        <v>6429</v>
      </c>
      <c r="B2846" s="155"/>
      <c r="C2846" s="154" t="s">
        <v>6430</v>
      </c>
      <c r="D2846" s="155"/>
      <c r="E2846" s="155"/>
      <c r="F2846" s="154" t="s">
        <v>6431</v>
      </c>
      <c r="G2846" s="156">
        <v>0.0</v>
      </c>
      <c r="H2846" s="154" t="s">
        <v>6432</v>
      </c>
      <c r="I2846" s="154" t="s">
        <v>6433</v>
      </c>
      <c r="J2846" s="156">
        <v>0.0</v>
      </c>
      <c r="K2846" s="154" t="s">
        <v>240</v>
      </c>
    </row>
    <row r="2847">
      <c r="A2847" s="154" t="s">
        <v>6429</v>
      </c>
      <c r="B2847" s="154" t="s">
        <v>6434</v>
      </c>
      <c r="D2847" s="154">
        <v>2.0</v>
      </c>
      <c r="E2847" s="154" t="s">
        <v>897</v>
      </c>
      <c r="F2847" s="154" t="s">
        <v>6431</v>
      </c>
      <c r="G2847" s="156">
        <v>0.0</v>
      </c>
      <c r="H2847" s="154" t="s">
        <v>6432</v>
      </c>
      <c r="I2847" s="154" t="s">
        <v>6433</v>
      </c>
      <c r="J2847" s="156">
        <v>0.0</v>
      </c>
      <c r="K2847" s="154" t="s">
        <v>240</v>
      </c>
    </row>
    <row r="2848">
      <c r="A2848" s="154" t="s">
        <v>6435</v>
      </c>
      <c r="B2848" s="154" t="s">
        <v>6436</v>
      </c>
      <c r="D2848" s="154">
        <v>2.0</v>
      </c>
      <c r="E2848" s="154" t="s">
        <v>897</v>
      </c>
      <c r="F2848" s="154" t="s">
        <v>6437</v>
      </c>
      <c r="G2848" s="154" t="s">
        <v>6438</v>
      </c>
      <c r="H2848" s="154" t="s">
        <v>6439</v>
      </c>
      <c r="I2848" s="154" t="s">
        <v>6440</v>
      </c>
      <c r="J2848" s="154" t="s">
        <v>6441</v>
      </c>
      <c r="K2848" s="154" t="s">
        <v>207</v>
      </c>
    </row>
    <row r="2849">
      <c r="A2849" s="154" t="s">
        <v>6435</v>
      </c>
      <c r="B2849" s="155"/>
      <c r="C2849" s="154" t="s">
        <v>6442</v>
      </c>
      <c r="D2849" s="155"/>
      <c r="E2849" s="155"/>
      <c r="F2849" s="154" t="s">
        <v>6443</v>
      </c>
      <c r="G2849" s="156">
        <v>0.0</v>
      </c>
      <c r="H2849" s="154" t="s">
        <v>6444</v>
      </c>
      <c r="I2849" s="154" t="s">
        <v>6445</v>
      </c>
      <c r="J2849" s="154" t="s">
        <v>6446</v>
      </c>
      <c r="K2849" s="154" t="s">
        <v>207</v>
      </c>
    </row>
    <row r="2850">
      <c r="A2850" s="154" t="s">
        <v>6447</v>
      </c>
      <c r="B2850" s="155"/>
      <c r="C2850" s="154" t="s">
        <v>6448</v>
      </c>
      <c r="D2850" s="155"/>
      <c r="E2850" s="155"/>
      <c r="F2850" s="154" t="s">
        <v>6449</v>
      </c>
      <c r="G2850" s="156">
        <v>0.0</v>
      </c>
      <c r="H2850" s="154" t="s">
        <v>1838</v>
      </c>
      <c r="I2850" s="154" t="s">
        <v>6450</v>
      </c>
      <c r="J2850" s="154" t="s">
        <v>6451</v>
      </c>
      <c r="K2850" s="154" t="s">
        <v>846</v>
      </c>
    </row>
    <row r="2851">
      <c r="A2851" s="154" t="s">
        <v>6447</v>
      </c>
      <c r="B2851" s="154" t="s">
        <v>6452</v>
      </c>
      <c r="D2851" s="154">
        <v>2.0</v>
      </c>
      <c r="E2851" s="154" t="s">
        <v>897</v>
      </c>
      <c r="F2851" s="154" t="s">
        <v>6449</v>
      </c>
      <c r="G2851" s="156">
        <v>0.0</v>
      </c>
      <c r="H2851" s="154" t="s">
        <v>1838</v>
      </c>
      <c r="I2851" s="154" t="s">
        <v>6450</v>
      </c>
      <c r="J2851" s="154" t="s">
        <v>6451</v>
      </c>
      <c r="K2851" s="154" t="s">
        <v>846</v>
      </c>
    </row>
    <row r="2852">
      <c r="A2852" s="154" t="s">
        <v>6453</v>
      </c>
      <c r="B2852" s="155"/>
      <c r="C2852" s="154" t="s">
        <v>6454</v>
      </c>
      <c r="D2852" s="155"/>
      <c r="E2852" s="155"/>
      <c r="F2852" s="154" t="s">
        <v>3786</v>
      </c>
      <c r="G2852" s="154">
        <v>4.3902282E7</v>
      </c>
      <c r="H2852" s="154" t="s">
        <v>1185</v>
      </c>
      <c r="I2852" s="156">
        <v>0.0</v>
      </c>
      <c r="J2852" s="156">
        <v>0.0</v>
      </c>
      <c r="K2852" s="156">
        <v>0.0</v>
      </c>
    </row>
    <row r="2853">
      <c r="A2853" s="154" t="s">
        <v>6453</v>
      </c>
      <c r="B2853" s="154" t="s">
        <v>6455</v>
      </c>
      <c r="D2853" s="154">
        <v>2.0</v>
      </c>
      <c r="E2853" s="154" t="s">
        <v>897</v>
      </c>
      <c r="F2853" s="154" t="s">
        <v>1619</v>
      </c>
      <c r="G2853" s="154">
        <v>4.3903333E7</v>
      </c>
      <c r="H2853" s="154" t="s">
        <v>1620</v>
      </c>
      <c r="I2853" s="156">
        <v>0.0</v>
      </c>
      <c r="J2853" s="156">
        <v>0.0</v>
      </c>
      <c r="K2853" s="156">
        <v>0.0</v>
      </c>
    </row>
    <row r="2854">
      <c r="A2854" s="154" t="s">
        <v>6456</v>
      </c>
      <c r="B2854" s="154" t="s">
        <v>6457</v>
      </c>
      <c r="D2854" s="154">
        <v>2.0</v>
      </c>
      <c r="E2854" s="154" t="s">
        <v>897</v>
      </c>
      <c r="F2854" s="154" t="s">
        <v>1619</v>
      </c>
      <c r="G2854" s="154">
        <v>4.3903333E7</v>
      </c>
      <c r="H2854" s="154" t="s">
        <v>1620</v>
      </c>
      <c r="I2854" s="156">
        <v>0.0</v>
      </c>
      <c r="J2854" s="156">
        <v>0.0</v>
      </c>
      <c r="K2854" s="156">
        <v>0.0</v>
      </c>
    </row>
    <row r="2855">
      <c r="A2855" s="154" t="s">
        <v>6456</v>
      </c>
      <c r="B2855" s="155"/>
      <c r="C2855" s="154" t="s">
        <v>6458</v>
      </c>
      <c r="D2855" s="155"/>
      <c r="E2855" s="155"/>
      <c r="F2855" s="154" t="s">
        <v>1619</v>
      </c>
      <c r="G2855" s="154">
        <v>4.3903333E7</v>
      </c>
      <c r="H2855" s="154" t="s">
        <v>1620</v>
      </c>
      <c r="I2855" s="156">
        <v>0.0</v>
      </c>
      <c r="J2855" s="156">
        <v>0.0</v>
      </c>
      <c r="K2855" s="156">
        <v>0.0</v>
      </c>
    </row>
    <row r="2856">
      <c r="A2856" s="154" t="s">
        <v>6459</v>
      </c>
      <c r="B2856" s="155"/>
      <c r="C2856" s="154" t="s">
        <v>6460</v>
      </c>
      <c r="D2856" s="155"/>
      <c r="E2856" s="155"/>
      <c r="F2856" s="154" t="s">
        <v>1619</v>
      </c>
      <c r="G2856" s="154">
        <v>4.3903333E7</v>
      </c>
      <c r="H2856" s="154" t="s">
        <v>1620</v>
      </c>
      <c r="I2856" s="156">
        <v>0.0</v>
      </c>
      <c r="J2856" s="156">
        <v>0.0</v>
      </c>
      <c r="K2856" s="156">
        <v>0.0</v>
      </c>
    </row>
    <row r="2857">
      <c r="A2857" s="154" t="s">
        <v>6459</v>
      </c>
      <c r="B2857" s="154" t="s">
        <v>6461</v>
      </c>
      <c r="D2857" s="154">
        <v>2.0</v>
      </c>
      <c r="E2857" s="154" t="s">
        <v>897</v>
      </c>
      <c r="F2857" s="154" t="s">
        <v>1619</v>
      </c>
      <c r="G2857" s="154">
        <v>4.3903333E7</v>
      </c>
      <c r="H2857" s="154" t="s">
        <v>1620</v>
      </c>
      <c r="I2857" s="156">
        <v>0.0</v>
      </c>
      <c r="J2857" s="156">
        <v>0.0</v>
      </c>
      <c r="K2857" s="156">
        <v>0.0</v>
      </c>
    </row>
    <row r="2858">
      <c r="A2858" s="154" t="s">
        <v>6462</v>
      </c>
      <c r="B2858" s="154" t="s">
        <v>6463</v>
      </c>
      <c r="D2858" s="154">
        <v>2.0</v>
      </c>
      <c r="E2858" s="154" t="s">
        <v>897</v>
      </c>
      <c r="F2858" s="154" t="s">
        <v>6464</v>
      </c>
      <c r="G2858" s="156">
        <v>0.0</v>
      </c>
      <c r="H2858" s="156">
        <v>0.0</v>
      </c>
      <c r="I2858" s="154" t="s">
        <v>6465</v>
      </c>
      <c r="J2858" s="156">
        <v>0.0</v>
      </c>
      <c r="K2858" s="154" t="s">
        <v>259</v>
      </c>
    </row>
    <row r="2859">
      <c r="A2859" s="154" t="s">
        <v>6462</v>
      </c>
      <c r="B2859" s="155"/>
      <c r="C2859" s="154" t="s">
        <v>6466</v>
      </c>
      <c r="D2859" s="155"/>
      <c r="E2859" s="155"/>
      <c r="F2859" s="154" t="s">
        <v>6467</v>
      </c>
      <c r="G2859" s="156">
        <v>0.0</v>
      </c>
      <c r="H2859" s="156">
        <v>0.0</v>
      </c>
      <c r="I2859" s="154" t="s">
        <v>6468</v>
      </c>
      <c r="J2859" s="156">
        <v>0.0</v>
      </c>
      <c r="K2859" s="154" t="s">
        <v>259</v>
      </c>
    </row>
    <row r="2860">
      <c r="A2860" s="154" t="s">
        <v>6469</v>
      </c>
      <c r="B2860" s="154" t="s">
        <v>6470</v>
      </c>
      <c r="D2860" s="154">
        <v>2.0</v>
      </c>
      <c r="E2860" s="154" t="s">
        <v>897</v>
      </c>
      <c r="F2860" s="154" t="s">
        <v>6471</v>
      </c>
      <c r="G2860" s="154" t="s">
        <v>6472</v>
      </c>
      <c r="H2860" s="154" t="s">
        <v>6473</v>
      </c>
      <c r="I2860" s="154" t="s">
        <v>6474</v>
      </c>
      <c r="J2860" s="156">
        <v>0.0</v>
      </c>
      <c r="K2860" s="154" t="s">
        <v>197</v>
      </c>
    </row>
    <row r="2861">
      <c r="A2861" s="154" t="s">
        <v>6469</v>
      </c>
      <c r="B2861" s="155"/>
      <c r="C2861" s="154" t="s">
        <v>6475</v>
      </c>
      <c r="D2861" s="155"/>
      <c r="E2861" s="155"/>
      <c r="F2861" s="154" t="s">
        <v>6471</v>
      </c>
      <c r="G2861" s="154" t="s">
        <v>6472</v>
      </c>
      <c r="H2861" s="154" t="s">
        <v>6473</v>
      </c>
      <c r="I2861" s="154" t="s">
        <v>6474</v>
      </c>
      <c r="J2861" s="156">
        <v>0.0</v>
      </c>
      <c r="K2861" s="154" t="s">
        <v>197</v>
      </c>
    </row>
    <row r="2862">
      <c r="A2862" s="154" t="s">
        <v>6476</v>
      </c>
      <c r="B2862" s="154" t="s">
        <v>6477</v>
      </c>
      <c r="D2862" s="154">
        <v>2.0</v>
      </c>
      <c r="E2862" s="154" t="s">
        <v>897</v>
      </c>
      <c r="F2862" s="154" t="s">
        <v>6478</v>
      </c>
      <c r="G2862" s="154" t="s">
        <v>6479</v>
      </c>
      <c r="H2862" s="156">
        <v>0.0</v>
      </c>
      <c r="I2862" s="154">
        <v>9.71506502913E11</v>
      </c>
      <c r="J2862" s="156">
        <v>0.0</v>
      </c>
      <c r="K2862" s="154" t="s">
        <v>361</v>
      </c>
    </row>
    <row r="2863">
      <c r="A2863" s="154" t="s">
        <v>6476</v>
      </c>
      <c r="B2863" s="155"/>
      <c r="C2863" s="154" t="s">
        <v>6477</v>
      </c>
      <c r="D2863" s="155"/>
      <c r="E2863" s="155"/>
      <c r="F2863" s="154" t="s">
        <v>6478</v>
      </c>
      <c r="G2863" s="154" t="s">
        <v>6479</v>
      </c>
      <c r="H2863" s="156">
        <v>0.0</v>
      </c>
      <c r="I2863" s="154">
        <v>9.71506502913E11</v>
      </c>
      <c r="J2863" s="156">
        <v>0.0</v>
      </c>
      <c r="K2863" s="154" t="s">
        <v>361</v>
      </c>
    </row>
    <row r="2864">
      <c r="A2864" s="154" t="s">
        <v>6480</v>
      </c>
      <c r="B2864" s="154" t="s">
        <v>6481</v>
      </c>
      <c r="D2864" s="154">
        <v>2.0</v>
      </c>
      <c r="E2864" s="154" t="s">
        <v>897</v>
      </c>
      <c r="F2864" s="154" t="s">
        <v>1619</v>
      </c>
      <c r="G2864" s="154">
        <v>4.3903333E7</v>
      </c>
      <c r="H2864" s="154" t="s">
        <v>1620</v>
      </c>
      <c r="I2864" s="156">
        <v>0.0</v>
      </c>
      <c r="J2864" s="156">
        <v>0.0</v>
      </c>
      <c r="K2864" s="156">
        <v>0.0</v>
      </c>
    </row>
    <row r="2865">
      <c r="A2865" s="154" t="s">
        <v>6480</v>
      </c>
      <c r="B2865" s="155"/>
      <c r="C2865" s="154" t="s">
        <v>6482</v>
      </c>
      <c r="D2865" s="155"/>
      <c r="E2865" s="155"/>
      <c r="F2865" s="154" t="s">
        <v>6483</v>
      </c>
      <c r="G2865" s="156">
        <v>0.0</v>
      </c>
      <c r="H2865" s="154" t="s">
        <v>1838</v>
      </c>
      <c r="I2865" s="154" t="s">
        <v>6484</v>
      </c>
      <c r="J2865" s="154" t="s">
        <v>6485</v>
      </c>
      <c r="K2865" s="154" t="s">
        <v>361</v>
      </c>
    </row>
    <row r="2866">
      <c r="A2866" s="154" t="s">
        <v>6486</v>
      </c>
      <c r="B2866" s="154" t="s">
        <v>6487</v>
      </c>
      <c r="D2866" s="154">
        <v>2.0</v>
      </c>
      <c r="E2866" s="154" t="s">
        <v>897</v>
      </c>
      <c r="F2866" s="154" t="s">
        <v>6488</v>
      </c>
      <c r="G2866" s="154">
        <v>5.0617764E8</v>
      </c>
      <c r="H2866" s="156">
        <v>0.0</v>
      </c>
      <c r="I2866" s="154" t="s">
        <v>6489</v>
      </c>
      <c r="J2866" s="156">
        <v>0.0</v>
      </c>
      <c r="K2866" s="154" t="s">
        <v>223</v>
      </c>
    </row>
    <row r="2867">
      <c r="A2867" s="154" t="s">
        <v>6486</v>
      </c>
      <c r="B2867" s="155"/>
      <c r="C2867" s="154" t="s">
        <v>6490</v>
      </c>
      <c r="D2867" s="155"/>
      <c r="E2867" s="155"/>
      <c r="F2867" s="154" t="s">
        <v>6488</v>
      </c>
      <c r="G2867" s="154">
        <v>5.0617764E8</v>
      </c>
      <c r="H2867" s="156">
        <v>0.0</v>
      </c>
      <c r="I2867" s="154" t="s">
        <v>6489</v>
      </c>
      <c r="J2867" s="156">
        <v>0.0</v>
      </c>
      <c r="K2867" s="154" t="s">
        <v>223</v>
      </c>
    </row>
    <row r="2868">
      <c r="A2868" s="154" t="s">
        <v>6491</v>
      </c>
      <c r="B2868" s="154" t="s">
        <v>6492</v>
      </c>
      <c r="D2868" s="154">
        <v>2.0</v>
      </c>
      <c r="E2868" s="154" t="s">
        <v>897</v>
      </c>
      <c r="F2868" s="154" t="s">
        <v>1619</v>
      </c>
      <c r="G2868" s="154">
        <v>4.3903333E7</v>
      </c>
      <c r="H2868" s="154" t="s">
        <v>1620</v>
      </c>
      <c r="I2868" s="156">
        <v>0.0</v>
      </c>
      <c r="J2868" s="156">
        <v>0.0</v>
      </c>
      <c r="K2868" s="156">
        <v>0.0</v>
      </c>
    </row>
    <row r="2869">
      <c r="A2869" s="154" t="s">
        <v>6491</v>
      </c>
      <c r="B2869" s="155"/>
      <c r="C2869" s="154" t="s">
        <v>6493</v>
      </c>
      <c r="D2869" s="155"/>
      <c r="E2869" s="155"/>
      <c r="F2869" s="154" t="s">
        <v>6494</v>
      </c>
      <c r="G2869" s="154">
        <v>4.0</v>
      </c>
      <c r="H2869" s="156">
        <v>0.0</v>
      </c>
      <c r="I2869" s="154">
        <v>5.02553494E8</v>
      </c>
      <c r="J2869" s="156">
        <v>0.0</v>
      </c>
      <c r="K2869" s="154" t="s">
        <v>223</v>
      </c>
    </row>
    <row r="2870">
      <c r="A2870" s="154" t="s">
        <v>6495</v>
      </c>
      <c r="B2870" s="154" t="s">
        <v>6496</v>
      </c>
      <c r="D2870" s="154">
        <v>2.0</v>
      </c>
      <c r="E2870" s="154" t="s">
        <v>897</v>
      </c>
      <c r="F2870" s="154" t="s">
        <v>6497</v>
      </c>
      <c r="G2870" s="156">
        <v>0.0</v>
      </c>
      <c r="H2870" s="156">
        <v>0.0</v>
      </c>
      <c r="I2870" s="154" t="s">
        <v>6498</v>
      </c>
      <c r="J2870" s="156">
        <v>0.0</v>
      </c>
      <c r="K2870" s="154" t="s">
        <v>939</v>
      </c>
    </row>
    <row r="2871">
      <c r="A2871" s="154" t="s">
        <v>6495</v>
      </c>
      <c r="B2871" s="155"/>
      <c r="C2871" s="154" t="s">
        <v>6499</v>
      </c>
      <c r="D2871" s="155"/>
      <c r="E2871" s="155"/>
      <c r="F2871" s="154" t="s">
        <v>6497</v>
      </c>
      <c r="G2871" s="156">
        <v>0.0</v>
      </c>
      <c r="H2871" s="156">
        <v>0.0</v>
      </c>
      <c r="I2871" s="154" t="s">
        <v>6498</v>
      </c>
      <c r="J2871" s="156">
        <v>0.0</v>
      </c>
      <c r="K2871" s="154" t="s">
        <v>939</v>
      </c>
    </row>
    <row r="2872">
      <c r="A2872" s="154" t="s">
        <v>6500</v>
      </c>
      <c r="B2872" s="154" t="s">
        <v>6501</v>
      </c>
      <c r="D2872" s="154">
        <v>2.0</v>
      </c>
      <c r="E2872" s="154" t="s">
        <v>897</v>
      </c>
      <c r="F2872" s="154" t="s">
        <v>6502</v>
      </c>
      <c r="G2872" s="156">
        <v>0.0</v>
      </c>
      <c r="H2872" s="156">
        <v>0.0</v>
      </c>
      <c r="I2872" s="154" t="s">
        <v>6503</v>
      </c>
      <c r="J2872" s="154" t="s">
        <v>6504</v>
      </c>
      <c r="K2872" s="154" t="s">
        <v>361</v>
      </c>
    </row>
    <row r="2873">
      <c r="A2873" s="154" t="s">
        <v>6500</v>
      </c>
      <c r="B2873" s="155"/>
      <c r="C2873" s="154" t="s">
        <v>6505</v>
      </c>
      <c r="D2873" s="155"/>
      <c r="E2873" s="155"/>
      <c r="F2873" s="154" t="s">
        <v>6502</v>
      </c>
      <c r="G2873" s="156">
        <v>0.0</v>
      </c>
      <c r="H2873" s="156">
        <v>0.0</v>
      </c>
      <c r="I2873" s="154" t="s">
        <v>6503</v>
      </c>
      <c r="J2873" s="154" t="s">
        <v>6504</v>
      </c>
      <c r="K2873" s="154" t="s">
        <v>361</v>
      </c>
    </row>
    <row r="2874">
      <c r="A2874" s="154" t="s">
        <v>6506</v>
      </c>
      <c r="B2874" s="154" t="s">
        <v>6507</v>
      </c>
      <c r="D2874" s="154">
        <v>2.0</v>
      </c>
      <c r="E2874" s="154" t="s">
        <v>897</v>
      </c>
      <c r="F2874" s="154" t="s">
        <v>6508</v>
      </c>
      <c r="G2874" s="156">
        <v>0.0</v>
      </c>
      <c r="H2874" s="154" t="s">
        <v>6509</v>
      </c>
      <c r="I2874" s="154" t="s">
        <v>6510</v>
      </c>
      <c r="J2874" s="154" t="s">
        <v>6511</v>
      </c>
      <c r="K2874" s="154" t="s">
        <v>760</v>
      </c>
    </row>
    <row r="2875">
      <c r="A2875" s="154" t="s">
        <v>6506</v>
      </c>
      <c r="B2875" s="155"/>
      <c r="C2875" s="154" t="s">
        <v>6512</v>
      </c>
      <c r="D2875" s="155"/>
      <c r="E2875" s="155"/>
      <c r="F2875" s="154" t="s">
        <v>6508</v>
      </c>
      <c r="G2875" s="156">
        <v>0.0</v>
      </c>
      <c r="H2875" s="154" t="s">
        <v>6509</v>
      </c>
      <c r="I2875" s="154" t="s">
        <v>6510</v>
      </c>
      <c r="J2875" s="154" t="s">
        <v>6511</v>
      </c>
      <c r="K2875" s="154" t="s">
        <v>760</v>
      </c>
    </row>
    <row r="2876">
      <c r="A2876" s="154" t="s">
        <v>6513</v>
      </c>
      <c r="B2876" s="154" t="s">
        <v>6514</v>
      </c>
      <c r="D2876" s="154">
        <v>2.0</v>
      </c>
      <c r="E2876" s="154" t="s">
        <v>897</v>
      </c>
      <c r="F2876" s="154" t="s">
        <v>792</v>
      </c>
      <c r="G2876" s="154" t="s">
        <v>793</v>
      </c>
      <c r="H2876" s="154" t="s">
        <v>794</v>
      </c>
      <c r="I2876" s="156">
        <v>0.0</v>
      </c>
      <c r="J2876" s="156">
        <v>0.0</v>
      </c>
      <c r="K2876" s="156">
        <v>0.0</v>
      </c>
    </row>
    <row r="2877">
      <c r="A2877" s="154" t="s">
        <v>6513</v>
      </c>
      <c r="B2877" s="155"/>
      <c r="C2877" s="154" t="s">
        <v>6515</v>
      </c>
      <c r="D2877" s="155"/>
      <c r="E2877" s="155"/>
      <c r="F2877" s="154" t="s">
        <v>1619</v>
      </c>
      <c r="G2877" s="154">
        <v>4.3903333E7</v>
      </c>
      <c r="H2877" s="154" t="s">
        <v>1620</v>
      </c>
      <c r="I2877" s="156">
        <v>0.0</v>
      </c>
      <c r="J2877" s="156">
        <v>0.0</v>
      </c>
      <c r="K2877" s="156">
        <v>0.0</v>
      </c>
    </row>
    <row r="2878">
      <c r="A2878" s="154" t="s">
        <v>6516</v>
      </c>
      <c r="B2878" s="154" t="s">
        <v>6517</v>
      </c>
      <c r="D2878" s="154">
        <v>2.0</v>
      </c>
      <c r="E2878" s="154" t="s">
        <v>897</v>
      </c>
      <c r="F2878" s="154" t="s">
        <v>6518</v>
      </c>
      <c r="G2878" s="154">
        <v>4.3905898E7</v>
      </c>
      <c r="H2878" s="156">
        <v>0.0</v>
      </c>
      <c r="I2878" s="154">
        <v>9.71503530054E11</v>
      </c>
      <c r="J2878" s="156">
        <v>0.0</v>
      </c>
      <c r="K2878" s="154" t="s">
        <v>776</v>
      </c>
    </row>
    <row r="2879">
      <c r="A2879" s="154" t="s">
        <v>6516</v>
      </c>
      <c r="B2879" s="155"/>
      <c r="C2879" s="154" t="s">
        <v>6519</v>
      </c>
      <c r="D2879" s="155"/>
      <c r="E2879" s="155"/>
      <c r="F2879" s="154" t="s">
        <v>1619</v>
      </c>
      <c r="G2879" s="154">
        <v>4.3903333E7</v>
      </c>
      <c r="H2879" s="154" t="s">
        <v>1620</v>
      </c>
      <c r="I2879" s="156">
        <v>0.0</v>
      </c>
      <c r="J2879" s="156">
        <v>0.0</v>
      </c>
      <c r="K2879" s="156">
        <v>0.0</v>
      </c>
    </row>
    <row r="2880">
      <c r="A2880" s="154" t="s">
        <v>6520</v>
      </c>
      <c r="B2880" s="155"/>
      <c r="C2880" s="154" t="s">
        <v>6521</v>
      </c>
      <c r="D2880" s="155"/>
      <c r="E2880" s="155"/>
      <c r="F2880" s="154" t="s">
        <v>6522</v>
      </c>
      <c r="G2880" s="156">
        <v>0.0</v>
      </c>
      <c r="H2880" s="156">
        <v>0.0</v>
      </c>
      <c r="I2880" s="154" t="s">
        <v>6523</v>
      </c>
      <c r="J2880" s="154" t="s">
        <v>6524</v>
      </c>
      <c r="K2880" s="154" t="s">
        <v>361</v>
      </c>
    </row>
    <row r="2881">
      <c r="A2881" s="154" t="s">
        <v>6520</v>
      </c>
      <c r="B2881" s="154" t="s">
        <v>6525</v>
      </c>
      <c r="D2881" s="154">
        <v>2.0</v>
      </c>
      <c r="E2881" s="154" t="s">
        <v>897</v>
      </c>
      <c r="F2881" s="154" t="s">
        <v>6522</v>
      </c>
      <c r="G2881" s="156">
        <v>0.0</v>
      </c>
      <c r="H2881" s="156">
        <v>0.0</v>
      </c>
      <c r="I2881" s="154" t="s">
        <v>6523</v>
      </c>
      <c r="J2881" s="154" t="s">
        <v>6524</v>
      </c>
      <c r="K2881" s="154" t="s">
        <v>361</v>
      </c>
    </row>
    <row r="2882">
      <c r="A2882" s="154" t="s">
        <v>6526</v>
      </c>
      <c r="B2882" s="154" t="s">
        <v>6527</v>
      </c>
      <c r="D2882" s="154">
        <v>2.0</v>
      </c>
      <c r="E2882" s="154" t="s">
        <v>897</v>
      </c>
      <c r="F2882" s="154" t="s">
        <v>6528</v>
      </c>
      <c r="G2882" s="156">
        <v>0.0</v>
      </c>
      <c r="H2882" s="156">
        <v>0.0</v>
      </c>
      <c r="I2882" s="154" t="s">
        <v>2863</v>
      </c>
      <c r="J2882" s="156">
        <v>0.0</v>
      </c>
      <c r="K2882" s="154" t="s">
        <v>846</v>
      </c>
    </row>
    <row r="2883">
      <c r="A2883" s="154" t="s">
        <v>6526</v>
      </c>
      <c r="B2883" s="155"/>
      <c r="C2883" s="154" t="s">
        <v>6529</v>
      </c>
      <c r="D2883" s="155"/>
      <c r="E2883" s="155"/>
      <c r="F2883" s="154" t="s">
        <v>2861</v>
      </c>
      <c r="G2883" s="156">
        <v>0.0</v>
      </c>
      <c r="H2883" s="154" t="s">
        <v>2862</v>
      </c>
      <c r="I2883" s="154" t="s">
        <v>2863</v>
      </c>
      <c r="J2883" s="156">
        <v>0.0</v>
      </c>
      <c r="K2883" s="154" t="s">
        <v>846</v>
      </c>
    </row>
    <row r="2884">
      <c r="A2884" s="154" t="s">
        <v>6530</v>
      </c>
      <c r="B2884" s="154" t="s">
        <v>6531</v>
      </c>
      <c r="D2884" s="154">
        <v>2.0</v>
      </c>
      <c r="E2884" s="154" t="s">
        <v>897</v>
      </c>
      <c r="F2884" s="154" t="s">
        <v>2798</v>
      </c>
      <c r="G2884" s="154">
        <v>5.09101155E8</v>
      </c>
      <c r="H2884" s="156">
        <v>0.0</v>
      </c>
      <c r="I2884" s="154">
        <v>0.0</v>
      </c>
      <c r="J2884" s="156">
        <v>0.0</v>
      </c>
      <c r="K2884" s="154" t="s">
        <v>776</v>
      </c>
    </row>
    <row r="2885">
      <c r="A2885" s="154" t="s">
        <v>6530</v>
      </c>
      <c r="B2885" s="155"/>
      <c r="C2885" s="154" t="s">
        <v>6532</v>
      </c>
      <c r="D2885" s="155"/>
      <c r="E2885" s="155"/>
      <c r="F2885" s="154" t="s">
        <v>2798</v>
      </c>
      <c r="G2885" s="154">
        <v>5.09101155E8</v>
      </c>
      <c r="H2885" s="156">
        <v>0.0</v>
      </c>
      <c r="I2885" s="154">
        <v>0.0</v>
      </c>
      <c r="J2885" s="156">
        <v>0.0</v>
      </c>
      <c r="K2885" s="154" t="s">
        <v>776</v>
      </c>
    </row>
    <row r="2886">
      <c r="A2886" s="154" t="s">
        <v>6533</v>
      </c>
      <c r="B2886" s="155"/>
      <c r="C2886" s="154" t="s">
        <v>6534</v>
      </c>
      <c r="D2886" s="155"/>
      <c r="E2886" s="155"/>
      <c r="F2886" s="154" t="s">
        <v>1619</v>
      </c>
      <c r="G2886" s="154">
        <v>4.3903333E7</v>
      </c>
      <c r="H2886" s="154" t="s">
        <v>1620</v>
      </c>
      <c r="I2886" s="156">
        <v>0.0</v>
      </c>
      <c r="J2886" s="156">
        <v>0.0</v>
      </c>
      <c r="K2886" s="156">
        <v>0.0</v>
      </c>
    </row>
    <row r="2887">
      <c r="A2887" s="154" t="s">
        <v>6533</v>
      </c>
      <c r="B2887" s="154" t="s">
        <v>6535</v>
      </c>
      <c r="D2887" s="154">
        <v>2.0</v>
      </c>
      <c r="E2887" s="154" t="s">
        <v>897</v>
      </c>
      <c r="F2887" s="154" t="s">
        <v>1289</v>
      </c>
      <c r="G2887" s="156">
        <v>0.0</v>
      </c>
      <c r="H2887" s="154" t="s">
        <v>1290</v>
      </c>
      <c r="I2887" s="154" t="s">
        <v>1291</v>
      </c>
      <c r="J2887" s="156">
        <v>0.0</v>
      </c>
      <c r="K2887" s="154" t="s">
        <v>207</v>
      </c>
    </row>
    <row r="2888">
      <c r="A2888" s="154" t="s">
        <v>6536</v>
      </c>
      <c r="B2888" s="155"/>
      <c r="C2888" s="154" t="s">
        <v>6537</v>
      </c>
      <c r="D2888" s="155"/>
      <c r="E2888" s="155"/>
      <c r="F2888" s="154" t="s">
        <v>6538</v>
      </c>
      <c r="G2888" s="154" t="s">
        <v>6539</v>
      </c>
      <c r="H2888" s="156">
        <v>0.0</v>
      </c>
      <c r="I2888" s="154" t="s">
        <v>6540</v>
      </c>
      <c r="J2888" s="154" t="s">
        <v>6539</v>
      </c>
      <c r="K2888" s="154" t="s">
        <v>197</v>
      </c>
    </row>
    <row r="2889">
      <c r="A2889" s="154" t="s">
        <v>6536</v>
      </c>
      <c r="B2889" s="154" t="s">
        <v>6541</v>
      </c>
      <c r="D2889" s="154">
        <v>2.0</v>
      </c>
      <c r="E2889" s="154" t="s">
        <v>897</v>
      </c>
      <c r="F2889" s="154" t="s">
        <v>6538</v>
      </c>
      <c r="G2889" s="154" t="s">
        <v>6539</v>
      </c>
      <c r="H2889" s="156">
        <v>0.0</v>
      </c>
      <c r="I2889" s="154" t="s">
        <v>6540</v>
      </c>
      <c r="J2889" s="154" t="s">
        <v>6539</v>
      </c>
      <c r="K2889" s="154" t="s">
        <v>197</v>
      </c>
    </row>
    <row r="2890">
      <c r="A2890" s="154" t="s">
        <v>6542</v>
      </c>
      <c r="B2890" s="155"/>
      <c r="C2890" s="154" t="s">
        <v>6543</v>
      </c>
      <c r="D2890" s="155"/>
      <c r="E2890" s="155"/>
      <c r="F2890" s="154" t="s">
        <v>6544</v>
      </c>
      <c r="G2890" s="156">
        <v>0.0</v>
      </c>
      <c r="H2890" s="156">
        <v>0.0</v>
      </c>
      <c r="I2890" s="154" t="s">
        <v>6545</v>
      </c>
      <c r="J2890" s="154" t="s">
        <v>6546</v>
      </c>
      <c r="K2890" s="154" t="s">
        <v>206</v>
      </c>
    </row>
    <row r="2891">
      <c r="A2891" s="154" t="s">
        <v>6542</v>
      </c>
      <c r="B2891" s="154" t="s">
        <v>6547</v>
      </c>
      <c r="D2891" s="154">
        <v>2.0</v>
      </c>
      <c r="E2891" s="154" t="s">
        <v>897</v>
      </c>
      <c r="F2891" s="154" t="s">
        <v>6544</v>
      </c>
      <c r="G2891" s="156">
        <v>0.0</v>
      </c>
      <c r="H2891" s="156">
        <v>0.0</v>
      </c>
      <c r="I2891" s="154" t="s">
        <v>6545</v>
      </c>
      <c r="J2891" s="154" t="s">
        <v>6546</v>
      </c>
      <c r="K2891" s="154" t="s">
        <v>206</v>
      </c>
    </row>
    <row r="2892">
      <c r="A2892" s="154" t="s">
        <v>6548</v>
      </c>
      <c r="B2892" s="154" t="s">
        <v>6549</v>
      </c>
      <c r="D2892" s="154">
        <v>2.0</v>
      </c>
      <c r="E2892" s="154" t="s">
        <v>897</v>
      </c>
      <c r="F2892" s="154" t="s">
        <v>1619</v>
      </c>
      <c r="G2892" s="154">
        <v>4.3903333E7</v>
      </c>
      <c r="H2892" s="154" t="s">
        <v>1620</v>
      </c>
      <c r="I2892" s="156">
        <v>0.0</v>
      </c>
      <c r="J2892" s="156">
        <v>0.0</v>
      </c>
      <c r="K2892" s="156">
        <v>0.0</v>
      </c>
    </row>
    <row r="2893">
      <c r="A2893" s="154" t="s">
        <v>6548</v>
      </c>
      <c r="B2893" s="155"/>
      <c r="C2893" s="154" t="s">
        <v>6550</v>
      </c>
      <c r="D2893" s="155"/>
      <c r="E2893" s="155"/>
      <c r="F2893" s="154" t="s">
        <v>6551</v>
      </c>
      <c r="G2893" s="154">
        <v>4.3449214E7</v>
      </c>
      <c r="H2893" s="156">
        <v>0.0</v>
      </c>
      <c r="I2893" s="154" t="s">
        <v>6552</v>
      </c>
      <c r="J2893" s="156">
        <v>0.0</v>
      </c>
      <c r="K2893" s="154" t="s">
        <v>776</v>
      </c>
    </row>
    <row r="2894">
      <c r="A2894" s="154" t="s">
        <v>6553</v>
      </c>
      <c r="B2894" s="155"/>
      <c r="C2894" s="154" t="s">
        <v>6554</v>
      </c>
      <c r="D2894" s="155"/>
      <c r="E2894" s="155"/>
      <c r="F2894" s="154" t="s">
        <v>6555</v>
      </c>
      <c r="G2894" s="154">
        <v>4.2349243E7</v>
      </c>
      <c r="H2894" s="156">
        <v>0.0</v>
      </c>
      <c r="I2894" s="154">
        <v>5.52777867E8</v>
      </c>
      <c r="J2894" s="156">
        <v>0.0</v>
      </c>
      <c r="K2894" s="154" t="s">
        <v>760</v>
      </c>
    </row>
    <row r="2895">
      <c r="A2895" s="154" t="s">
        <v>6553</v>
      </c>
      <c r="B2895" s="154" t="s">
        <v>6556</v>
      </c>
      <c r="D2895" s="154">
        <v>2.0</v>
      </c>
      <c r="E2895" s="154" t="s">
        <v>897</v>
      </c>
      <c r="F2895" s="154" t="s">
        <v>6555</v>
      </c>
      <c r="G2895" s="154">
        <v>4.2349243E7</v>
      </c>
      <c r="H2895" s="156">
        <v>0.0</v>
      </c>
      <c r="I2895" s="154">
        <v>5.52777867E8</v>
      </c>
      <c r="J2895" s="156">
        <v>0.0</v>
      </c>
      <c r="K2895" s="154" t="s">
        <v>760</v>
      </c>
    </row>
    <row r="2896">
      <c r="A2896" s="154" t="s">
        <v>6557</v>
      </c>
      <c r="B2896" s="154" t="s">
        <v>6558</v>
      </c>
      <c r="D2896" s="154">
        <v>2.0</v>
      </c>
      <c r="E2896" s="154" t="s">
        <v>897</v>
      </c>
      <c r="F2896" s="154" t="s">
        <v>1619</v>
      </c>
      <c r="G2896" s="154">
        <v>4.3903333E7</v>
      </c>
      <c r="H2896" s="154" t="s">
        <v>1620</v>
      </c>
      <c r="I2896" s="156">
        <v>0.0</v>
      </c>
      <c r="J2896" s="156">
        <v>0.0</v>
      </c>
      <c r="K2896" s="156">
        <v>0.0</v>
      </c>
    </row>
    <row r="2897">
      <c r="A2897" s="154" t="s">
        <v>6557</v>
      </c>
      <c r="B2897" s="155"/>
      <c r="C2897" s="154" t="s">
        <v>6559</v>
      </c>
      <c r="D2897" s="155"/>
      <c r="E2897" s="155"/>
      <c r="F2897" s="154" t="s">
        <v>1619</v>
      </c>
      <c r="G2897" s="154">
        <v>4.3903333E7</v>
      </c>
      <c r="H2897" s="154" t="s">
        <v>1620</v>
      </c>
      <c r="I2897" s="156">
        <v>0.0</v>
      </c>
      <c r="J2897" s="156">
        <v>0.0</v>
      </c>
      <c r="K2897" s="156">
        <v>0.0</v>
      </c>
    </row>
    <row r="2898">
      <c r="A2898" s="154" t="s">
        <v>6560</v>
      </c>
      <c r="B2898" s="154" t="s">
        <v>6561</v>
      </c>
      <c r="D2898" s="154">
        <v>2.0</v>
      </c>
      <c r="E2898" s="154" t="s">
        <v>897</v>
      </c>
      <c r="F2898" s="154" t="s">
        <v>6562</v>
      </c>
      <c r="G2898" s="154" t="s">
        <v>6563</v>
      </c>
      <c r="H2898" s="154" t="s">
        <v>6564</v>
      </c>
      <c r="I2898" s="154" t="s">
        <v>6565</v>
      </c>
      <c r="J2898" s="154" t="s">
        <v>6566</v>
      </c>
      <c r="K2898" s="154" t="s">
        <v>3019</v>
      </c>
    </row>
    <row r="2899">
      <c r="A2899" s="154" t="s">
        <v>6560</v>
      </c>
      <c r="B2899" s="155"/>
      <c r="C2899" s="154" t="s">
        <v>6567</v>
      </c>
      <c r="D2899" s="155"/>
      <c r="E2899" s="155"/>
      <c r="F2899" s="154" t="s">
        <v>1619</v>
      </c>
      <c r="G2899" s="154">
        <v>4.3903333E7</v>
      </c>
      <c r="H2899" s="154" t="s">
        <v>1620</v>
      </c>
      <c r="I2899" s="156">
        <v>0.0</v>
      </c>
      <c r="J2899" s="156">
        <v>0.0</v>
      </c>
      <c r="K2899" s="156">
        <v>0.0</v>
      </c>
    </row>
    <row r="2900">
      <c r="A2900" s="154" t="s">
        <v>6568</v>
      </c>
      <c r="B2900" s="155"/>
      <c r="C2900" s="154" t="s">
        <v>6569</v>
      </c>
      <c r="D2900" s="155"/>
      <c r="E2900" s="155"/>
      <c r="F2900" s="154" t="s">
        <v>6570</v>
      </c>
      <c r="G2900" s="154">
        <v>5.06263205E8</v>
      </c>
      <c r="H2900" s="156">
        <v>0.0</v>
      </c>
      <c r="I2900" s="156">
        <v>0.0</v>
      </c>
      <c r="J2900" s="156">
        <v>0.0</v>
      </c>
      <c r="K2900" s="154" t="s">
        <v>247</v>
      </c>
    </row>
    <row r="2901">
      <c r="A2901" s="154" t="s">
        <v>6568</v>
      </c>
      <c r="B2901" s="154" t="s">
        <v>6571</v>
      </c>
      <c r="D2901" s="154">
        <v>2.0</v>
      </c>
      <c r="E2901" s="154" t="s">
        <v>897</v>
      </c>
      <c r="F2901" s="154" t="s">
        <v>6570</v>
      </c>
      <c r="G2901" s="154">
        <v>5.06263205E8</v>
      </c>
      <c r="H2901" s="156">
        <v>0.0</v>
      </c>
      <c r="I2901" s="156">
        <v>0.0</v>
      </c>
      <c r="J2901" s="156">
        <v>0.0</v>
      </c>
      <c r="K2901" s="154" t="s">
        <v>247</v>
      </c>
    </row>
    <row r="2902">
      <c r="A2902" s="154" t="s">
        <v>6572</v>
      </c>
      <c r="B2902" s="154" t="s">
        <v>6573</v>
      </c>
      <c r="D2902" s="154">
        <v>2.0</v>
      </c>
      <c r="E2902" s="154" t="s">
        <v>897</v>
      </c>
      <c r="F2902" s="154" t="s">
        <v>792</v>
      </c>
      <c r="G2902" s="154" t="s">
        <v>793</v>
      </c>
      <c r="H2902" s="154" t="s">
        <v>794</v>
      </c>
      <c r="I2902" s="156">
        <v>0.0</v>
      </c>
      <c r="J2902" s="156">
        <v>0.0</v>
      </c>
      <c r="K2902" s="156">
        <v>0.0</v>
      </c>
    </row>
    <row r="2903">
      <c r="A2903" s="154" t="s">
        <v>6572</v>
      </c>
      <c r="B2903" s="155"/>
      <c r="C2903" s="154" t="s">
        <v>6574</v>
      </c>
      <c r="D2903" s="155"/>
      <c r="E2903" s="155"/>
      <c r="F2903" s="154" t="s">
        <v>6575</v>
      </c>
      <c r="G2903" s="154" t="s">
        <v>6576</v>
      </c>
      <c r="H2903" s="154" t="s">
        <v>6577</v>
      </c>
      <c r="I2903" s="154" t="s">
        <v>6578</v>
      </c>
      <c r="J2903" s="156">
        <v>0.0</v>
      </c>
      <c r="K2903" s="154" t="s">
        <v>1151</v>
      </c>
    </row>
    <row r="2904">
      <c r="A2904" s="154" t="s">
        <v>6579</v>
      </c>
      <c r="B2904" s="154" t="s">
        <v>6580</v>
      </c>
      <c r="D2904" s="154">
        <v>2.0</v>
      </c>
      <c r="E2904" s="154" t="s">
        <v>897</v>
      </c>
      <c r="F2904" s="154" t="s">
        <v>6581</v>
      </c>
      <c r="G2904" s="156">
        <v>0.0</v>
      </c>
      <c r="H2904" s="154" t="s">
        <v>3858</v>
      </c>
      <c r="I2904" s="154" t="s">
        <v>6582</v>
      </c>
      <c r="J2904" s="154" t="s">
        <v>6583</v>
      </c>
      <c r="K2904" s="154" t="s">
        <v>760</v>
      </c>
    </row>
    <row r="2905">
      <c r="A2905" s="154" t="s">
        <v>6579</v>
      </c>
      <c r="B2905" s="155"/>
      <c r="C2905" s="154" t="s">
        <v>6584</v>
      </c>
      <c r="D2905" s="155"/>
      <c r="E2905" s="155"/>
      <c r="F2905" s="154" t="s">
        <v>6585</v>
      </c>
      <c r="G2905" s="156">
        <v>0.0</v>
      </c>
      <c r="H2905" s="156">
        <v>0.0</v>
      </c>
      <c r="I2905" s="154" t="s">
        <v>6586</v>
      </c>
      <c r="J2905" s="156">
        <v>0.0</v>
      </c>
      <c r="K2905" s="154" t="s">
        <v>259</v>
      </c>
    </row>
    <row r="2906">
      <c r="A2906" s="154" t="s">
        <v>6587</v>
      </c>
      <c r="B2906" s="155"/>
      <c r="C2906" s="154" t="s">
        <v>6588</v>
      </c>
      <c r="D2906" s="155"/>
      <c r="E2906" s="155"/>
      <c r="F2906" s="154" t="s">
        <v>6589</v>
      </c>
      <c r="G2906" s="156">
        <v>0.0</v>
      </c>
      <c r="H2906" s="156">
        <v>0.0</v>
      </c>
      <c r="I2906" s="154" t="s">
        <v>6590</v>
      </c>
      <c r="J2906" s="154" t="s">
        <v>6591</v>
      </c>
      <c r="K2906" s="154" t="s">
        <v>191</v>
      </c>
    </row>
    <row r="2907">
      <c r="A2907" s="154" t="s">
        <v>6587</v>
      </c>
      <c r="B2907" s="154" t="s">
        <v>6592</v>
      </c>
      <c r="D2907" s="154">
        <v>2.0</v>
      </c>
      <c r="E2907" s="154" t="s">
        <v>897</v>
      </c>
      <c r="F2907" s="154" t="s">
        <v>6589</v>
      </c>
      <c r="G2907" s="156">
        <v>0.0</v>
      </c>
      <c r="H2907" s="156">
        <v>0.0</v>
      </c>
      <c r="I2907" s="154" t="s">
        <v>6590</v>
      </c>
      <c r="J2907" s="154" t="s">
        <v>6591</v>
      </c>
      <c r="K2907" s="154" t="s">
        <v>191</v>
      </c>
    </row>
    <row r="2908">
      <c r="A2908" s="154" t="s">
        <v>6593</v>
      </c>
      <c r="B2908" s="155"/>
      <c r="C2908" s="154" t="s">
        <v>6594</v>
      </c>
      <c r="D2908" s="155"/>
      <c r="E2908" s="155"/>
      <c r="F2908" s="154" t="s">
        <v>6595</v>
      </c>
      <c r="G2908" s="156">
        <v>0.0</v>
      </c>
      <c r="H2908" s="156">
        <v>0.0</v>
      </c>
      <c r="I2908" s="154" t="s">
        <v>6596</v>
      </c>
      <c r="J2908" s="154" t="s">
        <v>6597</v>
      </c>
      <c r="K2908" s="154" t="s">
        <v>197</v>
      </c>
    </row>
    <row r="2909">
      <c r="A2909" s="154" t="s">
        <v>6593</v>
      </c>
      <c r="B2909" s="154" t="s">
        <v>6598</v>
      </c>
      <c r="D2909" s="154">
        <v>2.0</v>
      </c>
      <c r="E2909" s="154" t="s">
        <v>897</v>
      </c>
      <c r="F2909" s="154" t="s">
        <v>6595</v>
      </c>
      <c r="G2909" s="156">
        <v>0.0</v>
      </c>
      <c r="H2909" s="156">
        <v>0.0</v>
      </c>
      <c r="I2909" s="154" t="s">
        <v>6596</v>
      </c>
      <c r="J2909" s="154" t="s">
        <v>6597</v>
      </c>
      <c r="K2909" s="154" t="s">
        <v>197</v>
      </c>
    </row>
    <row r="2910">
      <c r="A2910" s="154" t="s">
        <v>6599</v>
      </c>
      <c r="B2910" s="155"/>
      <c r="C2910" s="154" t="s">
        <v>6600</v>
      </c>
      <c r="D2910" s="155"/>
      <c r="E2910" s="155"/>
      <c r="F2910" s="154" t="s">
        <v>6601</v>
      </c>
      <c r="G2910" s="154">
        <v>4.3911111E7</v>
      </c>
      <c r="H2910" s="156">
        <v>0.0</v>
      </c>
      <c r="I2910" s="154" t="s">
        <v>6602</v>
      </c>
      <c r="J2910" s="154" t="s">
        <v>6603</v>
      </c>
      <c r="K2910" s="154" t="s">
        <v>1408</v>
      </c>
    </row>
    <row r="2911">
      <c r="A2911" s="154" t="s">
        <v>6599</v>
      </c>
      <c r="B2911" s="154" t="s">
        <v>6604</v>
      </c>
      <c r="D2911" s="154">
        <v>2.0</v>
      </c>
      <c r="E2911" s="154" t="s">
        <v>897</v>
      </c>
      <c r="F2911" s="154" t="s">
        <v>6601</v>
      </c>
      <c r="G2911" s="154">
        <v>4.3911111E7</v>
      </c>
      <c r="H2911" s="156">
        <v>0.0</v>
      </c>
      <c r="I2911" s="154" t="s">
        <v>6602</v>
      </c>
      <c r="J2911" s="154" t="s">
        <v>6603</v>
      </c>
      <c r="K2911" s="154" t="s">
        <v>1408</v>
      </c>
    </row>
    <row r="2912">
      <c r="A2912" s="154" t="s">
        <v>6605</v>
      </c>
      <c r="B2912" s="155"/>
      <c r="C2912" s="154" t="s">
        <v>6606</v>
      </c>
      <c r="D2912" s="155"/>
      <c r="E2912" s="155"/>
      <c r="F2912" s="154" t="s">
        <v>6607</v>
      </c>
      <c r="G2912" s="156">
        <v>0.0</v>
      </c>
      <c r="H2912" s="156">
        <v>0.0</v>
      </c>
      <c r="I2912" s="156">
        <v>0.0</v>
      </c>
      <c r="J2912" s="154" t="s">
        <v>6608</v>
      </c>
      <c r="K2912" s="154" t="s">
        <v>6609</v>
      </c>
    </row>
    <row r="2913">
      <c r="A2913" s="154" t="s">
        <v>6605</v>
      </c>
      <c r="B2913" s="154" t="s">
        <v>6610</v>
      </c>
      <c r="D2913" s="154">
        <v>2.0</v>
      </c>
      <c r="E2913" s="154" t="s">
        <v>897</v>
      </c>
      <c r="F2913" s="154" t="s">
        <v>6607</v>
      </c>
      <c r="G2913" s="156">
        <v>0.0</v>
      </c>
      <c r="H2913" s="156">
        <v>0.0</v>
      </c>
      <c r="I2913" s="156">
        <v>0.0</v>
      </c>
      <c r="J2913" s="154" t="s">
        <v>6608</v>
      </c>
      <c r="K2913" s="154" t="s">
        <v>6609</v>
      </c>
    </row>
    <row r="2914">
      <c r="A2914" s="154" t="s">
        <v>6611</v>
      </c>
      <c r="B2914" s="155"/>
      <c r="C2914" s="154" t="s">
        <v>6612</v>
      </c>
      <c r="D2914" s="155"/>
      <c r="E2914" s="155"/>
      <c r="F2914" s="154" t="s">
        <v>6613</v>
      </c>
      <c r="G2914" s="154" t="s">
        <v>6614</v>
      </c>
      <c r="H2914" s="156">
        <v>0.0</v>
      </c>
      <c r="I2914" s="154" t="s">
        <v>6615</v>
      </c>
      <c r="J2914" s="154" t="s">
        <v>6614</v>
      </c>
      <c r="K2914" s="154" t="s">
        <v>197</v>
      </c>
    </row>
    <row r="2915">
      <c r="A2915" s="154" t="s">
        <v>6611</v>
      </c>
      <c r="B2915" s="154" t="s">
        <v>6616</v>
      </c>
      <c r="D2915" s="154">
        <v>2.0</v>
      </c>
      <c r="E2915" s="154" t="s">
        <v>897</v>
      </c>
      <c r="F2915" s="154" t="s">
        <v>6613</v>
      </c>
      <c r="G2915" s="154" t="s">
        <v>6614</v>
      </c>
      <c r="H2915" s="156">
        <v>0.0</v>
      </c>
      <c r="I2915" s="154" t="s">
        <v>6615</v>
      </c>
      <c r="J2915" s="154" t="s">
        <v>6614</v>
      </c>
      <c r="K2915" s="154" t="s">
        <v>197</v>
      </c>
    </row>
    <row r="2916">
      <c r="A2916" s="154" t="s">
        <v>6617</v>
      </c>
      <c r="B2916" s="155"/>
      <c r="C2916" s="154" t="s">
        <v>6618</v>
      </c>
      <c r="D2916" s="155"/>
      <c r="E2916" s="155"/>
      <c r="F2916" s="154" t="s">
        <v>6619</v>
      </c>
      <c r="G2916" s="156">
        <v>0.0</v>
      </c>
      <c r="H2916" s="156">
        <v>0.0</v>
      </c>
      <c r="I2916" s="154" t="s">
        <v>6620</v>
      </c>
      <c r="J2916" s="156">
        <v>0.0</v>
      </c>
      <c r="K2916" s="154" t="s">
        <v>259</v>
      </c>
    </row>
    <row r="2917">
      <c r="A2917" s="154" t="s">
        <v>6617</v>
      </c>
      <c r="B2917" s="154" t="s">
        <v>6621</v>
      </c>
      <c r="D2917" s="154">
        <v>2.0</v>
      </c>
      <c r="E2917" s="154" t="s">
        <v>897</v>
      </c>
      <c r="F2917" s="154" t="s">
        <v>6622</v>
      </c>
      <c r="G2917" s="154">
        <v>3373032.0</v>
      </c>
      <c r="H2917" s="156">
        <v>0.0</v>
      </c>
      <c r="I2917" s="154" t="s">
        <v>6620</v>
      </c>
      <c r="J2917" s="156">
        <v>0.0</v>
      </c>
      <c r="K2917" s="154" t="s">
        <v>301</v>
      </c>
    </row>
    <row r="2918">
      <c r="A2918" s="154" t="s">
        <v>6623</v>
      </c>
      <c r="B2918" s="154" t="s">
        <v>6624</v>
      </c>
      <c r="D2918" s="154">
        <v>2.0</v>
      </c>
      <c r="E2918" s="154" t="s">
        <v>897</v>
      </c>
      <c r="F2918" s="154" t="s">
        <v>6625</v>
      </c>
      <c r="G2918" s="156">
        <v>0.0</v>
      </c>
      <c r="H2918" s="154" t="s">
        <v>6626</v>
      </c>
      <c r="I2918" s="154" t="s">
        <v>6627</v>
      </c>
      <c r="J2918" s="156">
        <v>0.0</v>
      </c>
      <c r="K2918" s="154" t="s">
        <v>253</v>
      </c>
    </row>
    <row r="2919">
      <c r="A2919" s="154" t="s">
        <v>6623</v>
      </c>
      <c r="B2919" s="155"/>
      <c r="C2919" s="154" t="s">
        <v>6628</v>
      </c>
      <c r="D2919" s="155"/>
      <c r="E2919" s="155"/>
      <c r="F2919" s="154" t="s">
        <v>6625</v>
      </c>
      <c r="G2919" s="156">
        <v>0.0</v>
      </c>
      <c r="H2919" s="154" t="s">
        <v>6626</v>
      </c>
      <c r="I2919" s="154" t="s">
        <v>6627</v>
      </c>
      <c r="J2919" s="156">
        <v>0.0</v>
      </c>
      <c r="K2919" s="154" t="s">
        <v>253</v>
      </c>
    </row>
    <row r="2920">
      <c r="A2920" s="154" t="s">
        <v>6629</v>
      </c>
      <c r="B2920" s="154" t="s">
        <v>6630</v>
      </c>
      <c r="D2920" s="154">
        <v>2.0</v>
      </c>
      <c r="E2920" s="154" t="s">
        <v>897</v>
      </c>
      <c r="F2920" s="154" t="s">
        <v>1619</v>
      </c>
      <c r="G2920" s="154">
        <v>4.3903333E7</v>
      </c>
      <c r="H2920" s="154" t="s">
        <v>1620</v>
      </c>
      <c r="I2920" s="156">
        <v>0.0</v>
      </c>
      <c r="J2920" s="156">
        <v>0.0</v>
      </c>
      <c r="K2920" s="156">
        <v>0.0</v>
      </c>
    </row>
    <row r="2921">
      <c r="A2921" s="154" t="s">
        <v>6629</v>
      </c>
      <c r="B2921" s="155"/>
      <c r="C2921" s="154" t="s">
        <v>6631</v>
      </c>
      <c r="D2921" s="155"/>
      <c r="E2921" s="155"/>
      <c r="F2921" s="154" t="s">
        <v>3204</v>
      </c>
      <c r="G2921" s="156">
        <v>0.0</v>
      </c>
      <c r="H2921" s="156">
        <v>0.0</v>
      </c>
      <c r="I2921" s="154" t="s">
        <v>3205</v>
      </c>
      <c r="J2921" s="154" t="s">
        <v>3206</v>
      </c>
      <c r="K2921" s="154" t="s">
        <v>776</v>
      </c>
    </row>
    <row r="2922">
      <c r="A2922" s="154" t="s">
        <v>6632</v>
      </c>
      <c r="B2922" s="154" t="s">
        <v>6633</v>
      </c>
      <c r="D2922" s="154">
        <v>2.0</v>
      </c>
      <c r="E2922" s="154" t="s">
        <v>897</v>
      </c>
      <c r="F2922" s="154" t="s">
        <v>6634</v>
      </c>
      <c r="G2922" s="156">
        <v>0.0</v>
      </c>
      <c r="H2922" s="154" t="s">
        <v>6635</v>
      </c>
      <c r="I2922" s="154" t="s">
        <v>6636</v>
      </c>
      <c r="J2922" s="154" t="s">
        <v>6637</v>
      </c>
      <c r="K2922" s="154" t="s">
        <v>760</v>
      </c>
    </row>
    <row r="2923">
      <c r="A2923" s="154" t="s">
        <v>6632</v>
      </c>
      <c r="B2923" s="155"/>
      <c r="C2923" s="154" t="s">
        <v>6638</v>
      </c>
      <c r="D2923" s="155"/>
      <c r="E2923" s="155"/>
      <c r="F2923" s="154" t="s">
        <v>5673</v>
      </c>
      <c r="G2923" s="156">
        <v>0.0</v>
      </c>
      <c r="H2923" s="154" t="s">
        <v>5674</v>
      </c>
      <c r="I2923" s="154" t="s">
        <v>5675</v>
      </c>
      <c r="J2923" s="156">
        <v>0.0</v>
      </c>
      <c r="K2923" s="154" t="s">
        <v>207</v>
      </c>
    </row>
    <row r="2924">
      <c r="A2924" s="154" t="s">
        <v>6639</v>
      </c>
      <c r="B2924" s="155"/>
      <c r="C2924" s="154" t="s">
        <v>6640</v>
      </c>
      <c r="D2924" s="155"/>
      <c r="E2924" s="155"/>
      <c r="F2924" s="154" t="s">
        <v>6641</v>
      </c>
      <c r="G2924" s="156">
        <v>0.0</v>
      </c>
      <c r="H2924" s="156">
        <v>0.0</v>
      </c>
      <c r="I2924" s="154" t="s">
        <v>6642</v>
      </c>
      <c r="J2924" s="156">
        <v>0.0</v>
      </c>
      <c r="K2924" s="154" t="s">
        <v>207</v>
      </c>
    </row>
    <row r="2925">
      <c r="A2925" s="154" t="s">
        <v>6639</v>
      </c>
      <c r="B2925" s="154" t="s">
        <v>6643</v>
      </c>
      <c r="D2925" s="154">
        <v>2.0</v>
      </c>
      <c r="E2925" s="154" t="s">
        <v>897</v>
      </c>
      <c r="F2925" s="154" t="s">
        <v>1619</v>
      </c>
      <c r="G2925" s="154">
        <v>4.3903333E7</v>
      </c>
      <c r="H2925" s="154" t="s">
        <v>1620</v>
      </c>
      <c r="I2925" s="156">
        <v>0.0</v>
      </c>
      <c r="J2925" s="156">
        <v>0.0</v>
      </c>
      <c r="K2925" s="156">
        <v>0.0</v>
      </c>
    </row>
    <row r="2926">
      <c r="A2926" s="154" t="s">
        <v>6644</v>
      </c>
      <c r="B2926" s="154" t="s">
        <v>6645</v>
      </c>
      <c r="D2926" s="154">
        <v>2.0</v>
      </c>
      <c r="E2926" s="154" t="s">
        <v>897</v>
      </c>
      <c r="F2926" s="154" t="s">
        <v>6646</v>
      </c>
      <c r="G2926" s="154" t="s">
        <v>6647</v>
      </c>
      <c r="H2926" s="156">
        <v>0.0</v>
      </c>
      <c r="I2926" s="154" t="s">
        <v>6648</v>
      </c>
      <c r="J2926" s="156">
        <v>0.0</v>
      </c>
      <c r="K2926" s="154" t="s">
        <v>776</v>
      </c>
    </row>
    <row r="2927">
      <c r="A2927" s="154" t="s">
        <v>6644</v>
      </c>
      <c r="B2927" s="155"/>
      <c r="C2927" s="154" t="s">
        <v>6649</v>
      </c>
      <c r="D2927" s="155"/>
      <c r="E2927" s="155"/>
      <c r="F2927" s="154" t="s">
        <v>6650</v>
      </c>
      <c r="G2927" s="156">
        <v>0.0</v>
      </c>
      <c r="H2927" s="156">
        <v>0.0</v>
      </c>
      <c r="I2927" s="154" t="s">
        <v>2969</v>
      </c>
      <c r="J2927" s="154" t="s">
        <v>6651</v>
      </c>
      <c r="K2927" s="154" t="s">
        <v>846</v>
      </c>
    </row>
    <row r="2928">
      <c r="A2928" s="154" t="s">
        <v>6652</v>
      </c>
      <c r="B2928" s="155"/>
      <c r="C2928" s="154" t="s">
        <v>6653</v>
      </c>
      <c r="D2928" s="155"/>
      <c r="E2928" s="155"/>
      <c r="F2928" s="154" t="s">
        <v>6650</v>
      </c>
      <c r="G2928" s="156">
        <v>0.0</v>
      </c>
      <c r="H2928" s="156">
        <v>0.0</v>
      </c>
      <c r="I2928" s="154" t="s">
        <v>2969</v>
      </c>
      <c r="J2928" s="154" t="s">
        <v>6651</v>
      </c>
      <c r="K2928" s="154" t="s">
        <v>846</v>
      </c>
    </row>
    <row r="2929">
      <c r="A2929" s="154" t="s">
        <v>6652</v>
      </c>
      <c r="B2929" s="154" t="s">
        <v>6654</v>
      </c>
      <c r="D2929" s="154">
        <v>2.0</v>
      </c>
      <c r="E2929" s="154" t="s">
        <v>897</v>
      </c>
      <c r="F2929" s="154" t="s">
        <v>1619</v>
      </c>
      <c r="G2929" s="154">
        <v>4.3903333E7</v>
      </c>
      <c r="H2929" s="154" t="s">
        <v>1620</v>
      </c>
      <c r="I2929" s="156">
        <v>0.0</v>
      </c>
      <c r="J2929" s="156">
        <v>0.0</v>
      </c>
      <c r="K2929" s="156">
        <v>0.0</v>
      </c>
    </row>
    <row r="2930">
      <c r="A2930" s="154" t="s">
        <v>6655</v>
      </c>
      <c r="B2930" s="154" t="s">
        <v>6656</v>
      </c>
      <c r="D2930" s="154">
        <v>2.0</v>
      </c>
      <c r="E2930" s="154" t="s">
        <v>897</v>
      </c>
      <c r="F2930" s="154" t="s">
        <v>6657</v>
      </c>
      <c r="G2930" s="156">
        <v>0.0</v>
      </c>
      <c r="H2930" s="156">
        <v>0.0</v>
      </c>
      <c r="I2930" s="154">
        <v>5.0911763E8</v>
      </c>
      <c r="J2930" s="156">
        <v>0.0</v>
      </c>
      <c r="K2930" s="154" t="s">
        <v>259</v>
      </c>
    </row>
    <row r="2931">
      <c r="A2931" s="154" t="s">
        <v>6655</v>
      </c>
      <c r="B2931" s="155"/>
      <c r="C2931" s="154" t="s">
        <v>6658</v>
      </c>
      <c r="D2931" s="155"/>
      <c r="E2931" s="155"/>
      <c r="F2931" s="154" t="s">
        <v>6657</v>
      </c>
      <c r="G2931" s="156">
        <v>0.0</v>
      </c>
      <c r="H2931" s="156">
        <v>0.0</v>
      </c>
      <c r="I2931" s="154">
        <v>5.0911763E8</v>
      </c>
      <c r="J2931" s="156">
        <v>0.0</v>
      </c>
      <c r="K2931" s="154" t="s">
        <v>259</v>
      </c>
    </row>
    <row r="2932">
      <c r="A2932" s="154" t="s">
        <v>6659</v>
      </c>
      <c r="B2932" s="155"/>
      <c r="C2932" s="154" t="s">
        <v>6660</v>
      </c>
      <c r="D2932" s="155"/>
      <c r="E2932" s="155"/>
      <c r="F2932" s="154" t="s">
        <v>1619</v>
      </c>
      <c r="G2932" s="154">
        <v>4.3903333E7</v>
      </c>
      <c r="H2932" s="154" t="s">
        <v>1620</v>
      </c>
      <c r="I2932" s="156">
        <v>0.0</v>
      </c>
      <c r="J2932" s="156">
        <v>0.0</v>
      </c>
      <c r="K2932" s="156">
        <v>0.0</v>
      </c>
    </row>
    <row r="2933">
      <c r="A2933" s="154" t="s">
        <v>6659</v>
      </c>
      <c r="B2933" s="154" t="s">
        <v>6661</v>
      </c>
      <c r="D2933" s="154">
        <v>2.0</v>
      </c>
      <c r="E2933" s="154" t="s">
        <v>897</v>
      </c>
      <c r="F2933" s="154" t="s">
        <v>6662</v>
      </c>
      <c r="G2933" s="154">
        <v>4.42082082551E11</v>
      </c>
      <c r="H2933" s="156">
        <v>0.0</v>
      </c>
      <c r="I2933" s="154">
        <v>4.47944696428E11</v>
      </c>
      <c r="J2933" s="156">
        <v>0.0</v>
      </c>
      <c r="K2933" s="154" t="s">
        <v>259</v>
      </c>
    </row>
    <row r="2934">
      <c r="A2934" s="154" t="s">
        <v>6663</v>
      </c>
      <c r="B2934" s="154" t="s">
        <v>6664</v>
      </c>
      <c r="D2934" s="154">
        <v>2.0</v>
      </c>
      <c r="E2934" s="154" t="s">
        <v>897</v>
      </c>
      <c r="F2934" s="154" t="s">
        <v>6665</v>
      </c>
      <c r="G2934" s="154" t="s">
        <v>6666</v>
      </c>
      <c r="H2934" s="154" t="s">
        <v>6667</v>
      </c>
      <c r="I2934" s="154" t="s">
        <v>6668</v>
      </c>
      <c r="J2934" s="154" t="s">
        <v>6666</v>
      </c>
      <c r="K2934" s="154" t="s">
        <v>361</v>
      </c>
    </row>
    <row r="2935">
      <c r="A2935" s="154" t="s">
        <v>6663</v>
      </c>
      <c r="B2935" s="155"/>
      <c r="C2935" s="154" t="s">
        <v>6669</v>
      </c>
      <c r="D2935" s="155"/>
      <c r="E2935" s="155"/>
      <c r="F2935" s="154" t="s">
        <v>5029</v>
      </c>
      <c r="G2935" s="154">
        <v>4.3498188E7</v>
      </c>
      <c r="H2935" s="154" t="s">
        <v>5030</v>
      </c>
      <c r="I2935" s="154">
        <v>5.02886688E8</v>
      </c>
      <c r="J2935" s="154" t="s">
        <v>5031</v>
      </c>
      <c r="K2935" s="154" t="s">
        <v>207</v>
      </c>
    </row>
    <row r="2936">
      <c r="A2936" s="154" t="s">
        <v>6670</v>
      </c>
      <c r="B2936" s="154" t="s">
        <v>6671</v>
      </c>
      <c r="D2936" s="154">
        <v>2.0</v>
      </c>
      <c r="E2936" s="154" t="s">
        <v>897</v>
      </c>
      <c r="F2936" s="154" t="s">
        <v>6672</v>
      </c>
      <c r="G2936" s="154">
        <v>4.8812222E7</v>
      </c>
      <c r="H2936" s="156">
        <v>0.0</v>
      </c>
      <c r="I2936" s="154">
        <v>5.66836836E8</v>
      </c>
      <c r="J2936" s="156">
        <v>0.0</v>
      </c>
      <c r="K2936" s="154" t="s">
        <v>4615</v>
      </c>
    </row>
    <row r="2937">
      <c r="A2937" s="154" t="s">
        <v>6670</v>
      </c>
      <c r="B2937" s="155"/>
      <c r="C2937" s="154" t="s">
        <v>6673</v>
      </c>
      <c r="D2937" s="155"/>
      <c r="E2937" s="155"/>
      <c r="F2937" s="154" t="s">
        <v>5029</v>
      </c>
      <c r="G2937" s="154">
        <v>4.3498188E7</v>
      </c>
      <c r="H2937" s="154" t="s">
        <v>5030</v>
      </c>
      <c r="I2937" s="154">
        <v>5.02886688E8</v>
      </c>
      <c r="J2937" s="154" t="s">
        <v>5031</v>
      </c>
      <c r="K2937" s="154" t="s">
        <v>207</v>
      </c>
    </row>
    <row r="2938">
      <c r="A2938" s="154" t="s">
        <v>6674</v>
      </c>
      <c r="B2938" s="154" t="s">
        <v>6675</v>
      </c>
      <c r="D2938" s="154">
        <v>2.0</v>
      </c>
      <c r="E2938" s="154" t="s">
        <v>897</v>
      </c>
      <c r="F2938" s="154" t="s">
        <v>6676</v>
      </c>
      <c r="G2938" s="156">
        <v>0.0</v>
      </c>
      <c r="H2938" s="154" t="s">
        <v>3913</v>
      </c>
      <c r="I2938" s="154" t="s">
        <v>6677</v>
      </c>
      <c r="J2938" s="154" t="s">
        <v>809</v>
      </c>
      <c r="K2938" s="154" t="s">
        <v>760</v>
      </c>
    </row>
    <row r="2939">
      <c r="A2939" s="154" t="s">
        <v>6674</v>
      </c>
      <c r="B2939" s="155"/>
      <c r="C2939" s="154" t="s">
        <v>6678</v>
      </c>
      <c r="D2939" s="155"/>
      <c r="E2939" s="155"/>
      <c r="F2939" s="154" t="s">
        <v>6676</v>
      </c>
      <c r="G2939" s="156">
        <v>0.0</v>
      </c>
      <c r="H2939" s="154" t="s">
        <v>3913</v>
      </c>
      <c r="I2939" s="154" t="s">
        <v>6677</v>
      </c>
      <c r="J2939" s="154" t="s">
        <v>809</v>
      </c>
      <c r="K2939" s="154" t="s">
        <v>760</v>
      </c>
    </row>
    <row r="2940">
      <c r="A2940" s="154" t="s">
        <v>6679</v>
      </c>
      <c r="B2940" s="155"/>
      <c r="C2940" s="154" t="s">
        <v>6680</v>
      </c>
      <c r="D2940" s="155"/>
      <c r="E2940" s="155"/>
      <c r="F2940" s="154" t="s">
        <v>6676</v>
      </c>
      <c r="G2940" s="156">
        <v>0.0</v>
      </c>
      <c r="H2940" s="154" t="s">
        <v>3913</v>
      </c>
      <c r="I2940" s="154" t="s">
        <v>6677</v>
      </c>
      <c r="J2940" s="154" t="s">
        <v>809</v>
      </c>
      <c r="K2940" s="154" t="s">
        <v>760</v>
      </c>
    </row>
    <row r="2941">
      <c r="A2941" s="154" t="s">
        <v>6679</v>
      </c>
      <c r="B2941" s="154" t="s">
        <v>6681</v>
      </c>
      <c r="D2941" s="154">
        <v>2.0</v>
      </c>
      <c r="E2941" s="154" t="s">
        <v>897</v>
      </c>
      <c r="F2941" s="154" t="s">
        <v>6682</v>
      </c>
      <c r="G2941" s="156">
        <v>0.0</v>
      </c>
      <c r="H2941" s="156">
        <v>0.0</v>
      </c>
      <c r="I2941" s="154" t="s">
        <v>6683</v>
      </c>
      <c r="J2941" s="156">
        <v>0.0</v>
      </c>
      <c r="K2941" s="154" t="s">
        <v>207</v>
      </c>
    </row>
    <row r="2942">
      <c r="A2942" s="154" t="s">
        <v>6684</v>
      </c>
      <c r="B2942" s="155"/>
      <c r="C2942" s="154" t="s">
        <v>6685</v>
      </c>
      <c r="D2942" s="155"/>
      <c r="E2942" s="155"/>
      <c r="F2942" s="154" t="s">
        <v>6686</v>
      </c>
      <c r="G2942" s="156">
        <v>0.0</v>
      </c>
      <c r="H2942" s="156">
        <v>0.0</v>
      </c>
      <c r="I2942" s="154" t="s">
        <v>6687</v>
      </c>
      <c r="J2942" s="154" t="s">
        <v>6688</v>
      </c>
      <c r="K2942" s="154" t="s">
        <v>760</v>
      </c>
    </row>
    <row r="2943">
      <c r="A2943" s="154" t="s">
        <v>6684</v>
      </c>
      <c r="B2943" s="154" t="s">
        <v>6689</v>
      </c>
      <c r="D2943" s="154">
        <v>2.0</v>
      </c>
      <c r="E2943" s="154" t="s">
        <v>897</v>
      </c>
      <c r="F2943" s="154" t="s">
        <v>792</v>
      </c>
      <c r="G2943" s="154" t="s">
        <v>793</v>
      </c>
      <c r="H2943" s="154" t="s">
        <v>794</v>
      </c>
      <c r="I2943" s="156">
        <v>0.0</v>
      </c>
      <c r="J2943" s="156">
        <v>0.0</v>
      </c>
      <c r="K2943" s="156">
        <v>0.0</v>
      </c>
    </row>
    <row r="2944">
      <c r="A2944" s="154" t="s">
        <v>6690</v>
      </c>
      <c r="B2944" s="155"/>
      <c r="C2944" s="154" t="s">
        <v>6691</v>
      </c>
      <c r="D2944" s="155"/>
      <c r="E2944" s="155"/>
      <c r="F2944" s="154" t="s">
        <v>6692</v>
      </c>
      <c r="G2944" s="154">
        <v>5.62741475E8</v>
      </c>
      <c r="H2944" s="156">
        <v>0.0</v>
      </c>
      <c r="I2944" s="154">
        <v>5.62741475E8</v>
      </c>
      <c r="J2944" s="156">
        <v>0.0</v>
      </c>
      <c r="K2944" s="154" t="s">
        <v>259</v>
      </c>
    </row>
    <row r="2945">
      <c r="A2945" s="154" t="s">
        <v>6690</v>
      </c>
      <c r="B2945" s="154" t="s">
        <v>6693</v>
      </c>
      <c r="D2945" s="154">
        <v>2.0</v>
      </c>
      <c r="E2945" s="154" t="s">
        <v>897</v>
      </c>
      <c r="F2945" s="154" t="s">
        <v>6694</v>
      </c>
      <c r="G2945" s="154">
        <v>971.0</v>
      </c>
      <c r="H2945" s="156">
        <v>0.0</v>
      </c>
      <c r="I2945" s="154" t="s">
        <v>6695</v>
      </c>
      <c r="J2945" s="154" t="s">
        <v>6696</v>
      </c>
      <c r="K2945" s="154" t="s">
        <v>776</v>
      </c>
    </row>
    <row r="2946">
      <c r="A2946" s="154" t="s">
        <v>6697</v>
      </c>
      <c r="B2946" s="155"/>
      <c r="C2946" s="154" t="s">
        <v>6698</v>
      </c>
      <c r="D2946" s="155"/>
      <c r="E2946" s="155"/>
      <c r="F2946" s="154" t="s">
        <v>6699</v>
      </c>
      <c r="G2946" s="156">
        <v>0.0</v>
      </c>
      <c r="H2946" s="154" t="s">
        <v>6700</v>
      </c>
      <c r="I2946" s="154" t="s">
        <v>6701</v>
      </c>
      <c r="J2946" s="154" t="s">
        <v>6702</v>
      </c>
      <c r="K2946" s="154" t="s">
        <v>207</v>
      </c>
    </row>
    <row r="2947">
      <c r="A2947" s="154" t="s">
        <v>6697</v>
      </c>
      <c r="B2947" s="154" t="s">
        <v>6698</v>
      </c>
      <c r="D2947" s="154">
        <v>2.0</v>
      </c>
      <c r="E2947" s="154" t="s">
        <v>761</v>
      </c>
      <c r="F2947" s="154" t="s">
        <v>6703</v>
      </c>
      <c r="G2947" s="156">
        <v>0.0</v>
      </c>
      <c r="H2947" s="156">
        <v>0.0</v>
      </c>
      <c r="I2947" s="154" t="s">
        <v>6701</v>
      </c>
      <c r="J2947" s="156">
        <v>0.0</v>
      </c>
      <c r="K2947" s="154" t="s">
        <v>207</v>
      </c>
    </row>
    <row r="2948">
      <c r="A2948" s="154" t="s">
        <v>6704</v>
      </c>
      <c r="B2948" s="154" t="s">
        <v>6705</v>
      </c>
      <c r="D2948" s="154">
        <v>2.0</v>
      </c>
      <c r="E2948" s="154" t="s">
        <v>761</v>
      </c>
      <c r="F2948" s="154" t="s">
        <v>6706</v>
      </c>
      <c r="G2948" s="156">
        <v>0.0</v>
      </c>
      <c r="H2948" s="156">
        <v>0.0</v>
      </c>
      <c r="I2948" s="154">
        <v>5.06772539E8</v>
      </c>
      <c r="J2948" s="156">
        <v>0.0</v>
      </c>
      <c r="K2948" s="154" t="s">
        <v>259</v>
      </c>
    </row>
    <row r="2949">
      <c r="A2949" s="154" t="s">
        <v>6704</v>
      </c>
      <c r="B2949" s="155"/>
      <c r="C2949" s="154" t="s">
        <v>6705</v>
      </c>
      <c r="D2949" s="155"/>
      <c r="E2949" s="155"/>
      <c r="F2949" s="154" t="s">
        <v>6707</v>
      </c>
      <c r="G2949" s="154">
        <v>0.0</v>
      </c>
      <c r="H2949" s="156">
        <v>0.0</v>
      </c>
      <c r="I2949" s="154">
        <v>5.02547775E8</v>
      </c>
      <c r="J2949" s="156">
        <v>0.0</v>
      </c>
      <c r="K2949" s="154" t="s">
        <v>2195</v>
      </c>
    </row>
    <row r="2950">
      <c r="A2950" s="154" t="s">
        <v>6708</v>
      </c>
      <c r="B2950" s="154" t="s">
        <v>6709</v>
      </c>
      <c r="D2950" s="154">
        <v>2.0</v>
      </c>
      <c r="E2950" s="154" t="s">
        <v>761</v>
      </c>
      <c r="F2950" s="154" t="s">
        <v>6710</v>
      </c>
      <c r="G2950" s="156">
        <v>0.0</v>
      </c>
      <c r="H2950" s="156">
        <v>0.0</v>
      </c>
      <c r="I2950" s="154">
        <v>5.0457673E8</v>
      </c>
      <c r="J2950" s="156">
        <v>0.0</v>
      </c>
      <c r="K2950" s="154" t="s">
        <v>2498</v>
      </c>
    </row>
    <row r="2951">
      <c r="A2951" s="154" t="s">
        <v>6708</v>
      </c>
      <c r="B2951" s="155"/>
      <c r="C2951" s="154" t="s">
        <v>6709</v>
      </c>
      <c r="D2951" s="155"/>
      <c r="E2951" s="155"/>
      <c r="F2951" s="154" t="s">
        <v>6710</v>
      </c>
      <c r="G2951" s="156">
        <v>0.0</v>
      </c>
      <c r="H2951" s="156">
        <v>0.0</v>
      </c>
      <c r="I2951" s="154">
        <v>5.0457673E8</v>
      </c>
      <c r="J2951" s="156">
        <v>0.0</v>
      </c>
      <c r="K2951" s="154" t="s">
        <v>2498</v>
      </c>
    </row>
    <row r="2952">
      <c r="A2952" s="154" t="s">
        <v>6711</v>
      </c>
      <c r="B2952" s="155"/>
      <c r="C2952" s="154" t="s">
        <v>6712</v>
      </c>
      <c r="D2952" s="155"/>
      <c r="E2952" s="155"/>
      <c r="F2952" s="154" t="s">
        <v>6713</v>
      </c>
      <c r="G2952" s="154">
        <v>0.0</v>
      </c>
      <c r="H2952" s="156">
        <v>0.0</v>
      </c>
      <c r="I2952" s="154">
        <v>9.71504423577E11</v>
      </c>
      <c r="J2952" s="156">
        <v>0.0</v>
      </c>
      <c r="K2952" s="154" t="s">
        <v>361</v>
      </c>
    </row>
    <row r="2953">
      <c r="A2953" s="154" t="s">
        <v>6711</v>
      </c>
      <c r="B2953" s="154" t="s">
        <v>6712</v>
      </c>
      <c r="D2953" s="154">
        <v>2.0</v>
      </c>
      <c r="E2953" s="154" t="s">
        <v>761</v>
      </c>
      <c r="F2953" s="154" t="s">
        <v>6713</v>
      </c>
      <c r="G2953" s="154">
        <v>0.0</v>
      </c>
      <c r="H2953" s="156">
        <v>0.0</v>
      </c>
      <c r="I2953" s="154">
        <v>9.71504423577E11</v>
      </c>
      <c r="J2953" s="156">
        <v>0.0</v>
      </c>
      <c r="K2953" s="154" t="s">
        <v>361</v>
      </c>
    </row>
    <row r="2954">
      <c r="A2954" s="154" t="s">
        <v>6714</v>
      </c>
      <c r="B2954" s="154" t="s">
        <v>6715</v>
      </c>
      <c r="D2954" s="154">
        <v>2.0</v>
      </c>
      <c r="E2954" s="154" t="s">
        <v>761</v>
      </c>
      <c r="F2954" s="154" t="s">
        <v>6716</v>
      </c>
      <c r="G2954" s="156">
        <v>0.0</v>
      </c>
      <c r="H2954" s="156">
        <v>0.0</v>
      </c>
      <c r="I2954" s="154">
        <v>5.01405201E8</v>
      </c>
      <c r="J2954" s="156">
        <v>0.0</v>
      </c>
      <c r="K2954" s="154" t="s">
        <v>4883</v>
      </c>
    </row>
    <row r="2955">
      <c r="A2955" s="154" t="s">
        <v>6714</v>
      </c>
      <c r="B2955" s="155"/>
      <c r="C2955" s="154" t="s">
        <v>6715</v>
      </c>
      <c r="D2955" s="155"/>
      <c r="E2955" s="155"/>
      <c r="F2955" s="154" t="s">
        <v>6716</v>
      </c>
      <c r="G2955" s="156">
        <v>0.0</v>
      </c>
      <c r="H2955" s="156">
        <v>0.0</v>
      </c>
      <c r="I2955" s="154">
        <v>5.01405201E8</v>
      </c>
      <c r="J2955" s="156">
        <v>0.0</v>
      </c>
      <c r="K2955" s="154" t="s">
        <v>4883</v>
      </c>
    </row>
    <row r="2956">
      <c r="A2956" s="154" t="s">
        <v>6717</v>
      </c>
      <c r="B2956" s="155"/>
      <c r="C2956" s="154" t="s">
        <v>6718</v>
      </c>
      <c r="D2956" s="155"/>
      <c r="E2956" s="155"/>
      <c r="F2956" s="154" t="s">
        <v>6719</v>
      </c>
      <c r="G2956" s="156">
        <v>0.0</v>
      </c>
      <c r="H2956" s="156">
        <v>0.0</v>
      </c>
      <c r="I2956" s="154">
        <v>5.06241655E8</v>
      </c>
      <c r="J2956" s="156">
        <v>0.0</v>
      </c>
      <c r="K2956" s="154" t="s">
        <v>361</v>
      </c>
    </row>
    <row r="2957">
      <c r="A2957" s="154" t="s">
        <v>6717</v>
      </c>
      <c r="B2957" s="154" t="s">
        <v>6718</v>
      </c>
      <c r="D2957" s="154">
        <v>2.0</v>
      </c>
      <c r="E2957" s="154" t="s">
        <v>761</v>
      </c>
      <c r="F2957" s="154" t="s">
        <v>6719</v>
      </c>
      <c r="G2957" s="156">
        <v>0.0</v>
      </c>
      <c r="H2957" s="156">
        <v>0.0</v>
      </c>
      <c r="I2957" s="154">
        <v>5.06241655E8</v>
      </c>
      <c r="J2957" s="156">
        <v>0.0</v>
      </c>
      <c r="K2957" s="154" t="s">
        <v>361</v>
      </c>
    </row>
    <row r="2958">
      <c r="A2958" s="154" t="s">
        <v>6720</v>
      </c>
      <c r="B2958" s="154" t="s">
        <v>6721</v>
      </c>
      <c r="D2958" s="154">
        <v>2.0</v>
      </c>
      <c r="E2958" s="154" t="s">
        <v>761</v>
      </c>
      <c r="F2958" s="154" t="s">
        <v>6722</v>
      </c>
      <c r="G2958" s="156">
        <v>0.0</v>
      </c>
      <c r="H2958" s="154" t="s">
        <v>6723</v>
      </c>
      <c r="I2958" s="154" t="s">
        <v>6724</v>
      </c>
      <c r="J2958" s="154" t="s">
        <v>6725</v>
      </c>
      <c r="K2958" s="154" t="s">
        <v>301</v>
      </c>
    </row>
    <row r="2959">
      <c r="A2959" s="154" t="s">
        <v>6720</v>
      </c>
      <c r="B2959" s="155"/>
      <c r="C2959" s="154" t="s">
        <v>6721</v>
      </c>
      <c r="D2959" s="155"/>
      <c r="E2959" s="155"/>
      <c r="F2959" s="154" t="s">
        <v>6722</v>
      </c>
      <c r="G2959" s="156">
        <v>0.0</v>
      </c>
      <c r="H2959" s="154" t="s">
        <v>6723</v>
      </c>
      <c r="I2959" s="154" t="s">
        <v>6724</v>
      </c>
      <c r="J2959" s="154" t="s">
        <v>6725</v>
      </c>
      <c r="K2959" s="154" t="s">
        <v>301</v>
      </c>
    </row>
    <row r="2960">
      <c r="A2960" s="154" t="s">
        <v>6726</v>
      </c>
      <c r="B2960" s="154" t="s">
        <v>6727</v>
      </c>
      <c r="D2960" s="154">
        <v>2.0</v>
      </c>
      <c r="E2960" s="154" t="s">
        <v>761</v>
      </c>
      <c r="F2960" s="154" t="s">
        <v>908</v>
      </c>
      <c r="G2960" s="154" t="s">
        <v>909</v>
      </c>
      <c r="H2960" s="156">
        <v>0.0</v>
      </c>
      <c r="I2960" s="154" t="s">
        <v>910</v>
      </c>
      <c r="J2960" s="154" t="s">
        <v>809</v>
      </c>
      <c r="K2960" s="154" t="s">
        <v>361</v>
      </c>
    </row>
    <row r="2961">
      <c r="A2961" s="154" t="s">
        <v>6726</v>
      </c>
      <c r="B2961" s="155"/>
      <c r="C2961" s="154" t="s">
        <v>6727</v>
      </c>
      <c r="D2961" s="155"/>
      <c r="E2961" s="155"/>
      <c r="F2961" s="154" t="s">
        <v>908</v>
      </c>
      <c r="G2961" s="154" t="s">
        <v>909</v>
      </c>
      <c r="H2961" s="156">
        <v>0.0</v>
      </c>
      <c r="I2961" s="154" t="s">
        <v>910</v>
      </c>
      <c r="J2961" s="154" t="s">
        <v>809</v>
      </c>
      <c r="K2961" s="154" t="s">
        <v>361</v>
      </c>
    </row>
    <row r="2962">
      <c r="A2962" s="154" t="s">
        <v>6728</v>
      </c>
      <c r="B2962" s="155"/>
      <c r="C2962" s="154" t="s">
        <v>6729</v>
      </c>
      <c r="D2962" s="155"/>
      <c r="E2962" s="155"/>
      <c r="F2962" s="154" t="s">
        <v>6730</v>
      </c>
      <c r="G2962" s="154">
        <v>9.71043532333E11</v>
      </c>
      <c r="H2962" s="156">
        <v>0.0</v>
      </c>
      <c r="I2962" s="154">
        <v>4.47990557642E11</v>
      </c>
      <c r="J2962" s="156">
        <v>0.0</v>
      </c>
      <c r="K2962" s="154" t="s">
        <v>259</v>
      </c>
    </row>
    <row r="2963">
      <c r="A2963" s="154" t="s">
        <v>6728</v>
      </c>
      <c r="B2963" s="154" t="s">
        <v>6729</v>
      </c>
      <c r="D2963" s="154">
        <v>2.0</v>
      </c>
      <c r="E2963" s="154" t="s">
        <v>761</v>
      </c>
      <c r="F2963" s="154" t="s">
        <v>6730</v>
      </c>
      <c r="G2963" s="154">
        <v>9.71043532333E11</v>
      </c>
      <c r="H2963" s="156">
        <v>0.0</v>
      </c>
      <c r="I2963" s="154">
        <v>4.47990557642E11</v>
      </c>
      <c r="J2963" s="156">
        <v>0.0</v>
      </c>
      <c r="K2963" s="154" t="s">
        <v>259</v>
      </c>
    </row>
    <row r="2964">
      <c r="A2964" s="154" t="s">
        <v>6731</v>
      </c>
      <c r="B2964" s="155"/>
      <c r="C2964" s="154" t="s">
        <v>6732</v>
      </c>
      <c r="D2964" s="155"/>
      <c r="E2964" s="155"/>
      <c r="F2964" s="154" t="s">
        <v>6733</v>
      </c>
      <c r="G2964" s="154">
        <v>0.0</v>
      </c>
      <c r="H2964" s="156">
        <v>0.0</v>
      </c>
      <c r="I2964" s="154">
        <v>0.0</v>
      </c>
      <c r="J2964" s="156">
        <v>0.0</v>
      </c>
      <c r="K2964" s="154" t="s">
        <v>361</v>
      </c>
    </row>
    <row r="2965">
      <c r="A2965" s="154" t="s">
        <v>6731</v>
      </c>
      <c r="B2965" s="154" t="s">
        <v>6732</v>
      </c>
      <c r="D2965" s="154">
        <v>2.0</v>
      </c>
      <c r="E2965" s="154" t="s">
        <v>761</v>
      </c>
      <c r="F2965" s="154" t="s">
        <v>6734</v>
      </c>
      <c r="G2965" s="154">
        <v>0.0</v>
      </c>
      <c r="H2965" s="156">
        <v>0.0</v>
      </c>
      <c r="I2965" s="154">
        <v>0.0</v>
      </c>
      <c r="J2965" s="156">
        <v>0.0</v>
      </c>
      <c r="K2965" s="154" t="s">
        <v>361</v>
      </c>
    </row>
    <row r="2966">
      <c r="A2966" s="154" t="s">
        <v>6735</v>
      </c>
      <c r="B2966" s="155"/>
      <c r="C2966" s="154" t="s">
        <v>6736</v>
      </c>
      <c r="D2966" s="155"/>
      <c r="E2966" s="155"/>
      <c r="F2966" s="154" t="s">
        <v>6737</v>
      </c>
      <c r="G2966" s="154" t="s">
        <v>6738</v>
      </c>
      <c r="H2966" s="154" t="s">
        <v>1354</v>
      </c>
      <c r="I2966" s="154" t="s">
        <v>6739</v>
      </c>
      <c r="J2966" s="156">
        <v>0.0</v>
      </c>
      <c r="K2966" s="154" t="s">
        <v>361</v>
      </c>
    </row>
    <row r="2967">
      <c r="A2967" s="154" t="s">
        <v>6735</v>
      </c>
      <c r="B2967" s="154" t="s">
        <v>6736</v>
      </c>
      <c r="D2967" s="154">
        <v>2.0</v>
      </c>
      <c r="E2967" s="154" t="s">
        <v>761</v>
      </c>
      <c r="F2967" s="154" t="s">
        <v>6737</v>
      </c>
      <c r="G2967" s="154" t="s">
        <v>6738</v>
      </c>
      <c r="H2967" s="154" t="s">
        <v>1354</v>
      </c>
      <c r="I2967" s="154" t="s">
        <v>6739</v>
      </c>
      <c r="J2967" s="156">
        <v>0.0</v>
      </c>
      <c r="K2967" s="154" t="s">
        <v>361</v>
      </c>
    </row>
    <row r="2968">
      <c r="A2968" s="154" t="s">
        <v>6740</v>
      </c>
      <c r="B2968" s="154" t="s">
        <v>6741</v>
      </c>
      <c r="D2968" s="154">
        <v>2.0</v>
      </c>
      <c r="E2968" s="154" t="s">
        <v>761</v>
      </c>
      <c r="F2968" s="154" t="s">
        <v>6742</v>
      </c>
      <c r="G2968" s="154">
        <v>5.05519272E8</v>
      </c>
      <c r="H2968" s="156">
        <v>0.0</v>
      </c>
      <c r="I2968" s="154" t="s">
        <v>6743</v>
      </c>
      <c r="J2968" s="156">
        <v>0.0</v>
      </c>
      <c r="K2968" s="154" t="s">
        <v>197</v>
      </c>
    </row>
    <row r="2969">
      <c r="A2969" s="154" t="s">
        <v>6740</v>
      </c>
      <c r="B2969" s="155"/>
      <c r="C2969" s="154" t="s">
        <v>6741</v>
      </c>
      <c r="D2969" s="155"/>
      <c r="E2969" s="155"/>
      <c r="F2969" s="154" t="s">
        <v>6742</v>
      </c>
      <c r="G2969" s="154">
        <v>5.05519272E8</v>
      </c>
      <c r="H2969" s="156">
        <v>0.0</v>
      </c>
      <c r="I2969" s="154" t="s">
        <v>6743</v>
      </c>
      <c r="J2969" s="156">
        <v>0.0</v>
      </c>
      <c r="K2969" s="154" t="s">
        <v>197</v>
      </c>
    </row>
    <row r="2970">
      <c r="A2970" s="154" t="s">
        <v>6744</v>
      </c>
      <c r="B2970" s="155"/>
      <c r="C2970" s="154" t="s">
        <v>6745</v>
      </c>
      <c r="D2970" s="155"/>
      <c r="E2970" s="155"/>
      <c r="F2970" s="154" t="s">
        <v>6746</v>
      </c>
      <c r="G2970" s="154">
        <v>4.3862764E7</v>
      </c>
      <c r="H2970" s="154" t="s">
        <v>6747</v>
      </c>
      <c r="I2970" s="154">
        <v>5.0650983E8</v>
      </c>
      <c r="J2970" s="156">
        <v>0.0</v>
      </c>
      <c r="K2970" s="154" t="s">
        <v>240</v>
      </c>
    </row>
    <row r="2971">
      <c r="A2971" s="154" t="s">
        <v>6744</v>
      </c>
      <c r="B2971" s="154" t="s">
        <v>6745</v>
      </c>
      <c r="D2971" s="154">
        <v>2.0</v>
      </c>
      <c r="E2971" s="154" t="s">
        <v>761</v>
      </c>
      <c r="F2971" s="154" t="s">
        <v>6746</v>
      </c>
      <c r="G2971" s="154">
        <v>4.3862764E7</v>
      </c>
      <c r="H2971" s="154" t="s">
        <v>6747</v>
      </c>
      <c r="I2971" s="154">
        <v>5.0650983E8</v>
      </c>
      <c r="J2971" s="156">
        <v>0.0</v>
      </c>
      <c r="K2971" s="154" t="s">
        <v>240</v>
      </c>
    </row>
    <row r="2972">
      <c r="A2972" s="154" t="s">
        <v>6748</v>
      </c>
      <c r="B2972" s="155"/>
      <c r="C2972" s="154" t="s">
        <v>6749</v>
      </c>
      <c r="D2972" s="155"/>
      <c r="E2972" s="155"/>
      <c r="F2972" s="154" t="s">
        <v>6750</v>
      </c>
      <c r="G2972" s="154">
        <v>9.19920616738E11</v>
      </c>
      <c r="H2972" s="156">
        <v>0.0</v>
      </c>
      <c r="I2972" s="154">
        <v>9.71505526318E11</v>
      </c>
      <c r="J2972" s="156">
        <v>0.0</v>
      </c>
      <c r="K2972" s="154" t="s">
        <v>361</v>
      </c>
    </row>
    <row r="2973">
      <c r="A2973" s="154" t="s">
        <v>6748</v>
      </c>
      <c r="B2973" s="154" t="s">
        <v>6749</v>
      </c>
      <c r="D2973" s="154">
        <v>2.0</v>
      </c>
      <c r="E2973" s="154" t="s">
        <v>761</v>
      </c>
      <c r="F2973" s="154" t="s">
        <v>6750</v>
      </c>
      <c r="G2973" s="154">
        <v>9.19920616738E11</v>
      </c>
      <c r="H2973" s="156">
        <v>0.0</v>
      </c>
      <c r="I2973" s="154">
        <v>9.71505526318E11</v>
      </c>
      <c r="J2973" s="156">
        <v>0.0</v>
      </c>
      <c r="K2973" s="154" t="s">
        <v>361</v>
      </c>
    </row>
    <row r="2974">
      <c r="A2974" s="154" t="s">
        <v>6751</v>
      </c>
      <c r="B2974" s="154" t="s">
        <v>6752</v>
      </c>
      <c r="D2974" s="154">
        <v>2.0</v>
      </c>
      <c r="E2974" s="154" t="s">
        <v>761</v>
      </c>
      <c r="F2974" s="154" t="s">
        <v>1157</v>
      </c>
      <c r="G2974" s="154" t="s">
        <v>1158</v>
      </c>
      <c r="H2974" s="154" t="s">
        <v>1159</v>
      </c>
      <c r="I2974" s="156">
        <v>0.0</v>
      </c>
      <c r="J2974" s="156">
        <v>0.0</v>
      </c>
      <c r="K2974" s="156">
        <v>0.0</v>
      </c>
    </row>
    <row r="2975">
      <c r="A2975" s="154" t="s">
        <v>6751</v>
      </c>
      <c r="B2975" s="155"/>
      <c r="C2975" s="154" t="s">
        <v>6752</v>
      </c>
      <c r="D2975" s="155"/>
      <c r="E2975" s="155"/>
      <c r="F2975" s="154" t="s">
        <v>6753</v>
      </c>
      <c r="G2975" s="154">
        <v>4.8812222E7</v>
      </c>
      <c r="H2975" s="156">
        <v>0.0</v>
      </c>
      <c r="I2975" s="154">
        <v>5.28711171E8</v>
      </c>
      <c r="J2975" s="156">
        <v>0.0</v>
      </c>
      <c r="K2975" s="154" t="s">
        <v>846</v>
      </c>
    </row>
    <row r="2976">
      <c r="A2976" s="154" t="s">
        <v>6754</v>
      </c>
      <c r="B2976" s="155"/>
      <c r="C2976" s="154" t="s">
        <v>6755</v>
      </c>
      <c r="D2976" s="155"/>
      <c r="E2976" s="155"/>
      <c r="F2976" s="154" t="s">
        <v>6756</v>
      </c>
      <c r="G2976" s="154">
        <v>0.0</v>
      </c>
      <c r="H2976" s="156">
        <v>0.0</v>
      </c>
      <c r="I2976" s="154">
        <v>0.0</v>
      </c>
      <c r="J2976" s="156">
        <v>0.0</v>
      </c>
      <c r="K2976" s="154" t="s">
        <v>776</v>
      </c>
    </row>
    <row r="2977">
      <c r="A2977" s="154" t="s">
        <v>6754</v>
      </c>
      <c r="B2977" s="154" t="s">
        <v>6755</v>
      </c>
      <c r="D2977" s="154">
        <v>2.0</v>
      </c>
      <c r="E2977" s="154" t="s">
        <v>761</v>
      </c>
      <c r="F2977" s="154" t="s">
        <v>6756</v>
      </c>
      <c r="G2977" s="154">
        <v>0.0</v>
      </c>
      <c r="H2977" s="156">
        <v>0.0</v>
      </c>
      <c r="I2977" s="154">
        <v>0.0</v>
      </c>
      <c r="J2977" s="156">
        <v>0.0</v>
      </c>
      <c r="K2977" s="154" t="s">
        <v>776</v>
      </c>
    </row>
    <row r="2978">
      <c r="A2978" s="154" t="s">
        <v>6757</v>
      </c>
      <c r="B2978" s="154" t="s">
        <v>6758</v>
      </c>
      <c r="D2978" s="154">
        <v>2.0</v>
      </c>
      <c r="E2978" s="154" t="s">
        <v>761</v>
      </c>
      <c r="F2978" s="154" t="s">
        <v>6759</v>
      </c>
      <c r="G2978" s="154">
        <v>5.66821798E8</v>
      </c>
      <c r="H2978" s="156">
        <v>0.0</v>
      </c>
      <c r="I2978" s="154">
        <v>5.66821798E8</v>
      </c>
      <c r="J2978" s="156">
        <v>0.0</v>
      </c>
      <c r="K2978" s="154" t="s">
        <v>1059</v>
      </c>
    </row>
    <row r="2979">
      <c r="A2979" s="154" t="s">
        <v>6757</v>
      </c>
      <c r="B2979" s="155"/>
      <c r="C2979" s="154" t="s">
        <v>6758</v>
      </c>
      <c r="D2979" s="155"/>
      <c r="E2979" s="155"/>
      <c r="F2979" s="154" t="s">
        <v>6759</v>
      </c>
      <c r="G2979" s="154">
        <v>5.66821798E8</v>
      </c>
      <c r="H2979" s="156">
        <v>0.0</v>
      </c>
      <c r="I2979" s="154">
        <v>5.66821798E8</v>
      </c>
      <c r="J2979" s="156">
        <v>0.0</v>
      </c>
      <c r="K2979" s="154" t="s">
        <v>1059</v>
      </c>
    </row>
    <row r="2980">
      <c r="A2980" s="154" t="s">
        <v>6760</v>
      </c>
      <c r="B2980" s="155"/>
      <c r="C2980" s="154" t="s">
        <v>6761</v>
      </c>
      <c r="D2980" s="155"/>
      <c r="E2980" s="155"/>
      <c r="F2980" s="154" t="s">
        <v>6762</v>
      </c>
      <c r="G2980" s="156">
        <v>0.0</v>
      </c>
      <c r="H2980" s="154" t="s">
        <v>6763</v>
      </c>
      <c r="I2980" s="154" t="s">
        <v>5362</v>
      </c>
      <c r="J2980" s="154" t="s">
        <v>6764</v>
      </c>
      <c r="K2980" s="154" t="s">
        <v>760</v>
      </c>
    </row>
    <row r="2981">
      <c r="A2981" s="154" t="s">
        <v>6760</v>
      </c>
      <c r="B2981" s="154" t="s">
        <v>6761</v>
      </c>
      <c r="D2981" s="154">
        <v>2.0</v>
      </c>
      <c r="E2981" s="154" t="s">
        <v>761</v>
      </c>
      <c r="F2981" s="154" t="s">
        <v>6762</v>
      </c>
      <c r="G2981" s="156">
        <v>0.0</v>
      </c>
      <c r="H2981" s="154" t="s">
        <v>6763</v>
      </c>
      <c r="I2981" s="154" t="s">
        <v>5362</v>
      </c>
      <c r="J2981" s="154" t="s">
        <v>6764</v>
      </c>
      <c r="K2981" s="154" t="s">
        <v>760</v>
      </c>
    </row>
    <row r="2982">
      <c r="A2982" s="154" t="s">
        <v>6765</v>
      </c>
      <c r="B2982" s="154" t="s">
        <v>6766</v>
      </c>
      <c r="D2982" s="154">
        <v>2.0</v>
      </c>
      <c r="E2982" s="154" t="s">
        <v>761</v>
      </c>
      <c r="F2982" s="154" t="s">
        <v>4963</v>
      </c>
      <c r="G2982" s="156">
        <v>0.0</v>
      </c>
      <c r="H2982" s="154" t="s">
        <v>4955</v>
      </c>
      <c r="I2982" s="154" t="s">
        <v>4964</v>
      </c>
      <c r="J2982" s="154" t="s">
        <v>4965</v>
      </c>
      <c r="K2982" s="154" t="s">
        <v>197</v>
      </c>
    </row>
    <row r="2983">
      <c r="A2983" s="154" t="s">
        <v>6765</v>
      </c>
      <c r="B2983" s="155"/>
      <c r="C2983" s="154" t="s">
        <v>6766</v>
      </c>
      <c r="D2983" s="155"/>
      <c r="E2983" s="155"/>
      <c r="F2983" s="154" t="s">
        <v>4963</v>
      </c>
      <c r="G2983" s="156">
        <v>0.0</v>
      </c>
      <c r="H2983" s="154" t="s">
        <v>4955</v>
      </c>
      <c r="I2983" s="154" t="s">
        <v>4964</v>
      </c>
      <c r="J2983" s="154" t="s">
        <v>4965</v>
      </c>
      <c r="K2983" s="154" t="s">
        <v>197</v>
      </c>
    </row>
    <row r="2984">
      <c r="A2984" s="154" t="s">
        <v>6767</v>
      </c>
      <c r="B2984" s="154" t="s">
        <v>6768</v>
      </c>
      <c r="D2984" s="154">
        <v>2.0</v>
      </c>
      <c r="E2984" s="154" t="s">
        <v>761</v>
      </c>
      <c r="F2984" s="154" t="s">
        <v>6769</v>
      </c>
      <c r="G2984" s="154">
        <v>1.5133369794E10</v>
      </c>
      <c r="H2984" s="156">
        <v>0.0</v>
      </c>
      <c r="I2984" s="154">
        <v>9.71507257155E11</v>
      </c>
      <c r="J2984" s="156">
        <v>0.0</v>
      </c>
      <c r="K2984" s="154" t="s">
        <v>1059</v>
      </c>
    </row>
    <row r="2985">
      <c r="A2985" s="154" t="s">
        <v>6767</v>
      </c>
      <c r="B2985" s="155"/>
      <c r="C2985" s="154" t="s">
        <v>6768</v>
      </c>
      <c r="D2985" s="155"/>
      <c r="E2985" s="155"/>
      <c r="F2985" s="154" t="s">
        <v>6769</v>
      </c>
      <c r="G2985" s="154">
        <v>1.5133369794E10</v>
      </c>
      <c r="H2985" s="156">
        <v>0.0</v>
      </c>
      <c r="I2985" s="154">
        <v>9.71507257155E11</v>
      </c>
      <c r="J2985" s="156">
        <v>0.0</v>
      </c>
      <c r="K2985" s="154" t="s">
        <v>1059</v>
      </c>
    </row>
    <row r="2986">
      <c r="A2986" s="154" t="s">
        <v>6770</v>
      </c>
      <c r="B2986" s="155"/>
      <c r="C2986" s="154" t="s">
        <v>6771</v>
      </c>
      <c r="D2986" s="155"/>
      <c r="E2986" s="155"/>
      <c r="F2986" s="154" t="s">
        <v>6772</v>
      </c>
      <c r="G2986" s="154">
        <v>0.0</v>
      </c>
      <c r="H2986" s="156">
        <v>0.0</v>
      </c>
      <c r="I2986" s="154">
        <v>9.7150654557E11</v>
      </c>
      <c r="J2986" s="156">
        <v>0.0</v>
      </c>
      <c r="K2986" s="154" t="s">
        <v>361</v>
      </c>
    </row>
    <row r="2987">
      <c r="A2987" s="154" t="s">
        <v>6770</v>
      </c>
      <c r="B2987" s="154" t="s">
        <v>6771</v>
      </c>
      <c r="D2987" s="154">
        <v>2.0</v>
      </c>
      <c r="E2987" s="154" t="s">
        <v>761</v>
      </c>
      <c r="F2987" s="154" t="s">
        <v>6772</v>
      </c>
      <c r="G2987" s="154">
        <v>0.0</v>
      </c>
      <c r="H2987" s="156">
        <v>0.0</v>
      </c>
      <c r="I2987" s="154">
        <v>9.7150654557E11</v>
      </c>
      <c r="J2987" s="156">
        <v>0.0</v>
      </c>
      <c r="K2987" s="154" t="s">
        <v>361</v>
      </c>
    </row>
    <row r="2988">
      <c r="A2988" s="154" t="s">
        <v>6773</v>
      </c>
      <c r="B2988" s="155"/>
      <c r="C2988" s="154" t="s">
        <v>6774</v>
      </c>
      <c r="D2988" s="155"/>
      <c r="E2988" s="155"/>
      <c r="F2988" s="154" t="s">
        <v>6775</v>
      </c>
      <c r="G2988" s="154">
        <v>5.03008305E8</v>
      </c>
      <c r="H2988" s="156">
        <v>0.0</v>
      </c>
      <c r="I2988" s="156">
        <v>0.0</v>
      </c>
      <c r="J2988" s="156">
        <v>0.0</v>
      </c>
      <c r="K2988" s="154" t="s">
        <v>361</v>
      </c>
    </row>
    <row r="2989">
      <c r="A2989" s="154" t="s">
        <v>6773</v>
      </c>
      <c r="B2989" s="154" t="s">
        <v>6774</v>
      </c>
      <c r="D2989" s="154">
        <v>2.0</v>
      </c>
      <c r="E2989" s="154" t="s">
        <v>761</v>
      </c>
      <c r="F2989" s="154" t="s">
        <v>6775</v>
      </c>
      <c r="G2989" s="154">
        <v>5.03008305E8</v>
      </c>
      <c r="H2989" s="156">
        <v>0.0</v>
      </c>
      <c r="I2989" s="156">
        <v>0.0</v>
      </c>
      <c r="J2989" s="156">
        <v>0.0</v>
      </c>
      <c r="K2989" s="154" t="s">
        <v>361</v>
      </c>
    </row>
    <row r="2990">
      <c r="A2990" s="154" t="s">
        <v>6776</v>
      </c>
      <c r="B2990" s="155"/>
      <c r="C2990" s="154" t="s">
        <v>6777</v>
      </c>
      <c r="D2990" s="155"/>
      <c r="E2990" s="155"/>
      <c r="F2990" s="154" t="s">
        <v>6778</v>
      </c>
      <c r="G2990" s="154">
        <v>4.3843104E7</v>
      </c>
      <c r="H2990" s="156">
        <v>0.0</v>
      </c>
      <c r="I2990" s="154">
        <v>5.55966408E8</v>
      </c>
      <c r="J2990" s="156">
        <v>0.0</v>
      </c>
      <c r="K2990" s="154" t="s">
        <v>1874</v>
      </c>
    </row>
    <row r="2991">
      <c r="A2991" s="154" t="s">
        <v>6776</v>
      </c>
      <c r="B2991" s="154" t="s">
        <v>6777</v>
      </c>
      <c r="D2991" s="154">
        <v>2.0</v>
      </c>
      <c r="E2991" s="154" t="s">
        <v>761</v>
      </c>
      <c r="F2991" s="154" t="s">
        <v>6778</v>
      </c>
      <c r="G2991" s="154">
        <v>4.3843104E7</v>
      </c>
      <c r="H2991" s="156">
        <v>0.0</v>
      </c>
      <c r="I2991" s="154">
        <v>5.55966408E8</v>
      </c>
      <c r="J2991" s="156">
        <v>0.0</v>
      </c>
      <c r="K2991" s="154" t="s">
        <v>1874</v>
      </c>
    </row>
    <row r="2992">
      <c r="A2992" s="154" t="s">
        <v>6779</v>
      </c>
      <c r="B2992" s="154" t="s">
        <v>6780</v>
      </c>
      <c r="D2992" s="154">
        <v>2.0</v>
      </c>
      <c r="E2992" s="154" t="s">
        <v>761</v>
      </c>
      <c r="F2992" s="154" t="s">
        <v>1477</v>
      </c>
      <c r="G2992" s="156">
        <v>0.0</v>
      </c>
      <c r="H2992" s="156">
        <v>0.0</v>
      </c>
      <c r="I2992" s="154">
        <v>5.0645124E8</v>
      </c>
      <c r="J2992" s="156">
        <v>0.0</v>
      </c>
      <c r="K2992" s="154" t="s">
        <v>776</v>
      </c>
    </row>
    <row r="2993">
      <c r="A2993" s="154" t="s">
        <v>6779</v>
      </c>
      <c r="B2993" s="155"/>
      <c r="C2993" s="154" t="s">
        <v>6780</v>
      </c>
      <c r="D2993" s="155"/>
      <c r="E2993" s="155"/>
      <c r="F2993" s="154" t="s">
        <v>1477</v>
      </c>
      <c r="G2993" s="156">
        <v>0.0</v>
      </c>
      <c r="H2993" s="156">
        <v>0.0</v>
      </c>
      <c r="I2993" s="154">
        <v>5.0645124E8</v>
      </c>
      <c r="J2993" s="156">
        <v>0.0</v>
      </c>
      <c r="K2993" s="154" t="s">
        <v>776</v>
      </c>
    </row>
    <row r="2994">
      <c r="A2994" s="154" t="s">
        <v>6781</v>
      </c>
      <c r="B2994" s="155"/>
      <c r="C2994" s="154" t="s">
        <v>6782</v>
      </c>
      <c r="D2994" s="155"/>
      <c r="E2994" s="155"/>
      <c r="F2994" s="154" t="s">
        <v>6783</v>
      </c>
      <c r="G2994" s="154">
        <v>5.06666782E8</v>
      </c>
      <c r="H2994" s="156">
        <v>0.0</v>
      </c>
      <c r="I2994" s="154" t="s">
        <v>6784</v>
      </c>
      <c r="J2994" s="154" t="s">
        <v>6785</v>
      </c>
      <c r="K2994" s="154" t="s">
        <v>923</v>
      </c>
    </row>
    <row r="2995">
      <c r="A2995" s="154" t="s">
        <v>6781</v>
      </c>
      <c r="B2995" s="154" t="s">
        <v>6782</v>
      </c>
      <c r="D2995" s="154">
        <v>2.0</v>
      </c>
      <c r="E2995" s="154" t="s">
        <v>761</v>
      </c>
      <c r="F2995" s="154" t="s">
        <v>6783</v>
      </c>
      <c r="G2995" s="154">
        <v>5.06666782E8</v>
      </c>
      <c r="H2995" s="156">
        <v>0.0</v>
      </c>
      <c r="I2995" s="154" t="s">
        <v>6784</v>
      </c>
      <c r="J2995" s="154" t="s">
        <v>6785</v>
      </c>
      <c r="K2995" s="154" t="s">
        <v>923</v>
      </c>
    </row>
    <row r="2996">
      <c r="A2996" s="154" t="s">
        <v>6786</v>
      </c>
      <c r="B2996" s="154" t="s">
        <v>6787</v>
      </c>
      <c r="D2996" s="154">
        <v>2.0</v>
      </c>
      <c r="E2996" s="154" t="s">
        <v>761</v>
      </c>
      <c r="F2996" s="154" t="s">
        <v>6783</v>
      </c>
      <c r="G2996" s="154">
        <v>5.06666782E8</v>
      </c>
      <c r="H2996" s="156">
        <v>0.0</v>
      </c>
      <c r="I2996" s="154" t="s">
        <v>6784</v>
      </c>
      <c r="J2996" s="154" t="s">
        <v>6785</v>
      </c>
      <c r="K2996" s="154" t="s">
        <v>923</v>
      </c>
    </row>
    <row r="2997">
      <c r="A2997" s="154" t="s">
        <v>6786</v>
      </c>
      <c r="B2997" s="155"/>
      <c r="C2997" s="154" t="s">
        <v>6787</v>
      </c>
      <c r="D2997" s="155"/>
      <c r="E2997" s="155"/>
      <c r="F2997" s="154" t="s">
        <v>6783</v>
      </c>
      <c r="G2997" s="154">
        <v>5.06666782E8</v>
      </c>
      <c r="H2997" s="156">
        <v>0.0</v>
      </c>
      <c r="I2997" s="154" t="s">
        <v>6784</v>
      </c>
      <c r="J2997" s="154" t="s">
        <v>6785</v>
      </c>
      <c r="K2997" s="154" t="s">
        <v>923</v>
      </c>
    </row>
    <row r="2998">
      <c r="A2998" s="154" t="s">
        <v>6788</v>
      </c>
      <c r="B2998" s="154" t="s">
        <v>6789</v>
      </c>
      <c r="D2998" s="154">
        <v>2.0</v>
      </c>
      <c r="E2998" s="154" t="s">
        <v>761</v>
      </c>
      <c r="F2998" s="154" t="s">
        <v>4302</v>
      </c>
      <c r="G2998" s="154">
        <v>4.3629342E7</v>
      </c>
      <c r="H2998" s="156">
        <v>0.0</v>
      </c>
      <c r="I2998" s="154">
        <v>9.71506523116E11</v>
      </c>
      <c r="J2998" s="156">
        <v>0.0</v>
      </c>
      <c r="K2998" s="154" t="s">
        <v>361</v>
      </c>
    </row>
    <row r="2999">
      <c r="A2999" s="154" t="s">
        <v>6788</v>
      </c>
      <c r="B2999" s="155"/>
      <c r="C2999" s="154" t="s">
        <v>6789</v>
      </c>
      <c r="D2999" s="155"/>
      <c r="E2999" s="155"/>
      <c r="F2999" s="154" t="s">
        <v>4302</v>
      </c>
      <c r="G2999" s="154">
        <v>4.3629342E7</v>
      </c>
      <c r="H2999" s="156">
        <v>0.0</v>
      </c>
      <c r="I2999" s="154">
        <v>9.71506523116E11</v>
      </c>
      <c r="J2999" s="156">
        <v>0.0</v>
      </c>
      <c r="K2999" s="154" t="s">
        <v>361</v>
      </c>
    </row>
    <row r="3000">
      <c r="A3000" s="154" t="s">
        <v>6790</v>
      </c>
      <c r="B3000" s="154" t="s">
        <v>6791</v>
      </c>
      <c r="D3000" s="154">
        <v>2.0</v>
      </c>
      <c r="E3000" s="154" t="s">
        <v>761</v>
      </c>
      <c r="F3000" s="154" t="s">
        <v>6792</v>
      </c>
      <c r="G3000" s="156">
        <v>0.0</v>
      </c>
      <c r="H3000" s="154" t="s">
        <v>6793</v>
      </c>
      <c r="I3000" s="154" t="s">
        <v>6794</v>
      </c>
      <c r="J3000" s="154" t="s">
        <v>6795</v>
      </c>
      <c r="K3000" s="154" t="s">
        <v>789</v>
      </c>
    </row>
    <row r="3001">
      <c r="A3001" s="154" t="s">
        <v>6790</v>
      </c>
      <c r="B3001" s="155"/>
      <c r="C3001" s="154" t="s">
        <v>6791</v>
      </c>
      <c r="D3001" s="155"/>
      <c r="E3001" s="155"/>
      <c r="F3001" s="154" t="s">
        <v>6792</v>
      </c>
      <c r="G3001" s="156">
        <v>0.0</v>
      </c>
      <c r="H3001" s="154" t="s">
        <v>6793</v>
      </c>
      <c r="I3001" s="154" t="s">
        <v>6794</v>
      </c>
      <c r="J3001" s="154" t="s">
        <v>6795</v>
      </c>
      <c r="K3001" s="154" t="s">
        <v>789</v>
      </c>
    </row>
    <row r="3002">
      <c r="A3002" s="154" t="s">
        <v>6796</v>
      </c>
      <c r="B3002" s="154" t="s">
        <v>6797</v>
      </c>
      <c r="D3002" s="154">
        <v>2.0</v>
      </c>
      <c r="E3002" s="154" t="s">
        <v>761</v>
      </c>
      <c r="F3002" s="154" t="s">
        <v>6798</v>
      </c>
      <c r="G3002" s="154">
        <v>5.56183026E8</v>
      </c>
      <c r="H3002" s="156">
        <v>0.0</v>
      </c>
      <c r="I3002" s="156">
        <v>0.0</v>
      </c>
      <c r="J3002" s="156">
        <v>0.0</v>
      </c>
      <c r="K3002" s="154" t="s">
        <v>259</v>
      </c>
    </row>
    <row r="3003">
      <c r="A3003" s="154" t="s">
        <v>6796</v>
      </c>
      <c r="B3003" s="155"/>
      <c r="C3003" s="154" t="s">
        <v>6797</v>
      </c>
      <c r="D3003" s="155"/>
      <c r="E3003" s="155"/>
      <c r="F3003" s="154" t="s">
        <v>6798</v>
      </c>
      <c r="G3003" s="154">
        <v>5.56183026E8</v>
      </c>
      <c r="H3003" s="156">
        <v>0.0</v>
      </c>
      <c r="I3003" s="156">
        <v>0.0</v>
      </c>
      <c r="J3003" s="156">
        <v>0.0</v>
      </c>
      <c r="K3003" s="154" t="s">
        <v>259</v>
      </c>
    </row>
    <row r="3004">
      <c r="A3004" s="154" t="s">
        <v>6799</v>
      </c>
      <c r="B3004" s="154" t="s">
        <v>6800</v>
      </c>
      <c r="D3004" s="154">
        <v>2.0</v>
      </c>
      <c r="E3004" s="154" t="s">
        <v>761</v>
      </c>
      <c r="F3004" s="154" t="s">
        <v>6801</v>
      </c>
      <c r="G3004" s="156">
        <v>0.0</v>
      </c>
      <c r="H3004" s="154" t="s">
        <v>6802</v>
      </c>
      <c r="I3004" s="154" t="s">
        <v>6803</v>
      </c>
      <c r="J3004" s="156">
        <v>0.0</v>
      </c>
      <c r="K3004" s="154" t="s">
        <v>1426</v>
      </c>
    </row>
    <row r="3005">
      <c r="A3005" s="154" t="s">
        <v>6799</v>
      </c>
      <c r="B3005" s="155"/>
      <c r="C3005" s="154" t="s">
        <v>6800</v>
      </c>
      <c r="D3005" s="155"/>
      <c r="E3005" s="155"/>
      <c r="F3005" s="154" t="s">
        <v>6801</v>
      </c>
      <c r="G3005" s="156">
        <v>0.0</v>
      </c>
      <c r="H3005" s="154" t="s">
        <v>6802</v>
      </c>
      <c r="I3005" s="154" t="s">
        <v>6803</v>
      </c>
      <c r="J3005" s="156">
        <v>0.0</v>
      </c>
      <c r="K3005" s="154" t="s">
        <v>1426</v>
      </c>
    </row>
    <row r="3006">
      <c r="A3006" s="154" t="s">
        <v>6804</v>
      </c>
      <c r="B3006" s="154" t="s">
        <v>6805</v>
      </c>
      <c r="D3006" s="154">
        <v>2.0</v>
      </c>
      <c r="E3006" s="154" t="s">
        <v>761</v>
      </c>
      <c r="F3006" s="154" t="s">
        <v>6806</v>
      </c>
      <c r="G3006" s="154">
        <v>4174400.0</v>
      </c>
      <c r="H3006" s="156">
        <v>0.0</v>
      </c>
      <c r="I3006" s="154">
        <v>5.06673207E8</v>
      </c>
      <c r="J3006" s="156">
        <v>0.0</v>
      </c>
      <c r="K3006" s="154" t="s">
        <v>259</v>
      </c>
    </row>
    <row r="3007">
      <c r="A3007" s="154" t="s">
        <v>6804</v>
      </c>
      <c r="B3007" s="155"/>
      <c r="C3007" s="154" t="s">
        <v>6805</v>
      </c>
      <c r="D3007" s="155"/>
      <c r="E3007" s="155"/>
      <c r="F3007" s="154" t="s">
        <v>6806</v>
      </c>
      <c r="G3007" s="154">
        <v>4174400.0</v>
      </c>
      <c r="H3007" s="156">
        <v>0.0</v>
      </c>
      <c r="I3007" s="154">
        <v>5.06673207E8</v>
      </c>
      <c r="J3007" s="156">
        <v>0.0</v>
      </c>
      <c r="K3007" s="154" t="s">
        <v>259</v>
      </c>
    </row>
    <row r="3008">
      <c r="A3008" s="154" t="s">
        <v>6807</v>
      </c>
      <c r="B3008" s="155"/>
      <c r="C3008" s="154" t="s">
        <v>6808</v>
      </c>
      <c r="D3008" s="155"/>
      <c r="E3008" s="155"/>
      <c r="F3008" s="154" t="s">
        <v>921</v>
      </c>
      <c r="G3008" s="154" t="s">
        <v>922</v>
      </c>
      <c r="H3008" s="156">
        <v>0.0</v>
      </c>
      <c r="I3008" s="154">
        <v>9.71504486581E11</v>
      </c>
      <c r="J3008" s="156">
        <v>0.0</v>
      </c>
      <c r="K3008" s="154" t="s">
        <v>923</v>
      </c>
    </row>
    <row r="3009">
      <c r="A3009" s="154" t="s">
        <v>6807</v>
      </c>
      <c r="B3009" s="154" t="s">
        <v>6808</v>
      </c>
      <c r="D3009" s="154">
        <v>2.0</v>
      </c>
      <c r="E3009" s="154" t="s">
        <v>761</v>
      </c>
      <c r="F3009" s="154" t="s">
        <v>921</v>
      </c>
      <c r="G3009" s="154" t="s">
        <v>922</v>
      </c>
      <c r="H3009" s="156">
        <v>0.0</v>
      </c>
      <c r="I3009" s="154">
        <v>9.71504486581E11</v>
      </c>
      <c r="J3009" s="156">
        <v>0.0</v>
      </c>
      <c r="K3009" s="154" t="s">
        <v>923</v>
      </c>
    </row>
    <row r="3010">
      <c r="A3010" s="154" t="s">
        <v>6809</v>
      </c>
      <c r="B3010" s="155"/>
      <c r="C3010" s="154" t="s">
        <v>6810</v>
      </c>
      <c r="D3010" s="155"/>
      <c r="E3010" s="155"/>
      <c r="F3010" s="154" t="s">
        <v>6811</v>
      </c>
      <c r="G3010" s="154">
        <v>5.59418517E8</v>
      </c>
      <c r="H3010" s="156">
        <v>0.0</v>
      </c>
      <c r="I3010" s="156">
        <v>0.0</v>
      </c>
      <c r="J3010" s="156">
        <v>0.0</v>
      </c>
      <c r="K3010" s="154" t="s">
        <v>259</v>
      </c>
    </row>
    <row r="3011">
      <c r="A3011" s="154" t="s">
        <v>6809</v>
      </c>
      <c r="B3011" s="154" t="s">
        <v>6810</v>
      </c>
      <c r="D3011" s="154">
        <v>2.0</v>
      </c>
      <c r="E3011" s="154" t="s">
        <v>761</v>
      </c>
      <c r="F3011" s="154" t="s">
        <v>6811</v>
      </c>
      <c r="G3011" s="154">
        <v>5.59418517E8</v>
      </c>
      <c r="H3011" s="156">
        <v>0.0</v>
      </c>
      <c r="I3011" s="156">
        <v>0.0</v>
      </c>
      <c r="J3011" s="156">
        <v>0.0</v>
      </c>
      <c r="K3011" s="154" t="s">
        <v>259</v>
      </c>
    </row>
    <row r="3012">
      <c r="A3012" s="154" t="s">
        <v>6812</v>
      </c>
      <c r="B3012" s="155"/>
      <c r="C3012" s="154" t="s">
        <v>6813</v>
      </c>
      <c r="D3012" s="155"/>
      <c r="E3012" s="155"/>
      <c r="F3012" s="154" t="s">
        <v>6814</v>
      </c>
      <c r="G3012" s="154">
        <v>4.8812222E7</v>
      </c>
      <c r="H3012" s="156">
        <v>0.0</v>
      </c>
      <c r="I3012" s="154">
        <v>9.71502033989E11</v>
      </c>
      <c r="J3012" s="156">
        <v>0.0</v>
      </c>
      <c r="K3012" s="154" t="s">
        <v>846</v>
      </c>
    </row>
    <row r="3013">
      <c r="A3013" s="154" t="s">
        <v>6812</v>
      </c>
      <c r="B3013" s="154" t="s">
        <v>6813</v>
      </c>
      <c r="C3013" s="155"/>
      <c r="D3013" s="154">
        <v>2.0</v>
      </c>
      <c r="E3013" s="154" t="s">
        <v>897</v>
      </c>
      <c r="F3013" s="154" t="s">
        <v>6814</v>
      </c>
      <c r="G3013" s="154">
        <v>4.8812222E7</v>
      </c>
      <c r="H3013" s="156">
        <v>0.0</v>
      </c>
      <c r="I3013" s="154">
        <v>9.71502033989E11</v>
      </c>
      <c r="J3013" s="156">
        <v>0.0</v>
      </c>
      <c r="K3013" s="154" t="s">
        <v>846</v>
      </c>
    </row>
    <row r="3014">
      <c r="A3014" s="154" t="s">
        <v>6815</v>
      </c>
      <c r="B3014" s="154" t="s">
        <v>6816</v>
      </c>
      <c r="C3014" s="155"/>
      <c r="D3014" s="154">
        <v>2.0</v>
      </c>
      <c r="E3014" s="154" t="s">
        <v>897</v>
      </c>
      <c r="F3014" s="154" t="s">
        <v>6817</v>
      </c>
      <c r="G3014" s="156">
        <v>0.0</v>
      </c>
      <c r="H3014" s="154" t="s">
        <v>6818</v>
      </c>
      <c r="I3014" s="154" t="s">
        <v>6819</v>
      </c>
      <c r="J3014" s="154" t="s">
        <v>6820</v>
      </c>
      <c r="K3014" s="154" t="s">
        <v>361</v>
      </c>
    </row>
    <row r="3015">
      <c r="A3015" s="154" t="s">
        <v>6815</v>
      </c>
      <c r="B3015" s="155"/>
      <c r="C3015" s="154" t="s">
        <v>6816</v>
      </c>
      <c r="D3015" s="155"/>
      <c r="E3015" s="155"/>
      <c r="F3015" s="154" t="s">
        <v>6817</v>
      </c>
      <c r="G3015" s="156">
        <v>0.0</v>
      </c>
      <c r="H3015" s="154" t="s">
        <v>6818</v>
      </c>
      <c r="I3015" s="154" t="s">
        <v>6819</v>
      </c>
      <c r="J3015" s="154" t="s">
        <v>6820</v>
      </c>
      <c r="K3015" s="154" t="s">
        <v>361</v>
      </c>
    </row>
    <row r="3016">
      <c r="A3016" s="154" t="s">
        <v>6821</v>
      </c>
      <c r="B3016" s="154" t="s">
        <v>6822</v>
      </c>
      <c r="C3016" s="155"/>
      <c r="D3016" s="154">
        <v>2.0</v>
      </c>
      <c r="E3016" s="154" t="s">
        <v>897</v>
      </c>
      <c r="F3016" s="154" t="s">
        <v>6823</v>
      </c>
      <c r="G3016" s="154">
        <v>4.2269763E7</v>
      </c>
      <c r="H3016" s="154" t="s">
        <v>6824</v>
      </c>
      <c r="I3016" s="154">
        <v>9.71506450372E11</v>
      </c>
      <c r="J3016" s="156">
        <v>0.0</v>
      </c>
      <c r="K3016" s="154" t="s">
        <v>361</v>
      </c>
    </row>
    <row r="3017">
      <c r="A3017" s="154" t="s">
        <v>6821</v>
      </c>
      <c r="B3017" s="155"/>
      <c r="C3017" s="154" t="s">
        <v>6822</v>
      </c>
      <c r="D3017" s="155"/>
      <c r="E3017" s="155"/>
      <c r="F3017" s="154" t="s">
        <v>6823</v>
      </c>
      <c r="G3017" s="154">
        <v>4.2269763E7</v>
      </c>
      <c r="H3017" s="154" t="s">
        <v>6824</v>
      </c>
      <c r="I3017" s="154">
        <v>9.71506450372E11</v>
      </c>
      <c r="J3017" s="156">
        <v>0.0</v>
      </c>
      <c r="K3017" s="154" t="s">
        <v>361</v>
      </c>
    </row>
    <row r="3018">
      <c r="A3018" s="154" t="s">
        <v>6825</v>
      </c>
      <c r="B3018" s="154" t="s">
        <v>6826</v>
      </c>
      <c r="C3018" s="155"/>
      <c r="D3018" s="154">
        <v>2.0</v>
      </c>
      <c r="E3018" s="154" t="s">
        <v>897</v>
      </c>
      <c r="F3018" s="154" t="s">
        <v>6827</v>
      </c>
      <c r="G3018" s="154" t="s">
        <v>6828</v>
      </c>
      <c r="H3018" s="156">
        <v>0.0</v>
      </c>
      <c r="I3018" s="154">
        <v>9.71506225211E11</v>
      </c>
      <c r="J3018" s="156">
        <v>0.0</v>
      </c>
      <c r="K3018" s="154" t="s">
        <v>760</v>
      </c>
    </row>
    <row r="3019">
      <c r="A3019" s="154" t="s">
        <v>6825</v>
      </c>
      <c r="B3019" s="155"/>
      <c r="C3019" s="154" t="s">
        <v>6826</v>
      </c>
      <c r="D3019" s="155"/>
      <c r="E3019" s="155"/>
      <c r="F3019" s="154" t="s">
        <v>6827</v>
      </c>
      <c r="G3019" s="154" t="s">
        <v>6828</v>
      </c>
      <c r="H3019" s="156">
        <v>0.0</v>
      </c>
      <c r="I3019" s="154">
        <v>9.71506225211E11</v>
      </c>
      <c r="J3019" s="156">
        <v>0.0</v>
      </c>
      <c r="K3019" s="154" t="s">
        <v>760</v>
      </c>
    </row>
    <row r="3020">
      <c r="A3020" s="154" t="s">
        <v>6829</v>
      </c>
      <c r="B3020" s="154" t="s">
        <v>6830</v>
      </c>
      <c r="C3020" s="155"/>
      <c r="D3020" s="154">
        <v>2.0</v>
      </c>
      <c r="E3020" s="154" t="s">
        <v>897</v>
      </c>
      <c r="F3020" s="154" t="s">
        <v>6831</v>
      </c>
      <c r="G3020" s="156">
        <v>0.0</v>
      </c>
      <c r="H3020" s="156">
        <v>0.0</v>
      </c>
      <c r="I3020" s="154" t="s">
        <v>6832</v>
      </c>
      <c r="J3020" s="154" t="s">
        <v>6833</v>
      </c>
      <c r="K3020" s="154" t="s">
        <v>301</v>
      </c>
    </row>
    <row r="3021">
      <c r="A3021" s="154" t="s">
        <v>6829</v>
      </c>
      <c r="B3021" s="155"/>
      <c r="C3021" s="154" t="s">
        <v>6830</v>
      </c>
      <c r="D3021" s="155"/>
      <c r="E3021" s="155"/>
      <c r="F3021" s="154" t="s">
        <v>6831</v>
      </c>
      <c r="G3021" s="156">
        <v>0.0</v>
      </c>
      <c r="H3021" s="156">
        <v>0.0</v>
      </c>
      <c r="I3021" s="154" t="s">
        <v>6832</v>
      </c>
      <c r="J3021" s="154" t="s">
        <v>6833</v>
      </c>
      <c r="K3021" s="154" t="s">
        <v>301</v>
      </c>
    </row>
    <row r="3022">
      <c r="A3022" s="154" t="s">
        <v>6834</v>
      </c>
      <c r="B3022" s="154" t="s">
        <v>6835</v>
      </c>
      <c r="C3022" s="155"/>
      <c r="D3022" s="154">
        <v>2.0</v>
      </c>
      <c r="E3022" s="154" t="s">
        <v>897</v>
      </c>
      <c r="F3022" s="154" t="s">
        <v>6836</v>
      </c>
      <c r="G3022" s="156">
        <v>0.0</v>
      </c>
      <c r="H3022" s="154" t="s">
        <v>6837</v>
      </c>
      <c r="I3022" s="154" t="s">
        <v>6838</v>
      </c>
      <c r="J3022" s="154" t="s">
        <v>6839</v>
      </c>
      <c r="K3022" s="154" t="s">
        <v>247</v>
      </c>
    </row>
    <row r="3023">
      <c r="A3023" s="154" t="s">
        <v>6834</v>
      </c>
      <c r="B3023" s="155"/>
      <c r="C3023" s="154" t="s">
        <v>6835</v>
      </c>
      <c r="D3023" s="155"/>
      <c r="E3023" s="155"/>
      <c r="F3023" s="154" t="s">
        <v>6836</v>
      </c>
      <c r="G3023" s="156">
        <v>0.0</v>
      </c>
      <c r="H3023" s="154" t="s">
        <v>6837</v>
      </c>
      <c r="I3023" s="154" t="s">
        <v>6838</v>
      </c>
      <c r="J3023" s="154" t="s">
        <v>6839</v>
      </c>
      <c r="K3023" s="154" t="s">
        <v>247</v>
      </c>
    </row>
    <row r="3024">
      <c r="A3024" s="154" t="s">
        <v>6840</v>
      </c>
      <c r="B3024" s="155"/>
      <c r="C3024" s="154" t="s">
        <v>6841</v>
      </c>
      <c r="D3024" s="155"/>
      <c r="E3024" s="155"/>
      <c r="F3024" s="154" t="s">
        <v>6842</v>
      </c>
      <c r="G3024" s="156">
        <v>0.0</v>
      </c>
      <c r="H3024" s="154" t="s">
        <v>6843</v>
      </c>
      <c r="I3024" s="154" t="s">
        <v>6844</v>
      </c>
      <c r="J3024" s="154" t="s">
        <v>6845</v>
      </c>
      <c r="K3024" s="154" t="s">
        <v>223</v>
      </c>
    </row>
    <row r="3025">
      <c r="A3025" s="154" t="s">
        <v>6840</v>
      </c>
      <c r="B3025" s="154" t="s">
        <v>6841</v>
      </c>
      <c r="C3025" s="155"/>
      <c r="D3025" s="154">
        <v>2.0</v>
      </c>
      <c r="E3025" s="154" t="s">
        <v>897</v>
      </c>
      <c r="F3025" s="154" t="s">
        <v>6846</v>
      </c>
      <c r="G3025" s="156">
        <v>0.0</v>
      </c>
      <c r="H3025" s="154" t="s">
        <v>6843</v>
      </c>
      <c r="I3025" s="154" t="s">
        <v>6844</v>
      </c>
      <c r="J3025" s="154" t="s">
        <v>6845</v>
      </c>
      <c r="K3025" s="154" t="s">
        <v>223</v>
      </c>
    </row>
    <row r="3026">
      <c r="A3026" s="154" t="s">
        <v>6847</v>
      </c>
      <c r="B3026" s="155"/>
      <c r="C3026" s="154" t="s">
        <v>6848</v>
      </c>
      <c r="D3026" s="155"/>
      <c r="E3026" s="155"/>
      <c r="F3026" s="154" t="s">
        <v>6849</v>
      </c>
      <c r="G3026" s="154">
        <v>5.54325122E8</v>
      </c>
      <c r="H3026" s="156">
        <v>0.0</v>
      </c>
      <c r="I3026" s="154" t="s">
        <v>6850</v>
      </c>
      <c r="J3026" s="154" t="s">
        <v>6851</v>
      </c>
      <c r="K3026" s="154" t="s">
        <v>6852</v>
      </c>
    </row>
    <row r="3027">
      <c r="A3027" s="154" t="s">
        <v>6847</v>
      </c>
      <c r="B3027" s="154" t="s">
        <v>6848</v>
      </c>
      <c r="C3027" s="155"/>
      <c r="D3027" s="154">
        <v>2.0</v>
      </c>
      <c r="E3027" s="154" t="s">
        <v>897</v>
      </c>
      <c r="F3027" s="154" t="s">
        <v>6849</v>
      </c>
      <c r="G3027" s="154">
        <v>5.54325122E8</v>
      </c>
      <c r="H3027" s="156">
        <v>0.0</v>
      </c>
      <c r="I3027" s="154" t="s">
        <v>6850</v>
      </c>
      <c r="J3027" s="154" t="s">
        <v>6851</v>
      </c>
      <c r="K3027" s="154" t="s">
        <v>6852</v>
      </c>
    </row>
    <row r="3028">
      <c r="A3028" s="154" t="s">
        <v>6853</v>
      </c>
      <c r="B3028" s="154" t="s">
        <v>6854</v>
      </c>
      <c r="D3028" s="154">
        <v>2.0</v>
      </c>
      <c r="E3028" s="154" t="s">
        <v>897</v>
      </c>
      <c r="F3028" s="154" t="s">
        <v>1388</v>
      </c>
      <c r="G3028" s="156">
        <v>0.0</v>
      </c>
      <c r="H3028" s="156">
        <v>0.0</v>
      </c>
      <c r="I3028" s="154" t="s">
        <v>1389</v>
      </c>
      <c r="J3028" s="156">
        <v>0.0</v>
      </c>
      <c r="K3028" s="154" t="s">
        <v>361</v>
      </c>
    </row>
    <row r="3029">
      <c r="A3029" s="154" t="s">
        <v>6853</v>
      </c>
      <c r="B3029" s="155"/>
      <c r="C3029" s="154" t="s">
        <v>6855</v>
      </c>
      <c r="D3029" s="155"/>
      <c r="E3029" s="155"/>
      <c r="F3029" s="154" t="s">
        <v>1388</v>
      </c>
      <c r="G3029" s="156">
        <v>0.0</v>
      </c>
      <c r="H3029" s="156">
        <v>0.0</v>
      </c>
      <c r="I3029" s="154" t="s">
        <v>1389</v>
      </c>
      <c r="J3029" s="156">
        <v>0.0</v>
      </c>
      <c r="K3029" s="154" t="s">
        <v>361</v>
      </c>
    </row>
    <row r="3030">
      <c r="A3030" s="154" t="s">
        <v>6856</v>
      </c>
      <c r="B3030" s="155"/>
      <c r="C3030" s="154" t="s">
        <v>6857</v>
      </c>
      <c r="D3030" s="155"/>
      <c r="E3030" s="155"/>
      <c r="F3030" s="154" t="s">
        <v>6858</v>
      </c>
      <c r="G3030" s="156">
        <v>0.0</v>
      </c>
      <c r="H3030" s="156">
        <v>0.0</v>
      </c>
      <c r="I3030" s="154">
        <v>5.03459645E8</v>
      </c>
      <c r="J3030" s="156">
        <v>0.0</v>
      </c>
      <c r="K3030" s="154" t="s">
        <v>6859</v>
      </c>
    </row>
    <row r="3031">
      <c r="A3031" s="154" t="s">
        <v>6856</v>
      </c>
      <c r="B3031" s="154" t="s">
        <v>6860</v>
      </c>
      <c r="D3031" s="154">
        <v>2.0</v>
      </c>
      <c r="E3031" s="154" t="s">
        <v>897</v>
      </c>
      <c r="F3031" s="154" t="s">
        <v>6858</v>
      </c>
      <c r="G3031" s="156">
        <v>0.0</v>
      </c>
      <c r="H3031" s="156">
        <v>0.0</v>
      </c>
      <c r="I3031" s="154">
        <v>5.03459645E8</v>
      </c>
      <c r="J3031" s="156">
        <v>0.0</v>
      </c>
      <c r="K3031" s="154" t="s">
        <v>6859</v>
      </c>
    </row>
    <row r="3032">
      <c r="A3032" s="154" t="s">
        <v>6861</v>
      </c>
      <c r="B3032" s="155"/>
      <c r="C3032" s="154" t="s">
        <v>6862</v>
      </c>
      <c r="D3032" s="155"/>
      <c r="E3032" s="155"/>
      <c r="F3032" s="154" t="s">
        <v>3304</v>
      </c>
      <c r="G3032" s="154" t="s">
        <v>3305</v>
      </c>
      <c r="H3032" s="154" t="s">
        <v>3306</v>
      </c>
      <c r="I3032" s="154" t="s">
        <v>3307</v>
      </c>
      <c r="J3032" s="154" t="s">
        <v>3308</v>
      </c>
      <c r="K3032" s="154" t="s">
        <v>361</v>
      </c>
    </row>
    <row r="3033">
      <c r="A3033" s="154" t="s">
        <v>6861</v>
      </c>
      <c r="B3033" s="154" t="s">
        <v>6863</v>
      </c>
      <c r="D3033" s="154">
        <v>2.0</v>
      </c>
      <c r="E3033" s="154" t="s">
        <v>897</v>
      </c>
      <c r="F3033" s="154" t="s">
        <v>3304</v>
      </c>
      <c r="G3033" s="154" t="s">
        <v>3305</v>
      </c>
      <c r="H3033" s="154" t="s">
        <v>3306</v>
      </c>
      <c r="I3033" s="154" t="s">
        <v>3307</v>
      </c>
      <c r="J3033" s="154" t="s">
        <v>3308</v>
      </c>
      <c r="K3033" s="154" t="s">
        <v>361</v>
      </c>
    </row>
    <row r="3034">
      <c r="A3034" s="154" t="s">
        <v>6864</v>
      </c>
      <c r="B3034" s="154" t="s">
        <v>6865</v>
      </c>
      <c r="D3034" s="154">
        <v>2.0</v>
      </c>
      <c r="E3034" s="154" t="s">
        <v>897</v>
      </c>
      <c r="F3034" s="154" t="s">
        <v>1619</v>
      </c>
      <c r="G3034" s="154">
        <v>4.3903333E7</v>
      </c>
      <c r="H3034" s="154" t="s">
        <v>1620</v>
      </c>
      <c r="I3034" s="156">
        <v>0.0</v>
      </c>
      <c r="J3034" s="156">
        <v>0.0</v>
      </c>
      <c r="K3034" s="156">
        <v>0.0</v>
      </c>
    </row>
    <row r="3035">
      <c r="A3035" s="154" t="s">
        <v>6864</v>
      </c>
      <c r="B3035" s="155"/>
      <c r="C3035" s="154" t="s">
        <v>6866</v>
      </c>
      <c r="D3035" s="155"/>
      <c r="E3035" s="155"/>
      <c r="F3035" s="154" t="s">
        <v>6867</v>
      </c>
      <c r="G3035" s="156">
        <v>0.0</v>
      </c>
      <c r="H3035" s="154" t="s">
        <v>6868</v>
      </c>
      <c r="I3035" s="154" t="s">
        <v>6869</v>
      </c>
      <c r="J3035" s="156">
        <v>0.0</v>
      </c>
      <c r="K3035" s="154" t="s">
        <v>329</v>
      </c>
    </row>
    <row r="3036">
      <c r="A3036" s="154" t="s">
        <v>6870</v>
      </c>
      <c r="B3036" s="155"/>
      <c r="C3036" s="154" t="s">
        <v>6871</v>
      </c>
      <c r="D3036" s="155"/>
      <c r="E3036" s="155"/>
      <c r="F3036" s="154" t="s">
        <v>6872</v>
      </c>
      <c r="G3036" s="156">
        <v>0.0</v>
      </c>
      <c r="H3036" s="156">
        <v>0.0</v>
      </c>
      <c r="I3036" s="154" t="s">
        <v>6873</v>
      </c>
      <c r="J3036" s="154" t="s">
        <v>6874</v>
      </c>
      <c r="K3036" s="154" t="s">
        <v>361</v>
      </c>
    </row>
    <row r="3037">
      <c r="A3037" s="154" t="s">
        <v>6870</v>
      </c>
      <c r="B3037" s="154" t="s">
        <v>6875</v>
      </c>
      <c r="D3037" s="154">
        <v>2.0</v>
      </c>
      <c r="E3037" s="154" t="s">
        <v>897</v>
      </c>
      <c r="F3037" s="154" t="s">
        <v>6872</v>
      </c>
      <c r="G3037" s="156">
        <v>0.0</v>
      </c>
      <c r="H3037" s="156">
        <v>0.0</v>
      </c>
      <c r="I3037" s="154" t="s">
        <v>6873</v>
      </c>
      <c r="J3037" s="154" t="s">
        <v>6874</v>
      </c>
      <c r="K3037" s="154" t="s">
        <v>361</v>
      </c>
    </row>
    <row r="3038">
      <c r="A3038" s="154" t="s">
        <v>6876</v>
      </c>
      <c r="B3038" s="154" t="s">
        <v>6877</v>
      </c>
      <c r="D3038" s="154">
        <v>2.0</v>
      </c>
      <c r="E3038" s="154" t="s">
        <v>897</v>
      </c>
      <c r="F3038" s="154" t="s">
        <v>1349</v>
      </c>
      <c r="G3038" s="156">
        <v>0.0</v>
      </c>
      <c r="H3038" s="154" t="s">
        <v>1185</v>
      </c>
      <c r="I3038" s="154" t="s">
        <v>1350</v>
      </c>
      <c r="J3038" s="154" t="s">
        <v>1351</v>
      </c>
      <c r="K3038" s="154" t="s">
        <v>846</v>
      </c>
    </row>
    <row r="3039">
      <c r="A3039" s="154" t="s">
        <v>6876</v>
      </c>
      <c r="B3039" s="155"/>
      <c r="C3039" s="154" t="s">
        <v>6878</v>
      </c>
      <c r="D3039" s="155"/>
      <c r="E3039" s="155"/>
      <c r="F3039" s="154" t="s">
        <v>1349</v>
      </c>
      <c r="G3039" s="156">
        <v>0.0</v>
      </c>
      <c r="H3039" s="154" t="s">
        <v>1185</v>
      </c>
      <c r="I3039" s="154" t="s">
        <v>1350</v>
      </c>
      <c r="J3039" s="154" t="s">
        <v>1351</v>
      </c>
      <c r="K3039" s="154" t="s">
        <v>846</v>
      </c>
    </row>
    <row r="3040">
      <c r="A3040" s="154" t="s">
        <v>6879</v>
      </c>
      <c r="B3040" s="154" t="s">
        <v>6880</v>
      </c>
      <c r="D3040" s="154">
        <v>2.0</v>
      </c>
      <c r="E3040" s="154" t="s">
        <v>897</v>
      </c>
      <c r="F3040" s="154" t="s">
        <v>6881</v>
      </c>
      <c r="G3040" s="156">
        <v>0.0</v>
      </c>
      <c r="H3040" s="154" t="s">
        <v>3858</v>
      </c>
      <c r="I3040" s="154" t="s">
        <v>6882</v>
      </c>
      <c r="J3040" s="156">
        <v>0.0</v>
      </c>
      <c r="K3040" s="154" t="s">
        <v>197</v>
      </c>
    </row>
    <row r="3041">
      <c r="A3041" s="154" t="s">
        <v>6879</v>
      </c>
      <c r="B3041" s="155"/>
      <c r="C3041" s="154" t="s">
        <v>6883</v>
      </c>
      <c r="D3041" s="155"/>
      <c r="E3041" s="155"/>
      <c r="F3041" s="154" t="s">
        <v>6881</v>
      </c>
      <c r="G3041" s="156">
        <v>0.0</v>
      </c>
      <c r="H3041" s="154" t="s">
        <v>3858</v>
      </c>
      <c r="I3041" s="154" t="s">
        <v>6882</v>
      </c>
      <c r="J3041" s="156">
        <v>0.0</v>
      </c>
      <c r="K3041" s="154" t="s">
        <v>197</v>
      </c>
    </row>
    <row r="3042">
      <c r="A3042" s="154" t="s">
        <v>6884</v>
      </c>
      <c r="B3042" s="154" t="s">
        <v>6885</v>
      </c>
      <c r="D3042" s="154">
        <v>2.0</v>
      </c>
      <c r="E3042" s="154" t="s">
        <v>897</v>
      </c>
      <c r="F3042" s="154" t="s">
        <v>1619</v>
      </c>
      <c r="G3042" s="154">
        <v>4.3903333E7</v>
      </c>
      <c r="H3042" s="154" t="s">
        <v>1620</v>
      </c>
      <c r="I3042" s="156">
        <v>0.0</v>
      </c>
      <c r="J3042" s="156">
        <v>0.0</v>
      </c>
      <c r="K3042" s="156">
        <v>0.0</v>
      </c>
    </row>
    <row r="3043">
      <c r="A3043" s="154" t="s">
        <v>6884</v>
      </c>
      <c r="B3043" s="155"/>
      <c r="C3043" s="154" t="s">
        <v>6886</v>
      </c>
      <c r="D3043" s="155"/>
      <c r="E3043" s="155"/>
      <c r="F3043" s="154" t="s">
        <v>6887</v>
      </c>
      <c r="G3043" s="154" t="s">
        <v>6888</v>
      </c>
      <c r="H3043" s="154" t="s">
        <v>6889</v>
      </c>
      <c r="I3043" s="154" t="s">
        <v>6890</v>
      </c>
      <c r="J3043" s="154" t="s">
        <v>6891</v>
      </c>
      <c r="K3043" s="154" t="s">
        <v>207</v>
      </c>
    </row>
    <row r="3044">
      <c r="A3044" s="154" t="s">
        <v>6892</v>
      </c>
      <c r="B3044" s="154" t="s">
        <v>6893</v>
      </c>
      <c r="D3044" s="154">
        <v>2.0</v>
      </c>
      <c r="E3044" s="154" t="s">
        <v>897</v>
      </c>
      <c r="F3044" s="154" t="s">
        <v>1619</v>
      </c>
      <c r="G3044" s="154">
        <v>4.3903333E7</v>
      </c>
      <c r="H3044" s="154" t="s">
        <v>1620</v>
      </c>
      <c r="I3044" s="156">
        <v>0.0</v>
      </c>
      <c r="J3044" s="156">
        <v>0.0</v>
      </c>
      <c r="K3044" s="156">
        <v>0.0</v>
      </c>
    </row>
    <row r="3045">
      <c r="A3045" s="154" t="s">
        <v>6892</v>
      </c>
      <c r="B3045" s="155"/>
      <c r="C3045" s="154" t="s">
        <v>6894</v>
      </c>
      <c r="D3045" s="155"/>
      <c r="E3045" s="155"/>
      <c r="F3045" s="154" t="s">
        <v>6887</v>
      </c>
      <c r="G3045" s="154" t="s">
        <v>6888</v>
      </c>
      <c r="H3045" s="154" t="s">
        <v>6889</v>
      </c>
      <c r="I3045" s="154" t="s">
        <v>6890</v>
      </c>
      <c r="J3045" s="154" t="s">
        <v>6891</v>
      </c>
      <c r="K3045" s="154" t="s">
        <v>207</v>
      </c>
    </row>
    <row r="3046">
      <c r="A3046" s="154" t="s">
        <v>6895</v>
      </c>
      <c r="B3046" s="154" t="s">
        <v>6896</v>
      </c>
      <c r="D3046" s="154">
        <v>2.0</v>
      </c>
      <c r="E3046" s="154" t="s">
        <v>897</v>
      </c>
      <c r="F3046" s="154" t="s">
        <v>1619</v>
      </c>
      <c r="G3046" s="154">
        <v>4.3903333E7</v>
      </c>
      <c r="H3046" s="154" t="s">
        <v>1620</v>
      </c>
      <c r="I3046" s="156">
        <v>0.0</v>
      </c>
      <c r="J3046" s="156">
        <v>0.0</v>
      </c>
      <c r="K3046" s="156">
        <v>0.0</v>
      </c>
    </row>
    <row r="3047">
      <c r="A3047" s="154" t="s">
        <v>6895</v>
      </c>
      <c r="B3047" s="155"/>
      <c r="C3047" s="154" t="s">
        <v>6897</v>
      </c>
      <c r="D3047" s="155"/>
      <c r="E3047" s="155"/>
      <c r="F3047" s="154" t="s">
        <v>2696</v>
      </c>
      <c r="G3047" s="156">
        <v>0.0</v>
      </c>
      <c r="H3047" s="154" t="s">
        <v>2697</v>
      </c>
      <c r="I3047" s="154" t="s">
        <v>2698</v>
      </c>
      <c r="J3047" s="154" t="s">
        <v>2699</v>
      </c>
      <c r="K3047" s="154" t="s">
        <v>939</v>
      </c>
    </row>
    <row r="3048">
      <c r="A3048" s="154" t="s">
        <v>6898</v>
      </c>
      <c r="B3048" s="154" t="s">
        <v>6899</v>
      </c>
      <c r="D3048" s="154">
        <v>2.0</v>
      </c>
      <c r="E3048" s="154" t="s">
        <v>897</v>
      </c>
      <c r="F3048" s="154" t="s">
        <v>6900</v>
      </c>
      <c r="G3048" s="154">
        <v>4.26931E7</v>
      </c>
      <c r="H3048" s="156">
        <v>0.0</v>
      </c>
      <c r="I3048" s="154">
        <v>4.26931E7</v>
      </c>
      <c r="J3048" s="156">
        <v>0.0</v>
      </c>
      <c r="K3048" s="154" t="s">
        <v>361</v>
      </c>
    </row>
    <row r="3049">
      <c r="A3049" s="154" t="s">
        <v>6898</v>
      </c>
      <c r="B3049" s="155"/>
      <c r="C3049" s="154" t="s">
        <v>6901</v>
      </c>
      <c r="D3049" s="155"/>
      <c r="E3049" s="155"/>
      <c r="F3049" s="154" t="s">
        <v>6900</v>
      </c>
      <c r="G3049" s="154">
        <v>4.26931E7</v>
      </c>
      <c r="H3049" s="156">
        <v>0.0</v>
      </c>
      <c r="I3049" s="154">
        <v>4.26931E7</v>
      </c>
      <c r="J3049" s="156">
        <v>0.0</v>
      </c>
      <c r="K3049" s="154" t="s">
        <v>361</v>
      </c>
    </row>
    <row r="3050">
      <c r="A3050" s="154" t="s">
        <v>6902</v>
      </c>
      <c r="B3050" s="154" t="s">
        <v>6903</v>
      </c>
      <c r="D3050" s="154">
        <v>2.0</v>
      </c>
      <c r="E3050" s="154" t="s">
        <v>897</v>
      </c>
      <c r="F3050" s="154" t="s">
        <v>6904</v>
      </c>
      <c r="G3050" s="154">
        <v>5.04659514E8</v>
      </c>
      <c r="H3050" s="156">
        <v>0.0</v>
      </c>
      <c r="I3050" s="156">
        <v>0.0</v>
      </c>
      <c r="J3050" s="156">
        <v>0.0</v>
      </c>
      <c r="K3050" s="154" t="s">
        <v>361</v>
      </c>
    </row>
    <row r="3051">
      <c r="A3051" s="154" t="s">
        <v>6902</v>
      </c>
      <c r="B3051" s="155"/>
      <c r="C3051" s="154" t="s">
        <v>6905</v>
      </c>
      <c r="D3051" s="155"/>
      <c r="E3051" s="155"/>
      <c r="F3051" s="154" t="s">
        <v>1619</v>
      </c>
      <c r="G3051" s="154">
        <v>4.3903333E7</v>
      </c>
      <c r="H3051" s="154" t="s">
        <v>1620</v>
      </c>
      <c r="I3051" s="156">
        <v>0.0</v>
      </c>
      <c r="J3051" s="156">
        <v>0.0</v>
      </c>
      <c r="K3051" s="156">
        <v>0.0</v>
      </c>
    </row>
    <row r="3052">
      <c r="A3052" s="154" t="s">
        <v>6906</v>
      </c>
      <c r="B3052" s="154" t="s">
        <v>6907</v>
      </c>
      <c r="D3052" s="154">
        <v>2.0</v>
      </c>
      <c r="E3052" s="154" t="s">
        <v>761</v>
      </c>
      <c r="F3052" s="154" t="s">
        <v>6908</v>
      </c>
      <c r="G3052" s="154">
        <v>971.0</v>
      </c>
      <c r="H3052" s="156">
        <v>0.0</v>
      </c>
      <c r="I3052" s="154" t="s">
        <v>6909</v>
      </c>
      <c r="J3052" s="154" t="s">
        <v>6910</v>
      </c>
      <c r="K3052" s="154" t="s">
        <v>846</v>
      </c>
    </row>
    <row r="3053">
      <c r="A3053" s="154" t="s">
        <v>6906</v>
      </c>
      <c r="B3053" s="155"/>
      <c r="C3053" s="154" t="s">
        <v>6907</v>
      </c>
      <c r="D3053" s="155"/>
      <c r="E3053" s="155"/>
      <c r="F3053" s="154" t="s">
        <v>6908</v>
      </c>
      <c r="G3053" s="154">
        <v>971.0</v>
      </c>
      <c r="H3053" s="156">
        <v>0.0</v>
      </c>
      <c r="I3053" s="154" t="s">
        <v>6909</v>
      </c>
      <c r="J3053" s="154" t="s">
        <v>6910</v>
      </c>
      <c r="K3053" s="154" t="s">
        <v>846</v>
      </c>
    </row>
    <row r="3054">
      <c r="A3054" s="154" t="s">
        <v>6911</v>
      </c>
      <c r="B3054" s="155"/>
      <c r="C3054" s="154" t="s">
        <v>6912</v>
      </c>
      <c r="D3054" s="155"/>
      <c r="E3054" s="155"/>
      <c r="F3054" s="154" t="s">
        <v>6913</v>
      </c>
      <c r="G3054" s="154">
        <v>4.3911111E7</v>
      </c>
      <c r="H3054" s="156">
        <v>0.0</v>
      </c>
      <c r="I3054" s="154">
        <v>5.06222069E8</v>
      </c>
      <c r="J3054" s="156">
        <v>0.0</v>
      </c>
      <c r="K3054" s="154" t="s">
        <v>259</v>
      </c>
    </row>
    <row r="3055">
      <c r="A3055" s="154" t="s">
        <v>6911</v>
      </c>
      <c r="B3055" s="154" t="s">
        <v>6912</v>
      </c>
      <c r="D3055" s="154">
        <v>2.0</v>
      </c>
      <c r="E3055" s="154" t="s">
        <v>761</v>
      </c>
      <c r="F3055" s="154" t="s">
        <v>6913</v>
      </c>
      <c r="G3055" s="154">
        <v>4.3911111E7</v>
      </c>
      <c r="H3055" s="156">
        <v>0.0</v>
      </c>
      <c r="I3055" s="154">
        <v>5.06222069E8</v>
      </c>
      <c r="J3055" s="156">
        <v>0.0</v>
      </c>
      <c r="K3055" s="154" t="s">
        <v>259</v>
      </c>
    </row>
    <row r="3056">
      <c r="A3056" s="154" t="s">
        <v>6914</v>
      </c>
      <c r="B3056" s="154" t="s">
        <v>6915</v>
      </c>
      <c r="D3056" s="154">
        <v>2.0</v>
      </c>
      <c r="E3056" s="154" t="s">
        <v>761</v>
      </c>
      <c r="F3056" s="154" t="s">
        <v>6916</v>
      </c>
      <c r="G3056" s="154">
        <v>971.0</v>
      </c>
      <c r="H3056" s="154" t="s">
        <v>6917</v>
      </c>
      <c r="I3056" s="154" t="s">
        <v>3356</v>
      </c>
      <c r="J3056" s="154" t="s">
        <v>6918</v>
      </c>
      <c r="K3056" s="154" t="s">
        <v>259</v>
      </c>
    </row>
    <row r="3057">
      <c r="A3057" s="154" t="s">
        <v>6914</v>
      </c>
      <c r="B3057" s="155"/>
      <c r="C3057" s="154" t="s">
        <v>6915</v>
      </c>
      <c r="D3057" s="155"/>
      <c r="E3057" s="155"/>
      <c r="F3057" s="154" t="s">
        <v>6919</v>
      </c>
      <c r="G3057" s="154">
        <v>971.0</v>
      </c>
      <c r="H3057" s="156">
        <v>0.0</v>
      </c>
      <c r="I3057" s="154" t="s">
        <v>6920</v>
      </c>
      <c r="J3057" s="154" t="s">
        <v>6921</v>
      </c>
      <c r="K3057" s="154" t="s">
        <v>259</v>
      </c>
    </row>
    <row r="3058">
      <c r="A3058" s="154" t="s">
        <v>6922</v>
      </c>
      <c r="B3058" s="155"/>
      <c r="C3058" s="154" t="s">
        <v>6923</v>
      </c>
      <c r="D3058" s="155"/>
      <c r="E3058" s="155"/>
      <c r="F3058" s="154" t="s">
        <v>6924</v>
      </c>
      <c r="G3058" s="154" t="s">
        <v>6925</v>
      </c>
      <c r="H3058" s="156">
        <v>0.0</v>
      </c>
      <c r="I3058" s="154" t="s">
        <v>6926</v>
      </c>
      <c r="J3058" s="154" t="s">
        <v>6925</v>
      </c>
      <c r="K3058" s="154" t="s">
        <v>1408</v>
      </c>
    </row>
    <row r="3059">
      <c r="A3059" s="154" t="s">
        <v>6922</v>
      </c>
      <c r="B3059" s="154" t="s">
        <v>6923</v>
      </c>
      <c r="D3059" s="154">
        <v>2.0</v>
      </c>
      <c r="E3059" s="154" t="s">
        <v>761</v>
      </c>
      <c r="F3059" s="154" t="s">
        <v>6924</v>
      </c>
      <c r="G3059" s="154" t="s">
        <v>6925</v>
      </c>
      <c r="H3059" s="156">
        <v>0.0</v>
      </c>
      <c r="I3059" s="154" t="s">
        <v>6926</v>
      </c>
      <c r="J3059" s="154" t="s">
        <v>6925</v>
      </c>
      <c r="K3059" s="154" t="s">
        <v>1408</v>
      </c>
    </row>
    <row r="3060">
      <c r="A3060" s="154" t="s">
        <v>6927</v>
      </c>
      <c r="B3060" s="155"/>
      <c r="C3060" s="154" t="s">
        <v>6928</v>
      </c>
      <c r="D3060" s="155"/>
      <c r="E3060" s="155"/>
      <c r="F3060" s="154" t="s">
        <v>3252</v>
      </c>
      <c r="G3060" s="154" t="s">
        <v>3253</v>
      </c>
      <c r="H3060" s="154" t="s">
        <v>3254</v>
      </c>
      <c r="I3060" s="154" t="s">
        <v>3255</v>
      </c>
      <c r="J3060" s="156">
        <v>0.0</v>
      </c>
      <c r="K3060" s="154" t="s">
        <v>207</v>
      </c>
    </row>
    <row r="3061">
      <c r="A3061" s="154" t="s">
        <v>6927</v>
      </c>
      <c r="B3061" s="154" t="s">
        <v>6928</v>
      </c>
      <c r="D3061" s="154">
        <v>2.0</v>
      </c>
      <c r="E3061" s="154" t="s">
        <v>761</v>
      </c>
      <c r="F3061" s="154" t="s">
        <v>3252</v>
      </c>
      <c r="G3061" s="154" t="s">
        <v>3253</v>
      </c>
      <c r="H3061" s="154" t="s">
        <v>3254</v>
      </c>
      <c r="I3061" s="154" t="s">
        <v>3255</v>
      </c>
      <c r="J3061" s="156">
        <v>0.0</v>
      </c>
      <c r="K3061" s="154" t="s">
        <v>207</v>
      </c>
    </row>
    <row r="3062">
      <c r="A3062" s="154" t="s">
        <v>6929</v>
      </c>
      <c r="B3062" s="155"/>
      <c r="C3062" s="154" t="s">
        <v>6930</v>
      </c>
      <c r="D3062" s="155"/>
      <c r="E3062" s="155"/>
      <c r="F3062" s="154" t="s">
        <v>6931</v>
      </c>
      <c r="G3062" s="156">
        <v>0.0</v>
      </c>
      <c r="H3062" s="156">
        <v>0.0</v>
      </c>
      <c r="I3062" s="154" t="s">
        <v>6932</v>
      </c>
      <c r="J3062" s="154" t="s">
        <v>6933</v>
      </c>
      <c r="K3062" s="154" t="s">
        <v>361</v>
      </c>
    </row>
    <row r="3063">
      <c r="A3063" s="154" t="s">
        <v>6929</v>
      </c>
      <c r="B3063" s="154" t="s">
        <v>6930</v>
      </c>
      <c r="D3063" s="154">
        <v>2.0</v>
      </c>
      <c r="E3063" s="154" t="s">
        <v>761</v>
      </c>
      <c r="F3063" s="154" t="s">
        <v>6931</v>
      </c>
      <c r="G3063" s="156">
        <v>0.0</v>
      </c>
      <c r="H3063" s="156">
        <v>0.0</v>
      </c>
      <c r="I3063" s="154" t="s">
        <v>6932</v>
      </c>
      <c r="J3063" s="154" t="s">
        <v>6933</v>
      </c>
      <c r="K3063" s="154" t="s">
        <v>361</v>
      </c>
    </row>
    <row r="3064">
      <c r="A3064" s="154" t="s">
        <v>6934</v>
      </c>
      <c r="B3064" s="155"/>
      <c r="C3064" s="154" t="s">
        <v>6935</v>
      </c>
      <c r="D3064" s="155"/>
      <c r="E3064" s="155"/>
      <c r="F3064" s="154" t="s">
        <v>6936</v>
      </c>
      <c r="G3064" s="156">
        <v>0.0</v>
      </c>
      <c r="H3064" s="156">
        <v>0.0</v>
      </c>
      <c r="I3064" s="154" t="s">
        <v>6937</v>
      </c>
      <c r="J3064" s="154" t="s">
        <v>6938</v>
      </c>
      <c r="K3064" s="154" t="s">
        <v>259</v>
      </c>
    </row>
    <row r="3065">
      <c r="A3065" s="154" t="s">
        <v>6934</v>
      </c>
      <c r="B3065" s="154" t="s">
        <v>6935</v>
      </c>
      <c r="D3065" s="154">
        <v>2.0</v>
      </c>
      <c r="E3065" s="154" t="s">
        <v>761</v>
      </c>
      <c r="F3065" s="154" t="s">
        <v>6936</v>
      </c>
      <c r="G3065" s="156">
        <v>0.0</v>
      </c>
      <c r="H3065" s="156">
        <v>0.0</v>
      </c>
      <c r="I3065" s="154" t="s">
        <v>6937</v>
      </c>
      <c r="J3065" s="154" t="s">
        <v>6938</v>
      </c>
      <c r="K3065" s="154" t="s">
        <v>259</v>
      </c>
    </row>
    <row r="3066">
      <c r="A3066" s="154" t="s">
        <v>6939</v>
      </c>
      <c r="B3066" s="155"/>
      <c r="C3066" s="154" t="s">
        <v>6940</v>
      </c>
      <c r="D3066" s="155"/>
      <c r="E3066" s="155"/>
      <c r="F3066" s="154" t="s">
        <v>6941</v>
      </c>
      <c r="G3066" s="156">
        <v>0.0</v>
      </c>
      <c r="H3066" s="156">
        <v>0.0</v>
      </c>
      <c r="I3066" s="154">
        <v>9.71504627791E11</v>
      </c>
      <c r="J3066" s="156">
        <v>0.0</v>
      </c>
      <c r="K3066" s="154" t="s">
        <v>301</v>
      </c>
    </row>
    <row r="3067">
      <c r="A3067" s="154" t="s">
        <v>6939</v>
      </c>
      <c r="B3067" s="154" t="s">
        <v>6940</v>
      </c>
      <c r="D3067" s="154">
        <v>2.0</v>
      </c>
      <c r="E3067" s="154" t="s">
        <v>761</v>
      </c>
      <c r="F3067" s="154" t="s">
        <v>6941</v>
      </c>
      <c r="G3067" s="156">
        <v>0.0</v>
      </c>
      <c r="H3067" s="156">
        <v>0.0</v>
      </c>
      <c r="I3067" s="154">
        <v>9.71504627791E11</v>
      </c>
      <c r="J3067" s="156">
        <v>0.0</v>
      </c>
      <c r="K3067" s="154" t="s">
        <v>301</v>
      </c>
    </row>
    <row r="3068">
      <c r="A3068" s="154" t="s">
        <v>6942</v>
      </c>
      <c r="B3068" s="155"/>
      <c r="C3068" s="154" t="s">
        <v>6943</v>
      </c>
      <c r="D3068" s="155"/>
      <c r="E3068" s="155"/>
      <c r="F3068" s="154" t="s">
        <v>6944</v>
      </c>
      <c r="G3068" s="154">
        <v>9.66505441234E11</v>
      </c>
      <c r="H3068" s="156">
        <v>0.0</v>
      </c>
      <c r="I3068" s="154">
        <v>9.66505441234E11</v>
      </c>
      <c r="J3068" s="156">
        <v>0.0</v>
      </c>
      <c r="K3068" s="154" t="s">
        <v>914</v>
      </c>
    </row>
    <row r="3069">
      <c r="A3069" s="154" t="s">
        <v>6942</v>
      </c>
      <c r="B3069" s="154" t="s">
        <v>6943</v>
      </c>
      <c r="D3069" s="154">
        <v>2.0</v>
      </c>
      <c r="E3069" s="154" t="s">
        <v>761</v>
      </c>
      <c r="F3069" s="154" t="s">
        <v>6944</v>
      </c>
      <c r="G3069" s="154">
        <v>9.66505441234E11</v>
      </c>
      <c r="H3069" s="156">
        <v>0.0</v>
      </c>
      <c r="I3069" s="154">
        <v>9.66505441234E11</v>
      </c>
      <c r="J3069" s="156">
        <v>0.0</v>
      </c>
      <c r="K3069" s="154" t="s">
        <v>914</v>
      </c>
    </row>
    <row r="3070">
      <c r="A3070" s="154" t="s">
        <v>6945</v>
      </c>
      <c r="B3070" s="155"/>
      <c r="C3070" s="154" t="s">
        <v>6946</v>
      </c>
      <c r="D3070" s="155"/>
      <c r="E3070" s="155"/>
      <c r="F3070" s="154" t="s">
        <v>6947</v>
      </c>
      <c r="G3070" s="156">
        <v>0.0</v>
      </c>
      <c r="H3070" s="156">
        <v>0.0</v>
      </c>
      <c r="I3070" s="154" t="s">
        <v>853</v>
      </c>
      <c r="J3070" s="154" t="s">
        <v>1133</v>
      </c>
      <c r="K3070" s="154" t="s">
        <v>1446</v>
      </c>
    </row>
    <row r="3071">
      <c r="A3071" s="154" t="s">
        <v>6945</v>
      </c>
      <c r="B3071" s="154" t="s">
        <v>6946</v>
      </c>
      <c r="D3071" s="154">
        <v>2.0</v>
      </c>
      <c r="E3071" s="154" t="s">
        <v>761</v>
      </c>
      <c r="F3071" s="154" t="s">
        <v>6947</v>
      </c>
      <c r="G3071" s="156">
        <v>0.0</v>
      </c>
      <c r="H3071" s="156">
        <v>0.0</v>
      </c>
      <c r="I3071" s="154" t="s">
        <v>853</v>
      </c>
      <c r="J3071" s="154" t="s">
        <v>1133</v>
      </c>
      <c r="K3071" s="154" t="s">
        <v>1446</v>
      </c>
    </row>
    <row r="3072">
      <c r="A3072" s="154" t="s">
        <v>6948</v>
      </c>
      <c r="B3072" s="154" t="s">
        <v>6949</v>
      </c>
      <c r="D3072" s="154">
        <v>2.0</v>
      </c>
      <c r="E3072" s="154" t="s">
        <v>761</v>
      </c>
      <c r="F3072" s="154" t="s">
        <v>6950</v>
      </c>
      <c r="G3072" s="156">
        <v>0.0</v>
      </c>
      <c r="H3072" s="154" t="s">
        <v>6951</v>
      </c>
      <c r="I3072" s="154" t="s">
        <v>6952</v>
      </c>
      <c r="J3072" s="154" t="s">
        <v>6953</v>
      </c>
      <c r="K3072" s="154" t="s">
        <v>259</v>
      </c>
    </row>
    <row r="3073">
      <c r="A3073" s="154" t="s">
        <v>6948</v>
      </c>
      <c r="B3073" s="155"/>
      <c r="C3073" s="154" t="s">
        <v>6949</v>
      </c>
      <c r="D3073" s="155"/>
      <c r="E3073" s="155"/>
      <c r="F3073" s="154" t="s">
        <v>6950</v>
      </c>
      <c r="G3073" s="156">
        <v>0.0</v>
      </c>
      <c r="H3073" s="154" t="s">
        <v>6951</v>
      </c>
      <c r="I3073" s="154" t="s">
        <v>6952</v>
      </c>
      <c r="J3073" s="154" t="s">
        <v>6953</v>
      </c>
      <c r="K3073" s="154" t="s">
        <v>259</v>
      </c>
    </row>
    <row r="3074">
      <c r="A3074" s="154" t="s">
        <v>6954</v>
      </c>
      <c r="B3074" s="155"/>
      <c r="C3074" s="154" t="s">
        <v>6955</v>
      </c>
      <c r="D3074" s="155"/>
      <c r="E3074" s="155"/>
      <c r="F3074" s="154" t="s">
        <v>6956</v>
      </c>
      <c r="G3074" s="154">
        <v>5.673736856E9</v>
      </c>
      <c r="H3074" s="154" t="s">
        <v>6957</v>
      </c>
      <c r="I3074" s="154">
        <v>5.67376856E8</v>
      </c>
      <c r="J3074" s="156">
        <v>0.0</v>
      </c>
      <c r="K3074" s="154" t="s">
        <v>1731</v>
      </c>
    </row>
    <row r="3075">
      <c r="A3075" s="154" t="s">
        <v>6954</v>
      </c>
      <c r="B3075" s="154" t="s">
        <v>6955</v>
      </c>
      <c r="D3075" s="154">
        <v>2.0</v>
      </c>
      <c r="E3075" s="154" t="s">
        <v>761</v>
      </c>
      <c r="F3075" s="154" t="s">
        <v>6956</v>
      </c>
      <c r="G3075" s="154">
        <v>5.673736856E9</v>
      </c>
      <c r="H3075" s="154" t="s">
        <v>6957</v>
      </c>
      <c r="I3075" s="154">
        <v>5.67376856E8</v>
      </c>
      <c r="J3075" s="156">
        <v>0.0</v>
      </c>
      <c r="K3075" s="154" t="s">
        <v>1731</v>
      </c>
    </row>
    <row r="3076">
      <c r="A3076" s="154" t="s">
        <v>6958</v>
      </c>
      <c r="B3076" s="154" t="s">
        <v>6959</v>
      </c>
      <c r="D3076" s="154">
        <v>2.0</v>
      </c>
      <c r="E3076" s="154" t="s">
        <v>761</v>
      </c>
      <c r="F3076" s="154" t="s">
        <v>6960</v>
      </c>
      <c r="G3076" s="154">
        <v>5.52237373E8</v>
      </c>
      <c r="H3076" s="156">
        <v>0.0</v>
      </c>
      <c r="I3076" s="154">
        <v>5.04959251E8</v>
      </c>
      <c r="J3076" s="156">
        <v>0.0</v>
      </c>
      <c r="K3076" s="154" t="s">
        <v>939</v>
      </c>
    </row>
    <row r="3077">
      <c r="A3077" s="154" t="s">
        <v>6958</v>
      </c>
      <c r="B3077" s="155"/>
      <c r="C3077" s="154" t="s">
        <v>6959</v>
      </c>
      <c r="D3077" s="155"/>
      <c r="E3077" s="155"/>
      <c r="F3077" s="154" t="s">
        <v>6960</v>
      </c>
      <c r="G3077" s="154">
        <v>5.52237373E8</v>
      </c>
      <c r="H3077" s="156">
        <v>0.0</v>
      </c>
      <c r="I3077" s="154">
        <v>5.04959251E8</v>
      </c>
      <c r="J3077" s="156">
        <v>0.0</v>
      </c>
      <c r="K3077" s="154" t="s">
        <v>939</v>
      </c>
    </row>
    <row r="3078">
      <c r="A3078" s="154" t="s">
        <v>6961</v>
      </c>
      <c r="B3078" s="154" t="s">
        <v>6962</v>
      </c>
      <c r="D3078" s="154">
        <v>2.0</v>
      </c>
      <c r="E3078" s="154" t="s">
        <v>761</v>
      </c>
      <c r="F3078" s="154" t="s">
        <v>6963</v>
      </c>
      <c r="G3078" s="156">
        <v>0.0</v>
      </c>
      <c r="H3078" s="156">
        <v>0.0</v>
      </c>
      <c r="I3078" s="154" t="s">
        <v>6964</v>
      </c>
      <c r="J3078" s="154" t="s">
        <v>6965</v>
      </c>
      <c r="K3078" s="154" t="s">
        <v>197</v>
      </c>
    </row>
    <row r="3079">
      <c r="A3079" s="154" t="s">
        <v>6961</v>
      </c>
      <c r="B3079" s="155"/>
      <c r="C3079" s="154" t="s">
        <v>6962</v>
      </c>
      <c r="D3079" s="155"/>
      <c r="E3079" s="155"/>
      <c r="F3079" s="154" t="s">
        <v>6963</v>
      </c>
      <c r="G3079" s="156">
        <v>0.0</v>
      </c>
      <c r="H3079" s="156">
        <v>0.0</v>
      </c>
      <c r="I3079" s="154" t="s">
        <v>6964</v>
      </c>
      <c r="J3079" s="154" t="s">
        <v>6965</v>
      </c>
      <c r="K3079" s="154" t="s">
        <v>197</v>
      </c>
    </row>
    <row r="3080">
      <c r="A3080" s="154" t="s">
        <v>6966</v>
      </c>
      <c r="B3080" s="154" t="s">
        <v>6967</v>
      </c>
      <c r="D3080" s="154">
        <v>2.0</v>
      </c>
      <c r="E3080" s="154" t="s">
        <v>761</v>
      </c>
      <c r="F3080" s="154" t="s">
        <v>6968</v>
      </c>
      <c r="G3080" s="154" t="s">
        <v>4329</v>
      </c>
      <c r="H3080" s="154" t="s">
        <v>4330</v>
      </c>
      <c r="I3080" s="154" t="s">
        <v>4331</v>
      </c>
      <c r="J3080" s="156">
        <v>0.0</v>
      </c>
      <c r="K3080" s="154" t="s">
        <v>361</v>
      </c>
    </row>
    <row r="3081">
      <c r="A3081" s="154" t="s">
        <v>6966</v>
      </c>
      <c r="B3081" s="155"/>
      <c r="C3081" s="154" t="s">
        <v>6967</v>
      </c>
      <c r="D3081" s="155"/>
      <c r="E3081" s="155"/>
      <c r="F3081" s="154" t="s">
        <v>6968</v>
      </c>
      <c r="G3081" s="154" t="s">
        <v>4329</v>
      </c>
      <c r="H3081" s="154" t="s">
        <v>4330</v>
      </c>
      <c r="I3081" s="154" t="s">
        <v>4331</v>
      </c>
      <c r="J3081" s="156">
        <v>0.0</v>
      </c>
      <c r="K3081" s="154" t="s">
        <v>361</v>
      </c>
    </row>
    <row r="3082">
      <c r="A3082" s="154" t="s">
        <v>6969</v>
      </c>
      <c r="B3082" s="154" t="s">
        <v>6970</v>
      </c>
      <c r="D3082" s="154">
        <v>2.0</v>
      </c>
      <c r="E3082" s="154" t="s">
        <v>761</v>
      </c>
      <c r="F3082" s="154" t="s">
        <v>6971</v>
      </c>
      <c r="G3082" s="154">
        <v>5.63064441E8</v>
      </c>
      <c r="H3082" s="156">
        <v>0.0</v>
      </c>
      <c r="I3082" s="154">
        <v>9.71505851816E11</v>
      </c>
      <c r="J3082" s="156">
        <v>0.0</v>
      </c>
      <c r="K3082" s="154" t="s">
        <v>1731</v>
      </c>
    </row>
    <row r="3083">
      <c r="A3083" s="154" t="s">
        <v>6969</v>
      </c>
      <c r="B3083" s="155"/>
      <c r="C3083" s="154" t="s">
        <v>6970</v>
      </c>
      <c r="D3083" s="155"/>
      <c r="E3083" s="155"/>
      <c r="F3083" s="154" t="s">
        <v>6971</v>
      </c>
      <c r="G3083" s="154">
        <v>5.63064441E8</v>
      </c>
      <c r="H3083" s="156">
        <v>0.0</v>
      </c>
      <c r="I3083" s="154">
        <v>9.71505851816E11</v>
      </c>
      <c r="J3083" s="156">
        <v>0.0</v>
      </c>
      <c r="K3083" s="154" t="s">
        <v>1731</v>
      </c>
    </row>
    <row r="3084">
      <c r="A3084" s="154" t="s">
        <v>6972</v>
      </c>
      <c r="B3084" s="154" t="s">
        <v>6973</v>
      </c>
      <c r="D3084" s="154">
        <v>2.0</v>
      </c>
      <c r="E3084" s="154" t="s">
        <v>761</v>
      </c>
      <c r="F3084" s="154" t="s">
        <v>6974</v>
      </c>
      <c r="G3084" s="154">
        <v>5.53488528E8</v>
      </c>
      <c r="H3084" s="156">
        <v>0.0</v>
      </c>
      <c r="I3084" s="154">
        <v>5.01599766E8</v>
      </c>
      <c r="J3084" s="156">
        <v>0.0</v>
      </c>
      <c r="K3084" s="154" t="s">
        <v>259</v>
      </c>
    </row>
    <row r="3085">
      <c r="A3085" s="154" t="s">
        <v>6972</v>
      </c>
      <c r="B3085" s="155"/>
      <c r="C3085" s="154" t="s">
        <v>6973</v>
      </c>
      <c r="D3085" s="155"/>
      <c r="E3085" s="155"/>
      <c r="F3085" s="154" t="s">
        <v>6974</v>
      </c>
      <c r="G3085" s="154">
        <v>5.53488528E8</v>
      </c>
      <c r="H3085" s="156">
        <v>0.0</v>
      </c>
      <c r="I3085" s="154">
        <v>5.01599766E8</v>
      </c>
      <c r="J3085" s="156">
        <v>0.0</v>
      </c>
      <c r="K3085" s="154" t="s">
        <v>259</v>
      </c>
    </row>
    <row r="3086">
      <c r="A3086" s="154" t="s">
        <v>6975</v>
      </c>
      <c r="B3086" s="155"/>
      <c r="C3086" s="154" t="s">
        <v>6976</v>
      </c>
      <c r="D3086" s="155"/>
      <c r="E3086" s="155"/>
      <c r="F3086" s="154" t="s">
        <v>6977</v>
      </c>
      <c r="G3086" s="154">
        <v>9.6599022447E10</v>
      </c>
      <c r="H3086" s="156">
        <v>0.0</v>
      </c>
      <c r="I3086" s="156">
        <v>0.0</v>
      </c>
      <c r="J3086" s="156">
        <v>0.0</v>
      </c>
      <c r="K3086" s="154" t="s">
        <v>341</v>
      </c>
    </row>
    <row r="3087">
      <c r="A3087" s="154" t="s">
        <v>6975</v>
      </c>
      <c r="B3087" s="154" t="s">
        <v>6976</v>
      </c>
      <c r="C3087" s="155"/>
      <c r="D3087" s="154">
        <v>2.0</v>
      </c>
      <c r="E3087" s="154" t="s">
        <v>897</v>
      </c>
      <c r="F3087" s="154" t="s">
        <v>6977</v>
      </c>
      <c r="G3087" s="154">
        <v>9.6599022447E10</v>
      </c>
      <c r="H3087" s="156">
        <v>0.0</v>
      </c>
      <c r="I3087" s="156">
        <v>0.0</v>
      </c>
      <c r="J3087" s="156">
        <v>0.0</v>
      </c>
      <c r="K3087" s="154" t="s">
        <v>341</v>
      </c>
    </row>
    <row r="3088">
      <c r="A3088" s="154" t="s">
        <v>6978</v>
      </c>
      <c r="B3088" s="155"/>
      <c r="C3088" s="154" t="s">
        <v>6979</v>
      </c>
      <c r="D3088" s="155"/>
      <c r="E3088" s="155"/>
      <c r="F3088" s="154" t="s">
        <v>6980</v>
      </c>
      <c r="G3088" s="156">
        <v>0.0</v>
      </c>
      <c r="H3088" s="154" t="s">
        <v>6981</v>
      </c>
      <c r="I3088" s="154" t="s">
        <v>6982</v>
      </c>
      <c r="J3088" s="154" t="s">
        <v>6983</v>
      </c>
      <c r="K3088" s="154" t="s">
        <v>1059</v>
      </c>
    </row>
    <row r="3089">
      <c r="A3089" s="154" t="s">
        <v>6978</v>
      </c>
      <c r="B3089" s="154" t="s">
        <v>6979</v>
      </c>
      <c r="C3089" s="155"/>
      <c r="D3089" s="154">
        <v>2.0</v>
      </c>
      <c r="E3089" s="154" t="s">
        <v>897</v>
      </c>
      <c r="F3089" s="154" t="s">
        <v>6980</v>
      </c>
      <c r="G3089" s="156">
        <v>0.0</v>
      </c>
      <c r="H3089" s="154" t="s">
        <v>6981</v>
      </c>
      <c r="I3089" s="154" t="s">
        <v>6982</v>
      </c>
      <c r="J3089" s="154" t="s">
        <v>6983</v>
      </c>
      <c r="K3089" s="154" t="s">
        <v>1059</v>
      </c>
    </row>
    <row r="3090">
      <c r="A3090" s="154" t="s">
        <v>6984</v>
      </c>
      <c r="B3090" s="155"/>
      <c r="C3090" s="154" t="s">
        <v>6985</v>
      </c>
      <c r="D3090" s="155"/>
      <c r="E3090" s="155"/>
      <c r="F3090" s="154" t="s">
        <v>6986</v>
      </c>
      <c r="G3090" s="154">
        <v>4.3911111E7</v>
      </c>
      <c r="H3090" s="156">
        <v>0.0</v>
      </c>
      <c r="I3090" s="154">
        <v>9.71566563211E11</v>
      </c>
      <c r="J3090" s="156">
        <v>0.0</v>
      </c>
      <c r="K3090" s="154" t="s">
        <v>197</v>
      </c>
    </row>
    <row r="3091">
      <c r="A3091" s="154" t="s">
        <v>6984</v>
      </c>
      <c r="B3091" s="154" t="s">
        <v>6985</v>
      </c>
      <c r="C3091" s="155"/>
      <c r="D3091" s="154">
        <v>2.0</v>
      </c>
      <c r="E3091" s="154" t="s">
        <v>897</v>
      </c>
      <c r="F3091" s="154" t="s">
        <v>6986</v>
      </c>
      <c r="G3091" s="154">
        <v>4.3911111E7</v>
      </c>
      <c r="H3091" s="156">
        <v>0.0</v>
      </c>
      <c r="I3091" s="154">
        <v>9.71566563211E11</v>
      </c>
      <c r="J3091" s="156">
        <v>0.0</v>
      </c>
      <c r="K3091" s="154" t="s">
        <v>197</v>
      </c>
    </row>
    <row r="3092">
      <c r="A3092" s="154" t="s">
        <v>6987</v>
      </c>
      <c r="B3092" s="155"/>
      <c r="C3092" s="154" t="s">
        <v>6988</v>
      </c>
      <c r="D3092" s="155"/>
      <c r="E3092" s="155"/>
      <c r="F3092" s="154" t="s">
        <v>6989</v>
      </c>
      <c r="G3092" s="154">
        <v>3903899.0</v>
      </c>
      <c r="H3092" s="156">
        <v>0.0</v>
      </c>
      <c r="I3092" s="154">
        <v>5.05514939E8</v>
      </c>
      <c r="J3092" s="156">
        <v>0.0</v>
      </c>
      <c r="K3092" s="154" t="s">
        <v>361</v>
      </c>
    </row>
    <row r="3093">
      <c r="A3093" s="154" t="s">
        <v>6987</v>
      </c>
      <c r="B3093" s="154" t="s">
        <v>6988</v>
      </c>
      <c r="C3093" s="155"/>
      <c r="D3093" s="154">
        <v>2.0</v>
      </c>
      <c r="E3093" s="154" t="s">
        <v>897</v>
      </c>
      <c r="F3093" s="154" t="s">
        <v>6989</v>
      </c>
      <c r="G3093" s="154">
        <v>3903899.0</v>
      </c>
      <c r="H3093" s="156">
        <v>0.0</v>
      </c>
      <c r="I3093" s="154">
        <v>5.05514939E8</v>
      </c>
      <c r="J3093" s="156">
        <v>0.0</v>
      </c>
      <c r="K3093" s="154" t="s">
        <v>361</v>
      </c>
    </row>
    <row r="3094">
      <c r="A3094" s="154" t="s">
        <v>6990</v>
      </c>
      <c r="B3094" s="154" t="s">
        <v>6991</v>
      </c>
      <c r="C3094" s="155"/>
      <c r="D3094" s="154">
        <v>2.0</v>
      </c>
      <c r="E3094" s="154" t="s">
        <v>897</v>
      </c>
      <c r="F3094" s="154" t="s">
        <v>6992</v>
      </c>
      <c r="G3094" s="154">
        <v>4.8831415E7</v>
      </c>
      <c r="H3094" s="156">
        <v>0.0</v>
      </c>
      <c r="I3094" s="154">
        <v>9.71506353402E11</v>
      </c>
      <c r="J3094" s="156">
        <v>0.0</v>
      </c>
      <c r="K3094" s="154" t="s">
        <v>1059</v>
      </c>
    </row>
    <row r="3095">
      <c r="A3095" s="154" t="s">
        <v>6990</v>
      </c>
      <c r="B3095" s="155"/>
      <c r="C3095" s="154" t="s">
        <v>6991</v>
      </c>
      <c r="D3095" s="155"/>
      <c r="E3095" s="155"/>
      <c r="F3095" s="154" t="s">
        <v>6992</v>
      </c>
      <c r="G3095" s="154">
        <v>4.8831415E7</v>
      </c>
      <c r="H3095" s="156">
        <v>0.0</v>
      </c>
      <c r="I3095" s="154">
        <v>9.71506353402E11</v>
      </c>
      <c r="J3095" s="156">
        <v>0.0</v>
      </c>
      <c r="K3095" s="154" t="s">
        <v>1059</v>
      </c>
    </row>
    <row r="3096">
      <c r="A3096" s="154" t="s">
        <v>6993</v>
      </c>
      <c r="B3096" s="154" t="s">
        <v>6994</v>
      </c>
      <c r="C3096" s="155"/>
      <c r="D3096" s="154">
        <v>2.0</v>
      </c>
      <c r="E3096" s="154" t="s">
        <v>897</v>
      </c>
      <c r="F3096" s="154" t="s">
        <v>6995</v>
      </c>
      <c r="G3096" s="156">
        <v>0.0</v>
      </c>
      <c r="H3096" s="154" t="s">
        <v>6996</v>
      </c>
      <c r="I3096" s="154" t="s">
        <v>6997</v>
      </c>
      <c r="J3096" s="154" t="s">
        <v>809</v>
      </c>
      <c r="K3096" s="154" t="s">
        <v>361</v>
      </c>
    </row>
    <row r="3097">
      <c r="A3097" s="154" t="s">
        <v>6993</v>
      </c>
      <c r="B3097" s="155"/>
      <c r="C3097" s="154" t="s">
        <v>6994</v>
      </c>
      <c r="D3097" s="155"/>
      <c r="E3097" s="155"/>
      <c r="F3097" s="154" t="s">
        <v>6995</v>
      </c>
      <c r="G3097" s="156">
        <v>0.0</v>
      </c>
      <c r="H3097" s="154" t="s">
        <v>6996</v>
      </c>
      <c r="I3097" s="154" t="s">
        <v>6997</v>
      </c>
      <c r="J3097" s="154" t="s">
        <v>809</v>
      </c>
      <c r="K3097" s="154" t="s">
        <v>361</v>
      </c>
    </row>
    <row r="3098">
      <c r="A3098" s="154" t="s">
        <v>6998</v>
      </c>
      <c r="B3098" s="155"/>
      <c r="C3098" s="154" t="s">
        <v>6999</v>
      </c>
      <c r="D3098" s="155"/>
      <c r="E3098" s="155"/>
      <c r="F3098" s="154" t="s">
        <v>7000</v>
      </c>
      <c r="G3098" s="156">
        <v>0.0</v>
      </c>
      <c r="H3098" s="156">
        <v>0.0</v>
      </c>
      <c r="I3098" s="154" t="s">
        <v>5975</v>
      </c>
      <c r="J3098" s="156">
        <v>0.0</v>
      </c>
      <c r="K3098" s="154" t="s">
        <v>253</v>
      </c>
    </row>
    <row r="3099">
      <c r="A3099" s="154" t="s">
        <v>6998</v>
      </c>
      <c r="B3099" s="154" t="s">
        <v>6999</v>
      </c>
      <c r="C3099" s="155"/>
      <c r="D3099" s="154">
        <v>2.0</v>
      </c>
      <c r="E3099" s="154" t="s">
        <v>897</v>
      </c>
      <c r="F3099" s="154" t="s">
        <v>7000</v>
      </c>
      <c r="G3099" s="156">
        <v>0.0</v>
      </c>
      <c r="H3099" s="156">
        <v>0.0</v>
      </c>
      <c r="I3099" s="154" t="s">
        <v>5975</v>
      </c>
      <c r="J3099" s="156">
        <v>0.0</v>
      </c>
      <c r="K3099" s="154" t="s">
        <v>253</v>
      </c>
    </row>
    <row r="3100">
      <c r="A3100" s="154" t="s">
        <v>7001</v>
      </c>
      <c r="B3100" s="155"/>
      <c r="C3100" s="154" t="s">
        <v>7002</v>
      </c>
      <c r="D3100" s="155"/>
      <c r="E3100" s="155"/>
      <c r="F3100" s="154" t="s">
        <v>7003</v>
      </c>
      <c r="G3100" s="156">
        <v>0.0</v>
      </c>
      <c r="H3100" s="154" t="s">
        <v>7004</v>
      </c>
      <c r="I3100" s="154" t="s">
        <v>7005</v>
      </c>
      <c r="J3100" s="156">
        <v>0.0</v>
      </c>
      <c r="K3100" s="154" t="s">
        <v>206</v>
      </c>
    </row>
    <row r="3101">
      <c r="A3101" s="154" t="s">
        <v>7001</v>
      </c>
      <c r="B3101" s="154" t="s">
        <v>7002</v>
      </c>
      <c r="C3101" s="155"/>
      <c r="D3101" s="154">
        <v>2.0</v>
      </c>
      <c r="E3101" s="154" t="s">
        <v>897</v>
      </c>
      <c r="F3101" s="154" t="s">
        <v>7003</v>
      </c>
      <c r="G3101" s="156">
        <v>0.0</v>
      </c>
      <c r="H3101" s="154" t="s">
        <v>7004</v>
      </c>
      <c r="I3101" s="154" t="s">
        <v>7005</v>
      </c>
      <c r="J3101" s="156">
        <v>0.0</v>
      </c>
      <c r="K3101" s="154" t="s">
        <v>206</v>
      </c>
    </row>
    <row r="3102">
      <c r="A3102" s="154" t="s">
        <v>7006</v>
      </c>
      <c r="B3102" s="154" t="s">
        <v>7007</v>
      </c>
      <c r="C3102" s="155"/>
      <c r="D3102" s="154">
        <v>2.0</v>
      </c>
      <c r="E3102" s="154" t="s">
        <v>897</v>
      </c>
      <c r="F3102" s="154" t="s">
        <v>7008</v>
      </c>
      <c r="G3102" s="156">
        <v>0.0</v>
      </c>
      <c r="H3102" s="156">
        <v>0.0</v>
      </c>
      <c r="I3102" s="154" t="s">
        <v>7009</v>
      </c>
      <c r="J3102" s="154" t="s">
        <v>7010</v>
      </c>
      <c r="K3102" s="154" t="s">
        <v>240</v>
      </c>
    </row>
    <row r="3103">
      <c r="A3103" s="154" t="s">
        <v>7006</v>
      </c>
      <c r="B3103" s="155"/>
      <c r="C3103" s="154" t="s">
        <v>7007</v>
      </c>
      <c r="D3103" s="155"/>
      <c r="E3103" s="155"/>
      <c r="F3103" s="154" t="s">
        <v>7008</v>
      </c>
      <c r="G3103" s="156">
        <v>0.0</v>
      </c>
      <c r="H3103" s="156">
        <v>0.0</v>
      </c>
      <c r="I3103" s="154" t="s">
        <v>7009</v>
      </c>
      <c r="J3103" s="154" t="s">
        <v>7010</v>
      </c>
      <c r="K3103" s="154" t="s">
        <v>240</v>
      </c>
    </row>
    <row r="3104">
      <c r="A3104" s="154" t="s">
        <v>7011</v>
      </c>
      <c r="B3104" s="155"/>
      <c r="C3104" s="154" t="s">
        <v>7012</v>
      </c>
      <c r="D3104" s="155"/>
      <c r="E3104" s="155"/>
      <c r="F3104" s="154" t="s">
        <v>7013</v>
      </c>
      <c r="G3104" s="154">
        <v>0.0</v>
      </c>
      <c r="H3104" s="156">
        <v>0.0</v>
      </c>
      <c r="I3104" s="156">
        <v>0.0</v>
      </c>
      <c r="J3104" s="156">
        <v>0.0</v>
      </c>
      <c r="K3104" s="156">
        <v>0.0</v>
      </c>
    </row>
    <row r="3105">
      <c r="A3105" s="154" t="s">
        <v>7011</v>
      </c>
      <c r="B3105" s="154" t="s">
        <v>7012</v>
      </c>
      <c r="C3105" s="155"/>
      <c r="D3105" s="154">
        <v>2.0</v>
      </c>
      <c r="E3105" s="154" t="s">
        <v>897</v>
      </c>
      <c r="F3105" s="154" t="s">
        <v>7013</v>
      </c>
      <c r="G3105" s="154">
        <v>0.0</v>
      </c>
      <c r="H3105" s="156">
        <v>0.0</v>
      </c>
      <c r="I3105" s="156">
        <v>0.0</v>
      </c>
      <c r="J3105" s="156">
        <v>0.0</v>
      </c>
      <c r="K3105" s="156">
        <v>0.0</v>
      </c>
    </row>
    <row r="3106">
      <c r="A3106" s="154" t="s">
        <v>7014</v>
      </c>
      <c r="B3106" s="155"/>
      <c r="C3106" s="154" t="s">
        <v>7015</v>
      </c>
      <c r="D3106" s="155"/>
      <c r="E3106" s="155"/>
      <c r="F3106" s="154" t="s">
        <v>7016</v>
      </c>
      <c r="G3106" s="154">
        <v>4.3721175E7</v>
      </c>
      <c r="H3106" s="156">
        <v>0.0</v>
      </c>
      <c r="I3106" s="154">
        <v>9.71552206968E11</v>
      </c>
      <c r="J3106" s="156">
        <v>0.0</v>
      </c>
      <c r="K3106" s="154" t="s">
        <v>361</v>
      </c>
    </row>
    <row r="3107">
      <c r="A3107" s="154" t="s">
        <v>7014</v>
      </c>
      <c r="B3107" s="154" t="s">
        <v>7015</v>
      </c>
      <c r="C3107" s="155"/>
      <c r="D3107" s="154">
        <v>2.0</v>
      </c>
      <c r="E3107" s="154" t="s">
        <v>897</v>
      </c>
      <c r="F3107" s="154" t="s">
        <v>7016</v>
      </c>
      <c r="G3107" s="154">
        <v>4.3721175E7</v>
      </c>
      <c r="H3107" s="156">
        <v>0.0</v>
      </c>
      <c r="I3107" s="154">
        <v>9.71552206968E11</v>
      </c>
      <c r="J3107" s="156">
        <v>0.0</v>
      </c>
      <c r="K3107" s="154" t="s">
        <v>361</v>
      </c>
    </row>
    <row r="3108">
      <c r="A3108" s="154" t="s">
        <v>7017</v>
      </c>
      <c r="B3108" s="155"/>
      <c r="C3108" s="154" t="s">
        <v>7018</v>
      </c>
      <c r="D3108" s="155"/>
      <c r="E3108" s="155"/>
      <c r="F3108" s="154" t="s">
        <v>7019</v>
      </c>
      <c r="G3108" s="156">
        <v>0.0</v>
      </c>
      <c r="H3108" s="154" t="s">
        <v>1437</v>
      </c>
      <c r="I3108" s="154" t="s">
        <v>7020</v>
      </c>
      <c r="J3108" s="156">
        <v>0.0</v>
      </c>
      <c r="K3108" s="154" t="s">
        <v>760</v>
      </c>
    </row>
    <row r="3109">
      <c r="A3109" s="154" t="s">
        <v>7017</v>
      </c>
      <c r="B3109" s="154" t="s">
        <v>7018</v>
      </c>
      <c r="C3109" s="155"/>
      <c r="D3109" s="154">
        <v>2.0</v>
      </c>
      <c r="E3109" s="154" t="s">
        <v>897</v>
      </c>
      <c r="F3109" s="154" t="s">
        <v>3429</v>
      </c>
      <c r="G3109" s="154">
        <v>9.71042821E11</v>
      </c>
      <c r="H3109" s="154" t="s">
        <v>2022</v>
      </c>
      <c r="I3109" s="156">
        <v>0.0</v>
      </c>
      <c r="J3109" s="156">
        <v>0.0</v>
      </c>
      <c r="K3109" s="156">
        <v>0.0</v>
      </c>
    </row>
    <row r="3110">
      <c r="A3110" s="154" t="s">
        <v>7021</v>
      </c>
      <c r="B3110" s="155"/>
      <c r="C3110" s="154" t="s">
        <v>7022</v>
      </c>
      <c r="D3110" s="155"/>
      <c r="E3110" s="155"/>
      <c r="F3110" s="154" t="s">
        <v>7023</v>
      </c>
      <c r="G3110" s="156">
        <v>0.0</v>
      </c>
      <c r="H3110" s="154" t="s">
        <v>5965</v>
      </c>
      <c r="I3110" s="154" t="s">
        <v>5966</v>
      </c>
      <c r="J3110" s="154" t="s">
        <v>7024</v>
      </c>
      <c r="K3110" s="154" t="s">
        <v>207</v>
      </c>
    </row>
    <row r="3111">
      <c r="A3111" s="154" t="s">
        <v>7021</v>
      </c>
      <c r="B3111" s="154" t="s">
        <v>7022</v>
      </c>
      <c r="C3111" s="155"/>
      <c r="D3111" s="154">
        <v>2.0</v>
      </c>
      <c r="E3111" s="154" t="s">
        <v>897</v>
      </c>
      <c r="F3111" s="154" t="s">
        <v>7023</v>
      </c>
      <c r="G3111" s="156">
        <v>0.0</v>
      </c>
      <c r="H3111" s="154" t="s">
        <v>5965</v>
      </c>
      <c r="I3111" s="154" t="s">
        <v>5966</v>
      </c>
      <c r="J3111" s="154" t="s">
        <v>7024</v>
      </c>
      <c r="K3111" s="154" t="s">
        <v>207</v>
      </c>
    </row>
    <row r="3112">
      <c r="A3112" s="154" t="s">
        <v>7025</v>
      </c>
      <c r="B3112" s="154" t="s">
        <v>7026</v>
      </c>
      <c r="C3112" s="155"/>
      <c r="D3112" s="154">
        <v>2.0</v>
      </c>
      <c r="E3112" s="154" t="s">
        <v>897</v>
      </c>
      <c r="F3112" s="154" t="s">
        <v>7027</v>
      </c>
      <c r="G3112" s="154">
        <v>0.0</v>
      </c>
      <c r="H3112" s="156">
        <v>0.0</v>
      </c>
      <c r="I3112" s="156">
        <v>0.0</v>
      </c>
      <c r="J3112" s="156">
        <v>0.0</v>
      </c>
      <c r="K3112" s="154" t="s">
        <v>361</v>
      </c>
    </row>
    <row r="3113">
      <c r="A3113" s="154" t="s">
        <v>7025</v>
      </c>
      <c r="B3113" s="155"/>
      <c r="C3113" s="154" t="s">
        <v>7026</v>
      </c>
      <c r="D3113" s="155"/>
      <c r="E3113" s="155"/>
      <c r="F3113" s="154" t="s">
        <v>7027</v>
      </c>
      <c r="G3113" s="154">
        <v>0.0</v>
      </c>
      <c r="H3113" s="156">
        <v>0.0</v>
      </c>
      <c r="I3113" s="156">
        <v>0.0</v>
      </c>
      <c r="J3113" s="156">
        <v>0.0</v>
      </c>
      <c r="K3113" s="154" t="s">
        <v>361</v>
      </c>
    </row>
    <row r="3114">
      <c r="A3114" s="154" t="s">
        <v>7028</v>
      </c>
      <c r="B3114" s="154" t="s">
        <v>7029</v>
      </c>
      <c r="C3114" s="155"/>
      <c r="D3114" s="154">
        <v>2.0</v>
      </c>
      <c r="E3114" s="154" t="s">
        <v>897</v>
      </c>
      <c r="F3114" s="154" t="s">
        <v>7030</v>
      </c>
      <c r="G3114" s="156">
        <v>0.0</v>
      </c>
      <c r="H3114" s="154" t="s">
        <v>7031</v>
      </c>
      <c r="I3114" s="154" t="s">
        <v>7032</v>
      </c>
      <c r="J3114" s="154" t="s">
        <v>7033</v>
      </c>
      <c r="K3114" s="154" t="s">
        <v>914</v>
      </c>
    </row>
    <row r="3115">
      <c r="A3115" s="154" t="s">
        <v>7028</v>
      </c>
      <c r="B3115" s="155"/>
      <c r="C3115" s="154" t="s">
        <v>7029</v>
      </c>
      <c r="D3115" s="155"/>
      <c r="E3115" s="155"/>
      <c r="F3115" s="154" t="s">
        <v>7030</v>
      </c>
      <c r="G3115" s="156">
        <v>0.0</v>
      </c>
      <c r="H3115" s="154" t="s">
        <v>7031</v>
      </c>
      <c r="I3115" s="154" t="s">
        <v>7032</v>
      </c>
      <c r="J3115" s="154" t="s">
        <v>7033</v>
      </c>
      <c r="K3115" s="154" t="s">
        <v>914</v>
      </c>
    </row>
    <row r="3116">
      <c r="A3116" s="154" t="s">
        <v>7034</v>
      </c>
      <c r="B3116" s="154" t="s">
        <v>7035</v>
      </c>
      <c r="C3116" s="155"/>
      <c r="D3116" s="154">
        <v>2.0</v>
      </c>
      <c r="E3116" s="154" t="s">
        <v>897</v>
      </c>
      <c r="F3116" s="154" t="s">
        <v>7036</v>
      </c>
      <c r="G3116" s="154" t="s">
        <v>7037</v>
      </c>
      <c r="H3116" s="154" t="s">
        <v>7038</v>
      </c>
      <c r="I3116" s="154" t="s">
        <v>7039</v>
      </c>
      <c r="J3116" s="154" t="s">
        <v>7040</v>
      </c>
      <c r="K3116" s="154" t="s">
        <v>361</v>
      </c>
    </row>
    <row r="3117">
      <c r="A3117" s="154" t="s">
        <v>7034</v>
      </c>
      <c r="B3117" s="155"/>
      <c r="C3117" s="154" t="s">
        <v>7035</v>
      </c>
      <c r="D3117" s="155"/>
      <c r="E3117" s="155"/>
      <c r="F3117" s="154" t="s">
        <v>7036</v>
      </c>
      <c r="G3117" s="154" t="s">
        <v>7037</v>
      </c>
      <c r="H3117" s="154" t="s">
        <v>7038</v>
      </c>
      <c r="I3117" s="154" t="s">
        <v>7039</v>
      </c>
      <c r="J3117" s="154" t="s">
        <v>7040</v>
      </c>
      <c r="K3117" s="154" t="s">
        <v>361</v>
      </c>
    </row>
    <row r="3118">
      <c r="A3118" s="154" t="s">
        <v>7041</v>
      </c>
      <c r="B3118" s="154" t="s">
        <v>7042</v>
      </c>
      <c r="C3118" s="155"/>
      <c r="D3118" s="154">
        <v>2.0</v>
      </c>
      <c r="E3118" s="154" t="s">
        <v>897</v>
      </c>
      <c r="F3118" s="154" t="s">
        <v>7043</v>
      </c>
      <c r="G3118" s="156">
        <v>0.0</v>
      </c>
      <c r="H3118" s="154" t="s">
        <v>7038</v>
      </c>
      <c r="I3118" s="154" t="s">
        <v>7044</v>
      </c>
      <c r="J3118" s="154" t="s">
        <v>7040</v>
      </c>
      <c r="K3118" s="154" t="s">
        <v>7045</v>
      </c>
    </row>
    <row r="3119">
      <c r="A3119" s="154" t="s">
        <v>7041</v>
      </c>
      <c r="B3119" s="155"/>
      <c r="C3119" s="154" t="s">
        <v>7042</v>
      </c>
      <c r="D3119" s="155"/>
      <c r="E3119" s="155"/>
      <c r="F3119" s="154" t="s">
        <v>7043</v>
      </c>
      <c r="G3119" s="156">
        <v>0.0</v>
      </c>
      <c r="H3119" s="154" t="s">
        <v>7038</v>
      </c>
      <c r="I3119" s="154" t="s">
        <v>7044</v>
      </c>
      <c r="J3119" s="154" t="s">
        <v>7040</v>
      </c>
      <c r="K3119" s="154" t="s">
        <v>7045</v>
      </c>
    </row>
    <row r="3120">
      <c r="A3120" s="154" t="s">
        <v>7046</v>
      </c>
      <c r="B3120" s="154" t="s">
        <v>7047</v>
      </c>
      <c r="C3120" s="155"/>
      <c r="D3120" s="154">
        <v>2.0</v>
      </c>
      <c r="E3120" s="154" t="s">
        <v>897</v>
      </c>
      <c r="F3120" s="154" t="s">
        <v>7048</v>
      </c>
      <c r="G3120" s="154">
        <v>4.8141111E7</v>
      </c>
      <c r="H3120" s="154" t="s">
        <v>7049</v>
      </c>
      <c r="I3120" s="154" t="s">
        <v>7050</v>
      </c>
      <c r="J3120" s="156">
        <v>0.0</v>
      </c>
      <c r="K3120" s="154" t="s">
        <v>361</v>
      </c>
    </row>
    <row r="3121">
      <c r="A3121" s="154" t="s">
        <v>7046</v>
      </c>
      <c r="B3121" s="155"/>
      <c r="C3121" s="154" t="s">
        <v>7047</v>
      </c>
      <c r="D3121" s="155"/>
      <c r="E3121" s="155"/>
      <c r="F3121" s="154" t="s">
        <v>7048</v>
      </c>
      <c r="G3121" s="154">
        <v>4.8141111E7</v>
      </c>
      <c r="H3121" s="154" t="s">
        <v>7049</v>
      </c>
      <c r="I3121" s="154" t="s">
        <v>7050</v>
      </c>
      <c r="J3121" s="156">
        <v>0.0</v>
      </c>
      <c r="K3121" s="154" t="s">
        <v>361</v>
      </c>
    </row>
    <row r="3122">
      <c r="A3122" s="154" t="s">
        <v>7051</v>
      </c>
      <c r="B3122" s="154" t="s">
        <v>7052</v>
      </c>
      <c r="C3122" s="155"/>
      <c r="D3122" s="154">
        <v>2.0</v>
      </c>
      <c r="E3122" s="154" t="s">
        <v>897</v>
      </c>
      <c r="F3122" s="154" t="s">
        <v>7053</v>
      </c>
      <c r="G3122" s="156">
        <v>0.0</v>
      </c>
      <c r="H3122" s="156">
        <v>0.0</v>
      </c>
      <c r="I3122" s="154" t="s">
        <v>7054</v>
      </c>
      <c r="J3122" s="154" t="s">
        <v>7055</v>
      </c>
      <c r="K3122" s="154" t="s">
        <v>361</v>
      </c>
    </row>
    <row r="3123">
      <c r="A3123" s="154" t="s">
        <v>7051</v>
      </c>
      <c r="B3123" s="155"/>
      <c r="C3123" s="154" t="s">
        <v>7052</v>
      </c>
      <c r="D3123" s="155"/>
      <c r="E3123" s="155"/>
      <c r="F3123" s="154" t="s">
        <v>7056</v>
      </c>
      <c r="G3123" s="156">
        <v>0.0</v>
      </c>
      <c r="H3123" s="156">
        <v>0.0</v>
      </c>
      <c r="I3123" s="154" t="s">
        <v>7054</v>
      </c>
      <c r="J3123" s="154" t="s">
        <v>7055</v>
      </c>
      <c r="K3123" s="154" t="s">
        <v>361</v>
      </c>
    </row>
    <row r="3124">
      <c r="A3124" s="154" t="s">
        <v>7057</v>
      </c>
      <c r="B3124" s="154" t="s">
        <v>7058</v>
      </c>
      <c r="C3124" s="155"/>
      <c r="D3124" s="154">
        <v>2.0</v>
      </c>
      <c r="E3124" s="154" t="s">
        <v>897</v>
      </c>
      <c r="F3124" s="154" t="s">
        <v>7059</v>
      </c>
      <c r="G3124" s="156">
        <v>0.0</v>
      </c>
      <c r="H3124" s="156">
        <v>0.0</v>
      </c>
      <c r="I3124" s="154" t="s">
        <v>853</v>
      </c>
      <c r="J3124" s="154" t="s">
        <v>809</v>
      </c>
      <c r="K3124" s="154" t="s">
        <v>207</v>
      </c>
    </row>
    <row r="3125">
      <c r="A3125" s="154" t="s">
        <v>7057</v>
      </c>
      <c r="B3125" s="155"/>
      <c r="C3125" s="154" t="s">
        <v>7058</v>
      </c>
      <c r="D3125" s="155"/>
      <c r="E3125" s="155"/>
      <c r="F3125" s="154" t="s">
        <v>7059</v>
      </c>
      <c r="G3125" s="156">
        <v>0.0</v>
      </c>
      <c r="H3125" s="156">
        <v>0.0</v>
      </c>
      <c r="I3125" s="154" t="s">
        <v>853</v>
      </c>
      <c r="J3125" s="154" t="s">
        <v>809</v>
      </c>
      <c r="K3125" s="154" t="s">
        <v>207</v>
      </c>
    </row>
    <row r="3126">
      <c r="A3126" s="154" t="s">
        <v>7060</v>
      </c>
      <c r="B3126" s="155"/>
      <c r="C3126" s="154" t="s">
        <v>7061</v>
      </c>
      <c r="D3126" s="155"/>
      <c r="E3126" s="155"/>
      <c r="F3126" s="154" t="s">
        <v>7062</v>
      </c>
      <c r="G3126" s="154">
        <v>5.06511732E8</v>
      </c>
      <c r="H3126" s="156">
        <v>0.0</v>
      </c>
      <c r="I3126" s="154" t="s">
        <v>7063</v>
      </c>
      <c r="J3126" s="156">
        <v>0.0</v>
      </c>
      <c r="K3126" s="154" t="s">
        <v>207</v>
      </c>
    </row>
    <row r="3127">
      <c r="A3127" s="154" t="s">
        <v>7060</v>
      </c>
      <c r="B3127" s="154" t="s">
        <v>7061</v>
      </c>
      <c r="C3127" s="155"/>
      <c r="D3127" s="154">
        <v>2.0</v>
      </c>
      <c r="E3127" s="154" t="s">
        <v>897</v>
      </c>
      <c r="F3127" s="154" t="s">
        <v>7064</v>
      </c>
      <c r="G3127" s="154" t="s">
        <v>7065</v>
      </c>
      <c r="H3127" s="156">
        <v>0.0</v>
      </c>
      <c r="I3127" s="154">
        <v>9.71504466572E11</v>
      </c>
      <c r="J3127" s="156">
        <v>0.0</v>
      </c>
      <c r="K3127" s="154" t="s">
        <v>846</v>
      </c>
    </row>
    <row r="3128">
      <c r="A3128" s="154" t="s">
        <v>7066</v>
      </c>
      <c r="B3128" s="155"/>
      <c r="C3128" s="154" t="s">
        <v>7067</v>
      </c>
      <c r="D3128" s="155"/>
      <c r="E3128" s="155"/>
      <c r="F3128" s="154" t="s">
        <v>7068</v>
      </c>
      <c r="G3128" s="154">
        <v>5.05681973E8</v>
      </c>
      <c r="H3128" s="156">
        <v>0.0</v>
      </c>
      <c r="I3128" s="154">
        <v>9.71505681973E11</v>
      </c>
      <c r="J3128" s="156">
        <v>0.0</v>
      </c>
      <c r="K3128" s="154" t="s">
        <v>259</v>
      </c>
    </row>
    <row r="3129">
      <c r="A3129" s="154" t="s">
        <v>7066</v>
      </c>
      <c r="B3129" s="154" t="s">
        <v>7067</v>
      </c>
      <c r="C3129" s="155"/>
      <c r="D3129" s="154">
        <v>2.0</v>
      </c>
      <c r="E3129" s="154" t="s">
        <v>897</v>
      </c>
      <c r="F3129" s="154" t="s">
        <v>7068</v>
      </c>
      <c r="G3129" s="154">
        <v>5.05681973E8</v>
      </c>
      <c r="H3129" s="156">
        <v>0.0</v>
      </c>
      <c r="I3129" s="154">
        <v>9.71505681973E11</v>
      </c>
      <c r="J3129" s="156">
        <v>0.0</v>
      </c>
      <c r="K3129" s="154" t="s">
        <v>259</v>
      </c>
    </row>
    <row r="3130">
      <c r="A3130" s="154" t="s">
        <v>7069</v>
      </c>
      <c r="B3130" s="155"/>
      <c r="C3130" s="154" t="s">
        <v>7070</v>
      </c>
      <c r="D3130" s="155"/>
      <c r="E3130" s="155"/>
      <c r="F3130" s="154" t="s">
        <v>7071</v>
      </c>
      <c r="G3130" s="156">
        <v>0.0</v>
      </c>
      <c r="H3130" s="156">
        <v>0.0</v>
      </c>
      <c r="I3130" s="154" t="s">
        <v>7072</v>
      </c>
      <c r="J3130" s="156">
        <v>0.0</v>
      </c>
      <c r="K3130" s="154" t="s">
        <v>884</v>
      </c>
    </row>
    <row r="3131">
      <c r="A3131" s="154" t="s">
        <v>7069</v>
      </c>
      <c r="B3131" s="154" t="s">
        <v>7070</v>
      </c>
      <c r="C3131" s="155"/>
      <c r="D3131" s="154">
        <v>2.0</v>
      </c>
      <c r="E3131" s="154" t="s">
        <v>897</v>
      </c>
      <c r="F3131" s="154" t="s">
        <v>7071</v>
      </c>
      <c r="G3131" s="156">
        <v>0.0</v>
      </c>
      <c r="H3131" s="156">
        <v>0.0</v>
      </c>
      <c r="I3131" s="154" t="s">
        <v>7072</v>
      </c>
      <c r="J3131" s="156">
        <v>0.0</v>
      </c>
      <c r="K3131" s="154" t="s">
        <v>884</v>
      </c>
    </row>
    <row r="3132">
      <c r="A3132" s="154" t="s">
        <v>7073</v>
      </c>
      <c r="B3132" s="155"/>
      <c r="C3132" s="154" t="s">
        <v>7074</v>
      </c>
      <c r="D3132" s="155"/>
      <c r="E3132" s="155"/>
      <c r="F3132" s="154" t="s">
        <v>1619</v>
      </c>
      <c r="G3132" s="154">
        <v>4.3903333E7</v>
      </c>
      <c r="H3132" s="154" t="s">
        <v>1620</v>
      </c>
      <c r="I3132" s="156">
        <v>0.0</v>
      </c>
      <c r="J3132" s="156">
        <v>0.0</v>
      </c>
      <c r="K3132" s="156">
        <v>0.0</v>
      </c>
    </row>
    <row r="3133">
      <c r="A3133" s="154" t="s">
        <v>7073</v>
      </c>
      <c r="B3133" s="154" t="s">
        <v>7074</v>
      </c>
      <c r="C3133" s="155"/>
      <c r="D3133" s="154">
        <v>2.0</v>
      </c>
      <c r="E3133" s="154" t="s">
        <v>897</v>
      </c>
      <c r="F3133" s="154" t="s">
        <v>7075</v>
      </c>
      <c r="G3133" s="154">
        <v>4.3296657E7</v>
      </c>
      <c r="H3133" s="156">
        <v>0.0</v>
      </c>
      <c r="I3133" s="154">
        <v>9.7150525059E11</v>
      </c>
      <c r="J3133" s="156">
        <v>0.0</v>
      </c>
      <c r="K3133" s="154" t="s">
        <v>361</v>
      </c>
    </row>
    <row r="3134">
      <c r="A3134" s="154" t="s">
        <v>7076</v>
      </c>
      <c r="B3134" s="155"/>
      <c r="C3134" s="154" t="s">
        <v>7077</v>
      </c>
      <c r="D3134" s="155"/>
      <c r="E3134" s="155"/>
      <c r="F3134" s="154" t="s">
        <v>7078</v>
      </c>
      <c r="G3134" s="156">
        <v>0.0</v>
      </c>
      <c r="H3134" s="154" t="s">
        <v>7079</v>
      </c>
      <c r="I3134" s="154" t="s">
        <v>7080</v>
      </c>
      <c r="J3134" s="154" t="s">
        <v>7081</v>
      </c>
      <c r="K3134" s="154" t="s">
        <v>914</v>
      </c>
    </row>
    <row r="3135">
      <c r="A3135" s="154" t="s">
        <v>7076</v>
      </c>
      <c r="B3135" s="154" t="s">
        <v>7077</v>
      </c>
      <c r="C3135" s="155"/>
      <c r="D3135" s="154">
        <v>2.0</v>
      </c>
      <c r="E3135" s="154" t="s">
        <v>897</v>
      </c>
      <c r="F3135" s="154" t="s">
        <v>7078</v>
      </c>
      <c r="G3135" s="156">
        <v>0.0</v>
      </c>
      <c r="H3135" s="154" t="s">
        <v>7079</v>
      </c>
      <c r="I3135" s="154" t="s">
        <v>7080</v>
      </c>
      <c r="J3135" s="154" t="s">
        <v>7081</v>
      </c>
      <c r="K3135" s="154" t="s">
        <v>914</v>
      </c>
    </row>
    <row r="3136">
      <c r="A3136" s="154" t="s">
        <v>7082</v>
      </c>
      <c r="B3136" s="155"/>
      <c r="C3136" s="154" t="s">
        <v>7083</v>
      </c>
      <c r="D3136" s="155"/>
      <c r="E3136" s="155"/>
      <c r="F3136" s="154" t="s">
        <v>7084</v>
      </c>
      <c r="G3136" s="156">
        <v>0.0</v>
      </c>
      <c r="H3136" s="156">
        <v>0.0</v>
      </c>
      <c r="I3136" s="154" t="s">
        <v>7085</v>
      </c>
      <c r="J3136" s="154" t="s">
        <v>7086</v>
      </c>
      <c r="K3136" s="154" t="s">
        <v>361</v>
      </c>
    </row>
    <row r="3137">
      <c r="A3137" s="154" t="s">
        <v>7082</v>
      </c>
      <c r="B3137" s="154" t="s">
        <v>7083</v>
      </c>
      <c r="C3137" s="155"/>
      <c r="D3137" s="154">
        <v>2.0</v>
      </c>
      <c r="E3137" s="154" t="s">
        <v>897</v>
      </c>
      <c r="F3137" s="154" t="s">
        <v>7084</v>
      </c>
      <c r="G3137" s="156">
        <v>0.0</v>
      </c>
      <c r="H3137" s="156">
        <v>0.0</v>
      </c>
      <c r="I3137" s="154" t="s">
        <v>7085</v>
      </c>
      <c r="J3137" s="154" t="s">
        <v>7086</v>
      </c>
      <c r="K3137" s="154" t="s">
        <v>361</v>
      </c>
    </row>
    <row r="3138">
      <c r="A3138" s="154" t="s">
        <v>7087</v>
      </c>
      <c r="B3138" s="155"/>
      <c r="C3138" s="154" t="s">
        <v>7088</v>
      </c>
      <c r="D3138" s="155"/>
      <c r="E3138" s="155"/>
      <c r="F3138" s="154" t="s">
        <v>7089</v>
      </c>
      <c r="G3138" s="156">
        <v>0.0</v>
      </c>
      <c r="H3138" s="156">
        <v>0.0</v>
      </c>
      <c r="I3138" s="154" t="s">
        <v>853</v>
      </c>
      <c r="J3138" s="156">
        <v>0.0</v>
      </c>
      <c r="K3138" s="154" t="s">
        <v>361</v>
      </c>
    </row>
    <row r="3139">
      <c r="A3139" s="154" t="s">
        <v>7087</v>
      </c>
      <c r="B3139" s="154" t="s">
        <v>7088</v>
      </c>
      <c r="C3139" s="155"/>
      <c r="D3139" s="154">
        <v>2.0</v>
      </c>
      <c r="E3139" s="154" t="s">
        <v>897</v>
      </c>
      <c r="F3139" s="154" t="s">
        <v>7089</v>
      </c>
      <c r="G3139" s="156">
        <v>0.0</v>
      </c>
      <c r="H3139" s="156">
        <v>0.0</v>
      </c>
      <c r="I3139" s="154" t="s">
        <v>853</v>
      </c>
      <c r="J3139" s="156">
        <v>0.0</v>
      </c>
      <c r="K3139" s="154" t="s">
        <v>361</v>
      </c>
    </row>
    <row r="3140">
      <c r="A3140" s="154" t="s">
        <v>7090</v>
      </c>
      <c r="B3140" s="154" t="s">
        <v>7091</v>
      </c>
      <c r="C3140" s="155"/>
      <c r="D3140" s="154">
        <v>2.0</v>
      </c>
      <c r="E3140" s="154" t="s">
        <v>897</v>
      </c>
      <c r="F3140" s="154" t="s">
        <v>7092</v>
      </c>
      <c r="G3140" s="156">
        <v>0.0</v>
      </c>
      <c r="H3140" s="154" t="s">
        <v>7093</v>
      </c>
      <c r="I3140" s="154" t="s">
        <v>7094</v>
      </c>
      <c r="J3140" s="156">
        <v>0.0</v>
      </c>
      <c r="K3140" s="154" t="s">
        <v>207</v>
      </c>
    </row>
    <row r="3141">
      <c r="A3141" s="154" t="s">
        <v>7090</v>
      </c>
      <c r="B3141" s="155"/>
      <c r="C3141" s="154" t="s">
        <v>7091</v>
      </c>
      <c r="D3141" s="155"/>
      <c r="E3141" s="155"/>
      <c r="F3141" s="154" t="s">
        <v>7092</v>
      </c>
      <c r="G3141" s="156">
        <v>0.0</v>
      </c>
      <c r="H3141" s="154" t="s">
        <v>7093</v>
      </c>
      <c r="I3141" s="154" t="s">
        <v>7094</v>
      </c>
      <c r="J3141" s="156">
        <v>0.0</v>
      </c>
      <c r="K3141" s="154" t="s">
        <v>207</v>
      </c>
    </row>
    <row r="3142">
      <c r="A3142" s="154" t="s">
        <v>7095</v>
      </c>
      <c r="B3142" s="154" t="s">
        <v>7096</v>
      </c>
      <c r="C3142" s="155"/>
      <c r="D3142" s="154">
        <v>2.0</v>
      </c>
      <c r="E3142" s="154" t="s">
        <v>1237</v>
      </c>
      <c r="F3142" s="154" t="s">
        <v>7097</v>
      </c>
      <c r="G3142" s="154">
        <v>5.04521126E8</v>
      </c>
      <c r="H3142" s="154" t="s">
        <v>7098</v>
      </c>
      <c r="I3142" s="154">
        <v>9.71504521076E11</v>
      </c>
      <c r="J3142" s="156">
        <v>0.0</v>
      </c>
      <c r="K3142" s="154" t="s">
        <v>197</v>
      </c>
    </row>
    <row r="3143">
      <c r="A3143" s="154" t="s">
        <v>7095</v>
      </c>
      <c r="B3143" s="155"/>
      <c r="C3143" s="154" t="s">
        <v>7096</v>
      </c>
      <c r="D3143" s="155"/>
      <c r="E3143" s="155"/>
      <c r="F3143" s="154" t="s">
        <v>7097</v>
      </c>
      <c r="G3143" s="154">
        <v>5.04521126E8</v>
      </c>
      <c r="H3143" s="154" t="s">
        <v>7098</v>
      </c>
      <c r="I3143" s="154">
        <v>9.71504521076E11</v>
      </c>
      <c r="J3143" s="156">
        <v>0.0</v>
      </c>
      <c r="K3143" s="154" t="s">
        <v>197</v>
      </c>
    </row>
    <row r="3144">
      <c r="A3144" s="154" t="s">
        <v>7099</v>
      </c>
      <c r="B3144" s="154" t="s">
        <v>7100</v>
      </c>
      <c r="C3144" s="155"/>
      <c r="D3144" s="154">
        <v>2.0</v>
      </c>
      <c r="E3144" s="154" t="s">
        <v>1237</v>
      </c>
      <c r="F3144" s="154" t="s">
        <v>7101</v>
      </c>
      <c r="G3144" s="154">
        <v>971.0</v>
      </c>
      <c r="H3144" s="156">
        <v>0.0</v>
      </c>
      <c r="I3144" s="154" t="s">
        <v>7102</v>
      </c>
      <c r="J3144" s="154" t="s">
        <v>7103</v>
      </c>
      <c r="K3144" s="154" t="s">
        <v>197</v>
      </c>
    </row>
    <row r="3145">
      <c r="A3145" s="154" t="s">
        <v>7099</v>
      </c>
      <c r="B3145" s="155"/>
      <c r="C3145" s="154" t="s">
        <v>7100</v>
      </c>
      <c r="D3145" s="155"/>
      <c r="E3145" s="155"/>
      <c r="F3145" s="154" t="s">
        <v>7104</v>
      </c>
      <c r="G3145" s="154">
        <v>971.0</v>
      </c>
      <c r="H3145" s="156">
        <v>0.0</v>
      </c>
      <c r="I3145" s="154" t="s">
        <v>7105</v>
      </c>
      <c r="J3145" s="154" t="s">
        <v>7106</v>
      </c>
      <c r="K3145" s="154" t="s">
        <v>197</v>
      </c>
    </row>
    <row r="3146">
      <c r="A3146" s="154" t="s">
        <v>7107</v>
      </c>
      <c r="B3146" s="155"/>
      <c r="C3146" s="154" t="s">
        <v>7108</v>
      </c>
      <c r="D3146" s="155"/>
      <c r="E3146" s="155"/>
      <c r="F3146" s="154" t="s">
        <v>6817</v>
      </c>
      <c r="G3146" s="156">
        <v>0.0</v>
      </c>
      <c r="H3146" s="154" t="s">
        <v>6818</v>
      </c>
      <c r="I3146" s="154" t="s">
        <v>6819</v>
      </c>
      <c r="J3146" s="154" t="s">
        <v>6820</v>
      </c>
      <c r="K3146" s="154" t="s">
        <v>361</v>
      </c>
    </row>
    <row r="3147">
      <c r="A3147" s="154" t="s">
        <v>7107</v>
      </c>
      <c r="B3147" s="154" t="s">
        <v>7108</v>
      </c>
      <c r="C3147" s="155"/>
      <c r="D3147" s="154">
        <v>2.0</v>
      </c>
      <c r="E3147" s="154" t="s">
        <v>1237</v>
      </c>
      <c r="F3147" s="154" t="s">
        <v>6817</v>
      </c>
      <c r="G3147" s="156">
        <v>0.0</v>
      </c>
      <c r="H3147" s="154" t="s">
        <v>6818</v>
      </c>
      <c r="I3147" s="154" t="s">
        <v>6819</v>
      </c>
      <c r="J3147" s="154" t="s">
        <v>6820</v>
      </c>
      <c r="K3147" s="154" t="s">
        <v>361</v>
      </c>
    </row>
    <row r="3148">
      <c r="A3148" s="154" t="s">
        <v>7109</v>
      </c>
      <c r="B3148" s="155"/>
      <c r="C3148" s="154" t="s">
        <v>7110</v>
      </c>
      <c r="D3148" s="155"/>
      <c r="E3148" s="155"/>
      <c r="F3148" s="154" t="s">
        <v>7111</v>
      </c>
      <c r="G3148" s="154">
        <v>9.71506524619E11</v>
      </c>
      <c r="H3148" s="156">
        <v>0.0</v>
      </c>
      <c r="I3148" s="154">
        <v>9.71506524619E11</v>
      </c>
      <c r="J3148" s="156">
        <v>0.0</v>
      </c>
      <c r="K3148" s="154" t="s">
        <v>329</v>
      </c>
    </row>
    <row r="3149">
      <c r="A3149" s="154" t="s">
        <v>7109</v>
      </c>
      <c r="B3149" s="154" t="s">
        <v>7110</v>
      </c>
      <c r="C3149" s="155"/>
      <c r="D3149" s="154">
        <v>2.0</v>
      </c>
      <c r="E3149" s="154" t="s">
        <v>1237</v>
      </c>
      <c r="F3149" s="154" t="s">
        <v>7111</v>
      </c>
      <c r="G3149" s="154">
        <v>9.71506524619E11</v>
      </c>
      <c r="H3149" s="156">
        <v>0.0</v>
      </c>
      <c r="I3149" s="154">
        <v>9.71506524619E11</v>
      </c>
      <c r="J3149" s="156">
        <v>0.0</v>
      </c>
      <c r="K3149" s="154" t="s">
        <v>329</v>
      </c>
    </row>
    <row r="3150">
      <c r="A3150" s="154" t="s">
        <v>7112</v>
      </c>
      <c r="B3150" s="154" t="s">
        <v>7113</v>
      </c>
      <c r="C3150" s="155"/>
      <c r="D3150" s="154">
        <v>2.0</v>
      </c>
      <c r="E3150" s="154" t="s">
        <v>1237</v>
      </c>
      <c r="F3150" s="154" t="s">
        <v>7114</v>
      </c>
      <c r="G3150" s="154" t="s">
        <v>7115</v>
      </c>
      <c r="H3150" s="154" t="s">
        <v>7116</v>
      </c>
      <c r="I3150" s="154" t="s">
        <v>7117</v>
      </c>
      <c r="J3150" s="156">
        <v>0.0</v>
      </c>
      <c r="K3150" s="154" t="s">
        <v>361</v>
      </c>
    </row>
    <row r="3151">
      <c r="A3151" s="154" t="s">
        <v>7112</v>
      </c>
      <c r="B3151" s="155"/>
      <c r="C3151" s="154" t="s">
        <v>7113</v>
      </c>
      <c r="D3151" s="155"/>
      <c r="E3151" s="155"/>
      <c r="F3151" s="154" t="s">
        <v>7114</v>
      </c>
      <c r="G3151" s="154" t="s">
        <v>7115</v>
      </c>
      <c r="H3151" s="154" t="s">
        <v>7116</v>
      </c>
      <c r="I3151" s="154" t="s">
        <v>7117</v>
      </c>
      <c r="J3151" s="156">
        <v>0.0</v>
      </c>
      <c r="K3151" s="154" t="s">
        <v>361</v>
      </c>
    </row>
    <row r="3152">
      <c r="A3152" s="154" t="s">
        <v>7118</v>
      </c>
      <c r="B3152" s="155"/>
      <c r="C3152" s="154" t="s">
        <v>7119</v>
      </c>
      <c r="D3152" s="155"/>
      <c r="E3152" s="155"/>
      <c r="F3152" s="154" t="s">
        <v>7120</v>
      </c>
      <c r="G3152" s="154">
        <v>0.0</v>
      </c>
      <c r="H3152" s="156">
        <v>0.0</v>
      </c>
      <c r="I3152" s="154">
        <v>9.7150652231E11</v>
      </c>
      <c r="J3152" s="156">
        <v>0.0</v>
      </c>
      <c r="K3152" s="154" t="s">
        <v>776</v>
      </c>
    </row>
    <row r="3153">
      <c r="A3153" s="154" t="s">
        <v>7118</v>
      </c>
      <c r="B3153" s="154" t="s">
        <v>7119</v>
      </c>
      <c r="C3153" s="155"/>
      <c r="D3153" s="154">
        <v>2.0</v>
      </c>
      <c r="E3153" s="154" t="s">
        <v>1237</v>
      </c>
      <c r="F3153" s="154" t="s">
        <v>7120</v>
      </c>
      <c r="G3153" s="154">
        <v>0.0</v>
      </c>
      <c r="H3153" s="156">
        <v>0.0</v>
      </c>
      <c r="I3153" s="154">
        <v>9.7150652231E11</v>
      </c>
      <c r="J3153" s="156">
        <v>0.0</v>
      </c>
      <c r="K3153" s="154" t="s">
        <v>776</v>
      </c>
    </row>
    <row r="3154">
      <c r="A3154" s="154" t="s">
        <v>7121</v>
      </c>
      <c r="B3154" s="155"/>
      <c r="C3154" s="154" t="s">
        <v>7122</v>
      </c>
      <c r="D3154" s="155"/>
      <c r="E3154" s="155"/>
      <c r="F3154" s="154" t="s">
        <v>5071</v>
      </c>
      <c r="G3154" s="154">
        <v>5.05383031E8</v>
      </c>
      <c r="H3154" s="156">
        <v>0.0</v>
      </c>
      <c r="I3154" s="154">
        <v>5.05383031E8</v>
      </c>
      <c r="J3154" s="156">
        <v>0.0</v>
      </c>
      <c r="K3154" s="154" t="s">
        <v>1731</v>
      </c>
    </row>
    <row r="3155">
      <c r="A3155" s="154" t="s">
        <v>7121</v>
      </c>
      <c r="B3155" s="154" t="s">
        <v>7122</v>
      </c>
      <c r="C3155" s="155"/>
      <c r="D3155" s="154">
        <v>2.0</v>
      </c>
      <c r="E3155" s="154" t="s">
        <v>1237</v>
      </c>
      <c r="F3155" s="154" t="s">
        <v>5071</v>
      </c>
      <c r="G3155" s="154">
        <v>5.05383031E8</v>
      </c>
      <c r="H3155" s="156">
        <v>0.0</v>
      </c>
      <c r="I3155" s="154">
        <v>5.05383031E8</v>
      </c>
      <c r="J3155" s="156">
        <v>0.0</v>
      </c>
      <c r="K3155" s="154" t="s">
        <v>1731</v>
      </c>
    </row>
    <row r="3156">
      <c r="A3156" s="154" t="s">
        <v>7123</v>
      </c>
      <c r="B3156" s="154" t="s">
        <v>7124</v>
      </c>
      <c r="C3156" s="155"/>
      <c r="D3156" s="154">
        <v>2.0</v>
      </c>
      <c r="E3156" s="154" t="s">
        <v>1237</v>
      </c>
      <c r="F3156" s="154" t="s">
        <v>1619</v>
      </c>
      <c r="G3156" s="154">
        <v>4.3903333E7</v>
      </c>
      <c r="H3156" s="154" t="s">
        <v>1620</v>
      </c>
      <c r="I3156" s="156">
        <v>0.0</v>
      </c>
      <c r="J3156" s="156">
        <v>0.0</v>
      </c>
      <c r="K3156" s="156">
        <v>0.0</v>
      </c>
    </row>
    <row r="3157">
      <c r="A3157" s="154" t="s">
        <v>7123</v>
      </c>
      <c r="B3157" s="155"/>
      <c r="C3157" s="154" t="s">
        <v>7124</v>
      </c>
      <c r="D3157" s="155"/>
      <c r="E3157" s="155"/>
      <c r="F3157" s="154" t="s">
        <v>7125</v>
      </c>
      <c r="G3157" s="154">
        <v>0.0</v>
      </c>
      <c r="H3157" s="156">
        <v>0.0</v>
      </c>
      <c r="I3157" s="154">
        <v>9.71506248019E11</v>
      </c>
      <c r="J3157" s="156">
        <v>0.0</v>
      </c>
      <c r="K3157" s="154" t="s">
        <v>361</v>
      </c>
    </row>
    <row r="3158">
      <c r="A3158" s="154" t="s">
        <v>7126</v>
      </c>
      <c r="B3158" s="154" t="s">
        <v>7127</v>
      </c>
      <c r="C3158" s="155"/>
      <c r="D3158" s="154">
        <v>2.0</v>
      </c>
      <c r="E3158" s="154" t="s">
        <v>1237</v>
      </c>
      <c r="F3158" s="154" t="s">
        <v>1619</v>
      </c>
      <c r="G3158" s="154">
        <v>4.3903333E7</v>
      </c>
      <c r="H3158" s="154" t="s">
        <v>1620</v>
      </c>
      <c r="I3158" s="156">
        <v>0.0</v>
      </c>
      <c r="J3158" s="156">
        <v>0.0</v>
      </c>
      <c r="K3158" s="156">
        <v>0.0</v>
      </c>
    </row>
    <row r="3159">
      <c r="A3159" s="154" t="s">
        <v>7126</v>
      </c>
      <c r="B3159" s="155"/>
      <c r="C3159" s="154" t="s">
        <v>7127</v>
      </c>
      <c r="D3159" s="155"/>
      <c r="E3159" s="155"/>
      <c r="F3159" s="154" t="s">
        <v>7128</v>
      </c>
      <c r="G3159" s="154" t="s">
        <v>7129</v>
      </c>
      <c r="H3159" s="156">
        <v>0.0</v>
      </c>
      <c r="I3159" s="154">
        <v>9.71505596084E11</v>
      </c>
      <c r="J3159" s="156">
        <v>0.0</v>
      </c>
      <c r="K3159" s="154" t="s">
        <v>3551</v>
      </c>
    </row>
    <row r="3160">
      <c r="A3160" s="154" t="s">
        <v>7130</v>
      </c>
      <c r="B3160" s="154" t="s">
        <v>7131</v>
      </c>
      <c r="C3160" s="155"/>
      <c r="D3160" s="154">
        <v>2.0</v>
      </c>
      <c r="E3160" s="154" t="s">
        <v>1237</v>
      </c>
      <c r="F3160" s="154" t="s">
        <v>7132</v>
      </c>
      <c r="G3160" s="154">
        <v>9.2214932125E10</v>
      </c>
      <c r="H3160" s="154" t="s">
        <v>7133</v>
      </c>
      <c r="I3160" s="154">
        <v>9.83008233222E11</v>
      </c>
      <c r="J3160" s="156">
        <v>0.0</v>
      </c>
      <c r="K3160" s="154" t="s">
        <v>760</v>
      </c>
    </row>
    <row r="3161">
      <c r="A3161" s="154" t="s">
        <v>7130</v>
      </c>
      <c r="B3161" s="155"/>
      <c r="C3161" s="154" t="s">
        <v>7131</v>
      </c>
      <c r="D3161" s="155"/>
      <c r="E3161" s="155"/>
      <c r="F3161" s="154" t="s">
        <v>7132</v>
      </c>
      <c r="G3161" s="154">
        <v>9.2214932125E10</v>
      </c>
      <c r="H3161" s="154" t="s">
        <v>7133</v>
      </c>
      <c r="I3161" s="154">
        <v>9.83008233222E11</v>
      </c>
      <c r="J3161" s="156">
        <v>0.0</v>
      </c>
      <c r="K3161" s="154" t="s">
        <v>760</v>
      </c>
    </row>
    <row r="3162">
      <c r="A3162" s="154" t="s">
        <v>7134</v>
      </c>
      <c r="B3162" s="155"/>
      <c r="C3162" s="154" t="s">
        <v>7135</v>
      </c>
      <c r="D3162" s="155"/>
      <c r="E3162" s="155"/>
      <c r="F3162" s="154" t="s">
        <v>2292</v>
      </c>
      <c r="G3162" s="154" t="s">
        <v>2293</v>
      </c>
      <c r="H3162" s="154" t="s">
        <v>2294</v>
      </c>
      <c r="I3162" s="154" t="s">
        <v>2295</v>
      </c>
      <c r="J3162" s="154" t="s">
        <v>2293</v>
      </c>
      <c r="K3162" s="154" t="s">
        <v>1426</v>
      </c>
    </row>
    <row r="3163">
      <c r="A3163" s="154" t="s">
        <v>7134</v>
      </c>
      <c r="B3163" s="154" t="s">
        <v>7135</v>
      </c>
      <c r="C3163" s="155"/>
      <c r="D3163" s="154">
        <v>2.0</v>
      </c>
      <c r="E3163" s="154" t="s">
        <v>1237</v>
      </c>
      <c r="F3163" s="154" t="s">
        <v>2292</v>
      </c>
      <c r="G3163" s="154" t="s">
        <v>2293</v>
      </c>
      <c r="H3163" s="154" t="s">
        <v>2294</v>
      </c>
      <c r="I3163" s="154" t="s">
        <v>2295</v>
      </c>
      <c r="J3163" s="154" t="s">
        <v>2293</v>
      </c>
      <c r="K3163" s="154" t="s">
        <v>1426</v>
      </c>
    </row>
    <row r="3164">
      <c r="A3164" s="154" t="s">
        <v>7136</v>
      </c>
      <c r="B3164" s="155"/>
      <c r="C3164" s="154" t="s">
        <v>7137</v>
      </c>
      <c r="D3164" s="155"/>
      <c r="E3164" s="155"/>
      <c r="F3164" s="154" t="s">
        <v>1190</v>
      </c>
      <c r="G3164" s="154">
        <v>5.0851975E8</v>
      </c>
      <c r="H3164" s="154" t="s">
        <v>1191</v>
      </c>
      <c r="I3164" s="156">
        <v>0.0</v>
      </c>
      <c r="J3164" s="156">
        <v>0.0</v>
      </c>
      <c r="K3164" s="156">
        <v>0.0</v>
      </c>
    </row>
    <row r="3165">
      <c r="A3165" s="154" t="s">
        <v>7136</v>
      </c>
      <c r="B3165" s="154" t="s">
        <v>7137</v>
      </c>
      <c r="C3165" s="155"/>
      <c r="D3165" s="154">
        <v>2.0</v>
      </c>
      <c r="E3165" s="154" t="s">
        <v>1237</v>
      </c>
      <c r="F3165" s="154" t="s">
        <v>1619</v>
      </c>
      <c r="G3165" s="154">
        <v>4.3903333E7</v>
      </c>
      <c r="H3165" s="154" t="s">
        <v>1620</v>
      </c>
      <c r="I3165" s="156">
        <v>0.0</v>
      </c>
      <c r="J3165" s="156">
        <v>0.0</v>
      </c>
      <c r="K3165" s="156">
        <v>0.0</v>
      </c>
    </row>
    <row r="3166">
      <c r="A3166" s="154" t="s">
        <v>7138</v>
      </c>
      <c r="B3166" s="154" t="s">
        <v>7139</v>
      </c>
      <c r="C3166" s="155"/>
      <c r="D3166" s="154">
        <v>2.0</v>
      </c>
      <c r="E3166" s="154" t="s">
        <v>1237</v>
      </c>
      <c r="F3166" s="154" t="s">
        <v>7140</v>
      </c>
      <c r="G3166" s="154">
        <v>9714.0</v>
      </c>
      <c r="H3166" s="156">
        <v>0.0</v>
      </c>
      <c r="I3166" s="154">
        <v>9.7150644355E11</v>
      </c>
      <c r="J3166" s="156">
        <v>0.0</v>
      </c>
      <c r="K3166" s="154" t="s">
        <v>361</v>
      </c>
    </row>
    <row r="3167">
      <c r="A3167" s="154" t="s">
        <v>7138</v>
      </c>
      <c r="B3167" s="155"/>
      <c r="C3167" s="154" t="s">
        <v>7139</v>
      </c>
      <c r="D3167" s="155"/>
      <c r="E3167" s="155"/>
      <c r="F3167" s="154" t="s">
        <v>7140</v>
      </c>
      <c r="G3167" s="154">
        <v>9714.0</v>
      </c>
      <c r="H3167" s="156">
        <v>0.0</v>
      </c>
      <c r="I3167" s="154">
        <v>9.7150644355E11</v>
      </c>
      <c r="J3167" s="156">
        <v>0.0</v>
      </c>
      <c r="K3167" s="154" t="s">
        <v>361</v>
      </c>
    </row>
    <row r="3168">
      <c r="A3168" s="154" t="s">
        <v>7141</v>
      </c>
      <c r="B3168" s="155"/>
      <c r="C3168" s="154" t="s">
        <v>7142</v>
      </c>
      <c r="D3168" s="155"/>
      <c r="E3168" s="155"/>
      <c r="F3168" s="154" t="s">
        <v>7143</v>
      </c>
      <c r="G3168" s="154">
        <v>4.4474633E7</v>
      </c>
      <c r="H3168" s="156">
        <v>0.0</v>
      </c>
      <c r="I3168" s="154" t="s">
        <v>7144</v>
      </c>
      <c r="J3168" s="156">
        <v>0.0</v>
      </c>
      <c r="K3168" s="154" t="s">
        <v>1461</v>
      </c>
    </row>
    <row r="3169">
      <c r="A3169" s="154" t="s">
        <v>7141</v>
      </c>
      <c r="B3169" s="154" t="s">
        <v>7142</v>
      </c>
      <c r="C3169" s="155"/>
      <c r="D3169" s="154">
        <v>2.0</v>
      </c>
      <c r="E3169" s="154" t="s">
        <v>1237</v>
      </c>
      <c r="F3169" s="154" t="s">
        <v>7143</v>
      </c>
      <c r="G3169" s="154">
        <v>4.4474633E7</v>
      </c>
      <c r="H3169" s="156">
        <v>0.0</v>
      </c>
      <c r="I3169" s="154" t="s">
        <v>7144</v>
      </c>
      <c r="J3169" s="156">
        <v>0.0</v>
      </c>
      <c r="K3169" s="154" t="s">
        <v>1461</v>
      </c>
    </row>
    <row r="3170">
      <c r="A3170" s="154" t="s">
        <v>7145</v>
      </c>
      <c r="B3170" s="154" t="s">
        <v>7146</v>
      </c>
      <c r="C3170" s="155"/>
      <c r="D3170" s="154">
        <v>2.0</v>
      </c>
      <c r="E3170" s="154" t="s">
        <v>1237</v>
      </c>
      <c r="F3170" s="154" t="s">
        <v>7147</v>
      </c>
      <c r="G3170" s="154">
        <v>3345121.0</v>
      </c>
      <c r="H3170" s="156">
        <v>0.0</v>
      </c>
      <c r="I3170" s="154">
        <v>5.06281617E8</v>
      </c>
      <c r="J3170" s="156">
        <v>0.0</v>
      </c>
      <c r="K3170" s="154" t="s">
        <v>361</v>
      </c>
    </row>
    <row r="3171">
      <c r="A3171" s="154" t="s">
        <v>7145</v>
      </c>
      <c r="B3171" s="155"/>
      <c r="C3171" s="154" t="s">
        <v>7146</v>
      </c>
      <c r="D3171" s="155"/>
      <c r="E3171" s="155"/>
      <c r="F3171" s="154" t="s">
        <v>7147</v>
      </c>
      <c r="G3171" s="154">
        <v>3345121.0</v>
      </c>
      <c r="H3171" s="156">
        <v>0.0</v>
      </c>
      <c r="I3171" s="154">
        <v>5.06281617E8</v>
      </c>
      <c r="J3171" s="156">
        <v>0.0</v>
      </c>
      <c r="K3171" s="154" t="s">
        <v>361</v>
      </c>
    </row>
    <row r="3172">
      <c r="A3172" s="154" t="s">
        <v>7148</v>
      </c>
      <c r="B3172" s="155"/>
      <c r="C3172" s="154" t="s">
        <v>7149</v>
      </c>
      <c r="D3172" s="155"/>
      <c r="E3172" s="155"/>
      <c r="F3172" s="154" t="s">
        <v>7150</v>
      </c>
      <c r="G3172" s="154">
        <v>2.415E7</v>
      </c>
      <c r="H3172" s="156">
        <v>0.0</v>
      </c>
      <c r="I3172" s="154">
        <v>5.04462977E8</v>
      </c>
      <c r="J3172" s="156">
        <v>0.0</v>
      </c>
      <c r="K3172" s="154" t="s">
        <v>197</v>
      </c>
    </row>
    <row r="3173">
      <c r="A3173" s="154" t="s">
        <v>7148</v>
      </c>
      <c r="B3173" s="154" t="s">
        <v>7149</v>
      </c>
      <c r="C3173" s="155"/>
      <c r="D3173" s="154">
        <v>2.0</v>
      </c>
      <c r="E3173" s="154" t="s">
        <v>1237</v>
      </c>
      <c r="F3173" s="154" t="s">
        <v>7151</v>
      </c>
      <c r="G3173" s="156">
        <v>0.0</v>
      </c>
      <c r="H3173" s="156">
        <v>0.0</v>
      </c>
      <c r="I3173" s="156">
        <v>0.0</v>
      </c>
      <c r="J3173" s="156">
        <v>0.0</v>
      </c>
      <c r="K3173" s="154" t="s">
        <v>197</v>
      </c>
    </row>
    <row r="3174">
      <c r="A3174" s="154" t="s">
        <v>7152</v>
      </c>
      <c r="B3174" s="155"/>
      <c r="C3174" s="154" t="s">
        <v>7153</v>
      </c>
      <c r="D3174" s="155"/>
      <c r="E3174" s="155"/>
      <c r="F3174" s="154" t="s">
        <v>7154</v>
      </c>
      <c r="G3174" s="154">
        <v>5.5529411E7</v>
      </c>
      <c r="H3174" s="156">
        <v>0.0</v>
      </c>
      <c r="I3174" s="156">
        <v>0.0</v>
      </c>
      <c r="J3174" s="156">
        <v>0.0</v>
      </c>
      <c r="K3174" s="156">
        <v>0.0</v>
      </c>
    </row>
    <row r="3175">
      <c r="A3175" s="154" t="s">
        <v>7152</v>
      </c>
      <c r="B3175" s="154" t="s">
        <v>7153</v>
      </c>
      <c r="C3175" s="155"/>
      <c r="D3175" s="154">
        <v>2.0</v>
      </c>
      <c r="E3175" s="154" t="s">
        <v>1237</v>
      </c>
      <c r="F3175" s="154" t="s">
        <v>7154</v>
      </c>
      <c r="G3175" s="154">
        <v>5.5529411E7</v>
      </c>
      <c r="H3175" s="156">
        <v>0.0</v>
      </c>
      <c r="I3175" s="156">
        <v>0.0</v>
      </c>
      <c r="J3175" s="156">
        <v>0.0</v>
      </c>
      <c r="K3175" s="156">
        <v>0.0</v>
      </c>
    </row>
    <row r="3176">
      <c r="A3176" s="154" t="s">
        <v>7155</v>
      </c>
      <c r="B3176" s="155"/>
      <c r="C3176" s="154" t="s">
        <v>7156</v>
      </c>
      <c r="D3176" s="155"/>
      <c r="E3176" s="155"/>
      <c r="F3176" s="154" t="s">
        <v>7157</v>
      </c>
      <c r="G3176" s="156">
        <v>0.0</v>
      </c>
      <c r="H3176" s="156">
        <v>0.0</v>
      </c>
      <c r="I3176" s="154" t="s">
        <v>7158</v>
      </c>
      <c r="J3176" s="154" t="s">
        <v>7159</v>
      </c>
      <c r="K3176" s="154" t="s">
        <v>207</v>
      </c>
    </row>
    <row r="3177">
      <c r="A3177" s="154" t="s">
        <v>7155</v>
      </c>
      <c r="B3177" s="154" t="s">
        <v>7156</v>
      </c>
      <c r="C3177" s="155"/>
      <c r="D3177" s="154">
        <v>2.0</v>
      </c>
      <c r="E3177" s="154" t="s">
        <v>1237</v>
      </c>
      <c r="F3177" s="154" t="s">
        <v>7157</v>
      </c>
      <c r="G3177" s="156">
        <v>0.0</v>
      </c>
      <c r="H3177" s="156">
        <v>0.0</v>
      </c>
      <c r="I3177" s="154" t="s">
        <v>7158</v>
      </c>
      <c r="J3177" s="154" t="s">
        <v>7159</v>
      </c>
      <c r="K3177" s="154" t="s">
        <v>207</v>
      </c>
    </row>
    <row r="3178">
      <c r="A3178" s="154" t="s">
        <v>7160</v>
      </c>
      <c r="B3178" s="155"/>
      <c r="C3178" s="154" t="s">
        <v>7161</v>
      </c>
      <c r="D3178" s="155"/>
      <c r="E3178" s="155"/>
      <c r="F3178" s="154" t="s">
        <v>7162</v>
      </c>
      <c r="G3178" s="156">
        <v>0.0</v>
      </c>
      <c r="H3178" s="154" t="s">
        <v>7163</v>
      </c>
      <c r="I3178" s="154" t="s">
        <v>7164</v>
      </c>
      <c r="J3178" s="154" t="s">
        <v>809</v>
      </c>
      <c r="K3178" s="154" t="s">
        <v>259</v>
      </c>
    </row>
    <row r="3179">
      <c r="A3179" s="154" t="s">
        <v>7160</v>
      </c>
      <c r="B3179" s="154" t="s">
        <v>7161</v>
      </c>
      <c r="C3179" s="155"/>
      <c r="D3179" s="154">
        <v>2.0</v>
      </c>
      <c r="E3179" s="154" t="s">
        <v>1237</v>
      </c>
      <c r="F3179" s="154" t="s">
        <v>7162</v>
      </c>
      <c r="G3179" s="156">
        <v>0.0</v>
      </c>
      <c r="H3179" s="154" t="s">
        <v>7163</v>
      </c>
      <c r="I3179" s="154" t="s">
        <v>7164</v>
      </c>
      <c r="J3179" s="154" t="s">
        <v>809</v>
      </c>
      <c r="K3179" s="154" t="s">
        <v>259</v>
      </c>
    </row>
    <row r="3180">
      <c r="A3180" s="154" t="s">
        <v>7165</v>
      </c>
      <c r="B3180" s="155"/>
      <c r="C3180" s="154" t="s">
        <v>7166</v>
      </c>
      <c r="D3180" s="155"/>
      <c r="E3180" s="155"/>
      <c r="F3180" s="154" t="s">
        <v>7167</v>
      </c>
      <c r="G3180" s="156">
        <v>0.0</v>
      </c>
      <c r="H3180" s="154" t="s">
        <v>7168</v>
      </c>
      <c r="I3180" s="154" t="s">
        <v>7169</v>
      </c>
      <c r="J3180" s="156">
        <v>0.0</v>
      </c>
      <c r="K3180" s="154" t="s">
        <v>259</v>
      </c>
    </row>
    <row r="3181">
      <c r="A3181" s="154" t="s">
        <v>7165</v>
      </c>
      <c r="B3181" s="154" t="s">
        <v>7166</v>
      </c>
      <c r="C3181" s="155"/>
      <c r="D3181" s="154">
        <v>2.0</v>
      </c>
      <c r="E3181" s="154" t="s">
        <v>1237</v>
      </c>
      <c r="F3181" s="154" t="s">
        <v>7167</v>
      </c>
      <c r="G3181" s="156">
        <v>0.0</v>
      </c>
      <c r="H3181" s="154" t="s">
        <v>7168</v>
      </c>
      <c r="I3181" s="154" t="s">
        <v>7169</v>
      </c>
      <c r="J3181" s="156">
        <v>0.0</v>
      </c>
      <c r="K3181" s="154" t="s">
        <v>259</v>
      </c>
    </row>
    <row r="3182">
      <c r="A3182" s="154" t="s">
        <v>7170</v>
      </c>
      <c r="B3182" s="155"/>
      <c r="C3182" s="154" t="s">
        <v>7171</v>
      </c>
      <c r="D3182" s="155"/>
      <c r="E3182" s="155"/>
      <c r="F3182" s="154" t="s">
        <v>7172</v>
      </c>
      <c r="G3182" s="154">
        <v>4.3911111E7</v>
      </c>
      <c r="H3182" s="156">
        <v>0.0</v>
      </c>
      <c r="I3182" s="154">
        <v>0.0</v>
      </c>
      <c r="J3182" s="156">
        <v>0.0</v>
      </c>
      <c r="K3182" s="154" t="s">
        <v>259</v>
      </c>
    </row>
    <row r="3183">
      <c r="A3183" s="154" t="s">
        <v>7170</v>
      </c>
      <c r="B3183" s="154" t="s">
        <v>7171</v>
      </c>
      <c r="C3183" s="155"/>
      <c r="D3183" s="154">
        <v>2.0</v>
      </c>
      <c r="E3183" s="154" t="s">
        <v>1237</v>
      </c>
      <c r="F3183" s="154" t="s">
        <v>7172</v>
      </c>
      <c r="G3183" s="154">
        <v>4.3911111E7</v>
      </c>
      <c r="H3183" s="156">
        <v>0.0</v>
      </c>
      <c r="I3183" s="154">
        <v>0.0</v>
      </c>
      <c r="J3183" s="156">
        <v>0.0</v>
      </c>
      <c r="K3183" s="154" t="s">
        <v>259</v>
      </c>
    </row>
    <row r="3184">
      <c r="A3184" s="154" t="s">
        <v>7173</v>
      </c>
      <c r="B3184" s="154" t="s">
        <v>7174</v>
      </c>
      <c r="C3184" s="155"/>
      <c r="D3184" s="154">
        <v>2.0</v>
      </c>
      <c r="E3184" s="154" t="s">
        <v>1237</v>
      </c>
      <c r="F3184" s="154" t="s">
        <v>2769</v>
      </c>
      <c r="G3184" s="156">
        <v>0.0</v>
      </c>
      <c r="H3184" s="156">
        <v>0.0</v>
      </c>
      <c r="I3184" s="154" t="s">
        <v>2770</v>
      </c>
      <c r="J3184" s="154" t="s">
        <v>2771</v>
      </c>
      <c r="K3184" s="154" t="s">
        <v>1426</v>
      </c>
    </row>
    <row r="3185">
      <c r="A3185" s="154" t="s">
        <v>7173</v>
      </c>
      <c r="B3185" s="155"/>
      <c r="C3185" s="154" t="s">
        <v>7174</v>
      </c>
      <c r="D3185" s="155"/>
      <c r="E3185" s="155"/>
      <c r="F3185" s="154" t="s">
        <v>2769</v>
      </c>
      <c r="G3185" s="156">
        <v>0.0</v>
      </c>
      <c r="H3185" s="156">
        <v>0.0</v>
      </c>
      <c r="I3185" s="154" t="s">
        <v>2770</v>
      </c>
      <c r="J3185" s="154" t="s">
        <v>2771</v>
      </c>
      <c r="K3185" s="154" t="s">
        <v>1426</v>
      </c>
    </row>
    <row r="3186">
      <c r="A3186" s="154" t="s">
        <v>7175</v>
      </c>
      <c r="B3186" s="155"/>
      <c r="C3186" s="154" t="s">
        <v>7176</v>
      </c>
      <c r="D3186" s="155"/>
      <c r="E3186" s="155"/>
      <c r="F3186" s="154" t="s">
        <v>2518</v>
      </c>
      <c r="G3186" s="156">
        <v>0.0</v>
      </c>
      <c r="H3186" s="156">
        <v>0.0</v>
      </c>
      <c r="I3186" s="156">
        <v>0.0</v>
      </c>
      <c r="J3186" s="154" t="s">
        <v>2519</v>
      </c>
      <c r="K3186" s="154" t="s">
        <v>259</v>
      </c>
    </row>
    <row r="3187">
      <c r="A3187" s="154" t="s">
        <v>7175</v>
      </c>
      <c r="B3187" s="154" t="s">
        <v>7176</v>
      </c>
      <c r="C3187" s="155"/>
      <c r="D3187" s="154">
        <v>2.0</v>
      </c>
      <c r="E3187" s="154" t="s">
        <v>1237</v>
      </c>
      <c r="F3187" s="154" t="s">
        <v>2518</v>
      </c>
      <c r="G3187" s="156">
        <v>0.0</v>
      </c>
      <c r="H3187" s="156">
        <v>0.0</v>
      </c>
      <c r="I3187" s="156">
        <v>0.0</v>
      </c>
      <c r="J3187" s="154" t="s">
        <v>2519</v>
      </c>
      <c r="K3187" s="154" t="s">
        <v>259</v>
      </c>
    </row>
    <row r="3188">
      <c r="A3188" s="154" t="s">
        <v>7177</v>
      </c>
      <c r="B3188" s="155"/>
      <c r="C3188" s="154" t="s">
        <v>7178</v>
      </c>
      <c r="D3188" s="155"/>
      <c r="E3188" s="155"/>
      <c r="F3188" s="154" t="s">
        <v>5050</v>
      </c>
      <c r="G3188" s="154" t="s">
        <v>5051</v>
      </c>
      <c r="H3188" s="156">
        <v>0.0</v>
      </c>
      <c r="I3188" s="154" t="s">
        <v>5052</v>
      </c>
      <c r="J3188" s="154" t="s">
        <v>5053</v>
      </c>
      <c r="K3188" s="154" t="s">
        <v>206</v>
      </c>
    </row>
    <row r="3189">
      <c r="A3189" s="154" t="s">
        <v>7177</v>
      </c>
      <c r="B3189" s="154" t="s">
        <v>7178</v>
      </c>
      <c r="C3189" s="155"/>
      <c r="D3189" s="154">
        <v>2.0</v>
      </c>
      <c r="E3189" s="154" t="s">
        <v>1237</v>
      </c>
      <c r="F3189" s="154" t="s">
        <v>5050</v>
      </c>
      <c r="G3189" s="154" t="s">
        <v>5051</v>
      </c>
      <c r="H3189" s="156">
        <v>0.0</v>
      </c>
      <c r="I3189" s="154" t="s">
        <v>5052</v>
      </c>
      <c r="J3189" s="154" t="s">
        <v>5053</v>
      </c>
      <c r="K3189" s="154" t="s">
        <v>206</v>
      </c>
    </row>
    <row r="3190">
      <c r="A3190" s="154" t="s">
        <v>7179</v>
      </c>
      <c r="B3190" s="154" t="s">
        <v>7180</v>
      </c>
      <c r="C3190" s="155"/>
      <c r="D3190" s="154">
        <v>2.0</v>
      </c>
      <c r="E3190" s="154" t="s">
        <v>1237</v>
      </c>
      <c r="F3190" s="154" t="s">
        <v>7181</v>
      </c>
      <c r="G3190" s="154" t="s">
        <v>7182</v>
      </c>
      <c r="H3190" s="154" t="s">
        <v>7183</v>
      </c>
      <c r="I3190" s="154" t="s">
        <v>7184</v>
      </c>
      <c r="J3190" s="154" t="s">
        <v>7185</v>
      </c>
      <c r="K3190" s="154" t="s">
        <v>361</v>
      </c>
    </row>
    <row r="3191">
      <c r="A3191" s="154" t="s">
        <v>7179</v>
      </c>
      <c r="B3191" s="155"/>
      <c r="C3191" s="154" t="s">
        <v>7180</v>
      </c>
      <c r="D3191" s="155"/>
      <c r="E3191" s="155"/>
      <c r="F3191" s="154" t="s">
        <v>7181</v>
      </c>
      <c r="G3191" s="154" t="s">
        <v>7182</v>
      </c>
      <c r="H3191" s="154" t="s">
        <v>7183</v>
      </c>
      <c r="I3191" s="154" t="s">
        <v>7184</v>
      </c>
      <c r="J3191" s="154" t="s">
        <v>7185</v>
      </c>
      <c r="K3191" s="154" t="s">
        <v>361</v>
      </c>
    </row>
    <row r="3192">
      <c r="A3192" s="154" t="s">
        <v>7186</v>
      </c>
      <c r="B3192" s="154" t="s">
        <v>7187</v>
      </c>
      <c r="C3192" s="155"/>
      <c r="D3192" s="154">
        <v>2.0</v>
      </c>
      <c r="E3192" s="154" t="s">
        <v>1237</v>
      </c>
      <c r="F3192" s="154" t="s">
        <v>994</v>
      </c>
      <c r="G3192" s="154">
        <v>5.0979726E8</v>
      </c>
      <c r="H3192" s="154" t="s">
        <v>995</v>
      </c>
      <c r="I3192" s="156">
        <v>0.0</v>
      </c>
      <c r="J3192" s="156">
        <v>0.0</v>
      </c>
      <c r="K3192" s="156">
        <v>0.0</v>
      </c>
    </row>
    <row r="3193">
      <c r="A3193" s="154" t="s">
        <v>7186</v>
      </c>
      <c r="B3193" s="155"/>
      <c r="C3193" s="154" t="s">
        <v>7187</v>
      </c>
      <c r="D3193" s="155"/>
      <c r="E3193" s="155"/>
      <c r="F3193" s="154" t="s">
        <v>7188</v>
      </c>
      <c r="G3193" s="154">
        <v>5.62700823E8</v>
      </c>
      <c r="H3193" s="156">
        <v>0.0</v>
      </c>
      <c r="I3193" s="154" t="s">
        <v>7189</v>
      </c>
      <c r="J3193" s="156">
        <v>0.0</v>
      </c>
      <c r="K3193" s="154" t="s">
        <v>914</v>
      </c>
    </row>
    <row r="3194">
      <c r="A3194" s="154" t="s">
        <v>7190</v>
      </c>
      <c r="B3194" s="154" t="s">
        <v>7191</v>
      </c>
      <c r="C3194" s="155"/>
      <c r="D3194" s="154">
        <v>2.0</v>
      </c>
      <c r="E3194" s="154" t="s">
        <v>1237</v>
      </c>
      <c r="F3194" s="154" t="s">
        <v>7192</v>
      </c>
      <c r="G3194" s="156">
        <v>0.0</v>
      </c>
      <c r="H3194" s="156">
        <v>0.0</v>
      </c>
      <c r="I3194" s="154" t="s">
        <v>7193</v>
      </c>
      <c r="J3194" s="154" t="s">
        <v>7194</v>
      </c>
      <c r="K3194" s="154" t="s">
        <v>846</v>
      </c>
    </row>
    <row r="3195">
      <c r="A3195" s="154" t="s">
        <v>7190</v>
      </c>
      <c r="B3195" s="155"/>
      <c r="C3195" s="154" t="s">
        <v>7191</v>
      </c>
      <c r="D3195" s="155"/>
      <c r="E3195" s="155"/>
      <c r="F3195" s="154" t="s">
        <v>7195</v>
      </c>
      <c r="G3195" s="156">
        <v>0.0</v>
      </c>
      <c r="H3195" s="156">
        <v>0.0</v>
      </c>
      <c r="I3195" s="154" t="s">
        <v>3356</v>
      </c>
      <c r="J3195" s="156">
        <v>0.0</v>
      </c>
      <c r="K3195" s="154" t="s">
        <v>846</v>
      </c>
    </row>
    <row r="3196">
      <c r="A3196" s="154" t="s">
        <v>7196</v>
      </c>
      <c r="B3196" s="154" t="s">
        <v>7197</v>
      </c>
      <c r="C3196" s="155"/>
      <c r="D3196" s="154">
        <v>2.0</v>
      </c>
      <c r="E3196" s="154" t="s">
        <v>1237</v>
      </c>
      <c r="F3196" s="154" t="s">
        <v>7198</v>
      </c>
      <c r="G3196" s="156">
        <v>0.0</v>
      </c>
      <c r="H3196" s="156">
        <v>0.0</v>
      </c>
      <c r="I3196" s="154">
        <v>5.57918E8</v>
      </c>
      <c r="J3196" s="156">
        <v>0.0</v>
      </c>
      <c r="K3196" s="154" t="s">
        <v>361</v>
      </c>
    </row>
    <row r="3197">
      <c r="A3197" s="154" t="s">
        <v>7196</v>
      </c>
      <c r="B3197" s="155"/>
      <c r="C3197" s="154" t="s">
        <v>7197</v>
      </c>
      <c r="D3197" s="155"/>
      <c r="E3197" s="155"/>
      <c r="F3197" s="154" t="s">
        <v>7199</v>
      </c>
      <c r="G3197" s="156">
        <v>0.0</v>
      </c>
      <c r="H3197" s="156">
        <v>0.0</v>
      </c>
      <c r="I3197" s="154">
        <v>5.57918E8</v>
      </c>
      <c r="J3197" s="156">
        <v>0.0</v>
      </c>
      <c r="K3197" s="154" t="s">
        <v>361</v>
      </c>
    </row>
    <row r="3198">
      <c r="A3198" s="154" t="s">
        <v>7200</v>
      </c>
      <c r="B3198" s="154" t="s">
        <v>7201</v>
      </c>
      <c r="C3198" s="155"/>
      <c r="D3198" s="154">
        <v>2.0</v>
      </c>
      <c r="E3198" s="154" t="s">
        <v>1237</v>
      </c>
      <c r="F3198" s="154" t="s">
        <v>7202</v>
      </c>
      <c r="G3198" s="154" t="s">
        <v>809</v>
      </c>
      <c r="H3198" s="154" t="s">
        <v>7203</v>
      </c>
      <c r="I3198" s="154" t="s">
        <v>7204</v>
      </c>
      <c r="J3198" s="156">
        <v>0.0</v>
      </c>
      <c r="K3198" s="154" t="s">
        <v>760</v>
      </c>
    </row>
    <row r="3199">
      <c r="A3199" s="154" t="s">
        <v>7200</v>
      </c>
      <c r="B3199" s="155"/>
      <c r="C3199" s="154" t="s">
        <v>7201</v>
      </c>
      <c r="D3199" s="155"/>
      <c r="E3199" s="155"/>
      <c r="F3199" s="154" t="s">
        <v>7202</v>
      </c>
      <c r="G3199" s="154" t="s">
        <v>809</v>
      </c>
      <c r="H3199" s="154" t="s">
        <v>7203</v>
      </c>
      <c r="I3199" s="154" t="s">
        <v>7204</v>
      </c>
      <c r="J3199" s="156">
        <v>0.0</v>
      </c>
      <c r="K3199" s="154" t="s">
        <v>760</v>
      </c>
    </row>
    <row r="3200">
      <c r="A3200" s="154" t="s">
        <v>7205</v>
      </c>
      <c r="B3200" s="154" t="s">
        <v>7206</v>
      </c>
      <c r="C3200" s="155"/>
      <c r="D3200" s="154">
        <v>2.0</v>
      </c>
      <c r="E3200" s="154" t="s">
        <v>1237</v>
      </c>
      <c r="F3200" s="154" t="s">
        <v>7207</v>
      </c>
      <c r="G3200" s="154">
        <v>4.2977477E7</v>
      </c>
      <c r="H3200" s="156">
        <v>0.0</v>
      </c>
      <c r="I3200" s="154">
        <v>9.71507245734E11</v>
      </c>
      <c r="J3200" s="156">
        <v>0.0</v>
      </c>
      <c r="K3200" s="154" t="s">
        <v>197</v>
      </c>
    </row>
    <row r="3201">
      <c r="A3201" s="154" t="s">
        <v>7205</v>
      </c>
      <c r="B3201" s="155"/>
      <c r="C3201" s="154" t="s">
        <v>7206</v>
      </c>
      <c r="D3201" s="155"/>
      <c r="E3201" s="155"/>
      <c r="F3201" s="154" t="s">
        <v>7207</v>
      </c>
      <c r="G3201" s="154">
        <v>4.2977477E7</v>
      </c>
      <c r="H3201" s="156">
        <v>0.0</v>
      </c>
      <c r="I3201" s="154">
        <v>9.71507245734E11</v>
      </c>
      <c r="J3201" s="156">
        <v>0.0</v>
      </c>
      <c r="K3201" s="154" t="s">
        <v>197</v>
      </c>
    </row>
    <row r="3202">
      <c r="A3202" s="154" t="s">
        <v>7208</v>
      </c>
      <c r="B3202" s="154" t="s">
        <v>7209</v>
      </c>
      <c r="C3202" s="155"/>
      <c r="D3202" s="154">
        <v>2.0</v>
      </c>
      <c r="E3202" s="154" t="s">
        <v>1237</v>
      </c>
      <c r="F3202" s="154" t="s">
        <v>7210</v>
      </c>
      <c r="G3202" s="156">
        <v>0.0</v>
      </c>
      <c r="H3202" s="156">
        <v>0.0</v>
      </c>
      <c r="I3202" s="154">
        <v>5.0104738E8</v>
      </c>
      <c r="J3202" s="156">
        <v>0.0</v>
      </c>
      <c r="K3202" s="154" t="s">
        <v>223</v>
      </c>
    </row>
    <row r="3203">
      <c r="A3203" s="154" t="s">
        <v>7208</v>
      </c>
      <c r="B3203" s="155"/>
      <c r="C3203" s="154" t="s">
        <v>7209</v>
      </c>
      <c r="D3203" s="155"/>
      <c r="E3203" s="155"/>
      <c r="F3203" s="154" t="s">
        <v>7211</v>
      </c>
      <c r="G3203" s="156">
        <v>0.0</v>
      </c>
      <c r="H3203" s="156">
        <v>0.0</v>
      </c>
      <c r="I3203" s="156">
        <v>0.0</v>
      </c>
      <c r="J3203" s="154" t="s">
        <v>7212</v>
      </c>
      <c r="K3203" s="154" t="s">
        <v>223</v>
      </c>
    </row>
    <row r="3204">
      <c r="A3204" s="154" t="s">
        <v>7213</v>
      </c>
      <c r="B3204" s="154" t="s">
        <v>7214</v>
      </c>
      <c r="C3204" s="155"/>
      <c r="D3204" s="154">
        <v>2.0</v>
      </c>
      <c r="E3204" s="154" t="s">
        <v>1237</v>
      </c>
      <c r="F3204" s="154" t="s">
        <v>1619</v>
      </c>
      <c r="G3204" s="154">
        <v>4.3903333E7</v>
      </c>
      <c r="H3204" s="154" t="s">
        <v>1620</v>
      </c>
      <c r="I3204" s="156">
        <v>0.0</v>
      </c>
      <c r="J3204" s="156">
        <v>0.0</v>
      </c>
      <c r="K3204" s="156">
        <v>0.0</v>
      </c>
    </row>
    <row r="3205">
      <c r="A3205" s="154" t="s">
        <v>7213</v>
      </c>
      <c r="B3205" s="155"/>
      <c r="C3205" s="154" t="s">
        <v>7214</v>
      </c>
      <c r="D3205" s="155"/>
      <c r="E3205" s="155"/>
      <c r="F3205" s="154" t="s">
        <v>7215</v>
      </c>
      <c r="G3205" s="156">
        <v>0.0</v>
      </c>
      <c r="H3205" s="156">
        <v>0.0</v>
      </c>
      <c r="I3205" s="154">
        <v>1.0</v>
      </c>
      <c r="J3205" s="156">
        <v>0.0</v>
      </c>
      <c r="K3205" s="154" t="s">
        <v>361</v>
      </c>
    </row>
    <row r="3206">
      <c r="A3206" s="154" t="s">
        <v>7216</v>
      </c>
      <c r="B3206" s="155"/>
      <c r="C3206" s="154" t="s">
        <v>7217</v>
      </c>
      <c r="D3206" s="155"/>
      <c r="E3206" s="155"/>
      <c r="F3206" s="154" t="s">
        <v>7218</v>
      </c>
      <c r="G3206" s="156">
        <v>0.0</v>
      </c>
      <c r="H3206" s="154" t="s">
        <v>7219</v>
      </c>
      <c r="I3206" s="154" t="s">
        <v>7220</v>
      </c>
      <c r="J3206" s="154" t="s">
        <v>7221</v>
      </c>
      <c r="K3206" s="154" t="s">
        <v>361</v>
      </c>
    </row>
    <row r="3207">
      <c r="A3207" s="154" t="s">
        <v>7216</v>
      </c>
      <c r="B3207" s="154" t="s">
        <v>7217</v>
      </c>
      <c r="C3207" s="155"/>
      <c r="D3207" s="154">
        <v>2.0</v>
      </c>
      <c r="E3207" s="154" t="s">
        <v>1237</v>
      </c>
      <c r="F3207" s="154" t="s">
        <v>7222</v>
      </c>
      <c r="G3207" s="156">
        <v>0.0</v>
      </c>
      <c r="H3207" s="154" t="s">
        <v>7223</v>
      </c>
      <c r="I3207" s="154" t="s">
        <v>7220</v>
      </c>
      <c r="J3207" s="154" t="s">
        <v>7221</v>
      </c>
      <c r="K3207" s="154" t="s">
        <v>361</v>
      </c>
    </row>
    <row r="3208">
      <c r="A3208" s="154" t="s">
        <v>7224</v>
      </c>
      <c r="B3208" s="155"/>
      <c r="C3208" s="154" t="s">
        <v>7225</v>
      </c>
      <c r="D3208" s="155"/>
      <c r="E3208" s="155"/>
      <c r="F3208" s="154" t="s">
        <v>7226</v>
      </c>
      <c r="G3208" s="154">
        <v>5.093996E8</v>
      </c>
      <c r="H3208" s="156">
        <v>0.0</v>
      </c>
      <c r="I3208" s="154">
        <v>5.01616143E8</v>
      </c>
      <c r="J3208" s="156">
        <v>0.0</v>
      </c>
      <c r="K3208" s="154" t="s">
        <v>2143</v>
      </c>
    </row>
    <row r="3209">
      <c r="A3209" s="154" t="s">
        <v>7224</v>
      </c>
      <c r="B3209" s="154" t="s">
        <v>7225</v>
      </c>
      <c r="C3209" s="155"/>
      <c r="D3209" s="154">
        <v>2.0</v>
      </c>
      <c r="E3209" s="154" t="s">
        <v>1237</v>
      </c>
      <c r="F3209" s="154" t="s">
        <v>7226</v>
      </c>
      <c r="G3209" s="154">
        <v>5.093996E8</v>
      </c>
      <c r="H3209" s="156">
        <v>0.0</v>
      </c>
      <c r="I3209" s="154">
        <v>5.01616143E8</v>
      </c>
      <c r="J3209" s="156">
        <v>0.0</v>
      </c>
      <c r="K3209" s="154" t="s">
        <v>2143</v>
      </c>
    </row>
    <row r="3210">
      <c r="A3210" s="154" t="s">
        <v>7227</v>
      </c>
      <c r="B3210" s="155"/>
      <c r="C3210" s="154" t="s">
        <v>7228</v>
      </c>
      <c r="D3210" s="155"/>
      <c r="E3210" s="155"/>
      <c r="F3210" s="154" t="s">
        <v>1637</v>
      </c>
      <c r="G3210" s="156">
        <v>0.0</v>
      </c>
      <c r="H3210" s="154" t="s">
        <v>1638</v>
      </c>
      <c r="I3210" s="154" t="s">
        <v>1636</v>
      </c>
      <c r="J3210" s="154" t="s">
        <v>1639</v>
      </c>
      <c r="K3210" s="154" t="s">
        <v>361</v>
      </c>
    </row>
    <row r="3211">
      <c r="A3211" s="154" t="s">
        <v>7227</v>
      </c>
      <c r="B3211" s="154" t="s">
        <v>7228</v>
      </c>
      <c r="C3211" s="155"/>
      <c r="D3211" s="154">
        <v>2.0</v>
      </c>
      <c r="E3211" s="154" t="s">
        <v>1237</v>
      </c>
      <c r="F3211" s="154" t="s">
        <v>1635</v>
      </c>
      <c r="G3211" s="154">
        <v>2258080.0</v>
      </c>
      <c r="H3211" s="156">
        <v>0.0</v>
      </c>
      <c r="I3211" s="154" t="s">
        <v>1636</v>
      </c>
      <c r="J3211" s="156">
        <v>0.0</v>
      </c>
      <c r="K3211" s="154" t="s">
        <v>361</v>
      </c>
    </row>
    <row r="3212">
      <c r="A3212" s="154" t="s">
        <v>7229</v>
      </c>
      <c r="B3212" s="154" t="s">
        <v>7230</v>
      </c>
      <c r="C3212" s="155"/>
      <c r="D3212" s="154">
        <v>2.0</v>
      </c>
      <c r="E3212" s="154" t="s">
        <v>1237</v>
      </c>
      <c r="F3212" s="154" t="s">
        <v>7231</v>
      </c>
      <c r="G3212" s="156">
        <v>0.0</v>
      </c>
      <c r="H3212" s="156">
        <v>0.0</v>
      </c>
      <c r="I3212" s="154" t="s">
        <v>7232</v>
      </c>
      <c r="J3212" s="154" t="s">
        <v>7233</v>
      </c>
      <c r="K3212" s="154" t="s">
        <v>361</v>
      </c>
    </row>
    <row r="3213">
      <c r="A3213" s="154" t="s">
        <v>7229</v>
      </c>
      <c r="B3213" s="155"/>
      <c r="C3213" s="154" t="s">
        <v>7230</v>
      </c>
      <c r="D3213" s="155"/>
      <c r="E3213" s="155"/>
      <c r="F3213" s="154" t="s">
        <v>7231</v>
      </c>
      <c r="G3213" s="156">
        <v>0.0</v>
      </c>
      <c r="H3213" s="156">
        <v>0.0</v>
      </c>
      <c r="I3213" s="154" t="s">
        <v>7232</v>
      </c>
      <c r="J3213" s="154" t="s">
        <v>7233</v>
      </c>
      <c r="K3213" s="154" t="s">
        <v>361</v>
      </c>
    </row>
    <row r="3214">
      <c r="A3214" s="154" t="s">
        <v>7234</v>
      </c>
      <c r="B3214" s="155"/>
      <c r="C3214" s="154" t="s">
        <v>7235</v>
      </c>
      <c r="D3214" s="155"/>
      <c r="E3214" s="155"/>
      <c r="F3214" s="154" t="s">
        <v>7236</v>
      </c>
      <c r="G3214" s="154">
        <v>4.3911111E7</v>
      </c>
      <c r="H3214" s="156">
        <v>0.0</v>
      </c>
      <c r="I3214" s="154">
        <v>0.0</v>
      </c>
      <c r="J3214" s="156">
        <v>0.0</v>
      </c>
      <c r="K3214" s="154" t="s">
        <v>1059</v>
      </c>
    </row>
    <row r="3215">
      <c r="A3215" s="154" t="s">
        <v>7234</v>
      </c>
      <c r="B3215" s="154" t="s">
        <v>7235</v>
      </c>
      <c r="C3215" s="155"/>
      <c r="D3215" s="154">
        <v>2.0</v>
      </c>
      <c r="E3215" s="154" t="s">
        <v>1237</v>
      </c>
      <c r="F3215" s="154" t="s">
        <v>7236</v>
      </c>
      <c r="G3215" s="154">
        <v>4.3911111E7</v>
      </c>
      <c r="H3215" s="156">
        <v>0.0</v>
      </c>
      <c r="I3215" s="154">
        <v>0.0</v>
      </c>
      <c r="J3215" s="156">
        <v>0.0</v>
      </c>
      <c r="K3215" s="154" t="s">
        <v>1059</v>
      </c>
    </row>
    <row r="3216">
      <c r="A3216" s="154" t="s">
        <v>7237</v>
      </c>
      <c r="B3216" s="154" t="s">
        <v>7238</v>
      </c>
      <c r="C3216" s="155"/>
      <c r="D3216" s="154">
        <v>2.0</v>
      </c>
      <c r="E3216" s="154" t="s">
        <v>1237</v>
      </c>
      <c r="F3216" s="154" t="s">
        <v>5727</v>
      </c>
      <c r="G3216" s="154">
        <v>0.0</v>
      </c>
      <c r="H3216" s="154" t="s">
        <v>5728</v>
      </c>
      <c r="I3216" s="154">
        <v>9.71558871295E11</v>
      </c>
      <c r="J3216" s="156">
        <v>0.0</v>
      </c>
      <c r="K3216" s="154" t="s">
        <v>259</v>
      </c>
    </row>
    <row r="3217">
      <c r="A3217" s="154" t="s">
        <v>7237</v>
      </c>
      <c r="B3217" s="155"/>
      <c r="C3217" s="154" t="s">
        <v>7238</v>
      </c>
      <c r="D3217" s="155"/>
      <c r="E3217" s="155"/>
      <c r="F3217" s="154" t="s">
        <v>5727</v>
      </c>
      <c r="G3217" s="154">
        <v>0.0</v>
      </c>
      <c r="H3217" s="154" t="s">
        <v>5728</v>
      </c>
      <c r="I3217" s="154">
        <v>9.71558871295E11</v>
      </c>
      <c r="J3217" s="156">
        <v>0.0</v>
      </c>
      <c r="K3217" s="154" t="s">
        <v>259</v>
      </c>
    </row>
    <row r="3218">
      <c r="A3218" s="154" t="s">
        <v>7239</v>
      </c>
      <c r="B3218" s="154" t="s">
        <v>7240</v>
      </c>
      <c r="C3218" s="155"/>
      <c r="D3218" s="154">
        <v>2.0</v>
      </c>
      <c r="E3218" s="154" t="s">
        <v>1237</v>
      </c>
      <c r="F3218" s="154" t="s">
        <v>1619</v>
      </c>
      <c r="G3218" s="154">
        <v>4.3903333E7</v>
      </c>
      <c r="H3218" s="154" t="s">
        <v>1620</v>
      </c>
      <c r="I3218" s="156">
        <v>0.0</v>
      </c>
      <c r="J3218" s="156">
        <v>0.0</v>
      </c>
      <c r="K3218" s="156">
        <v>0.0</v>
      </c>
    </row>
    <row r="3219">
      <c r="A3219" s="154" t="s">
        <v>7239</v>
      </c>
      <c r="B3219" s="155"/>
      <c r="C3219" s="154" t="s">
        <v>7240</v>
      </c>
      <c r="D3219" s="155"/>
      <c r="E3219" s="155"/>
      <c r="F3219" s="154" t="s">
        <v>7241</v>
      </c>
      <c r="G3219" s="156">
        <v>0.0</v>
      </c>
      <c r="H3219" s="156">
        <v>0.0</v>
      </c>
      <c r="I3219" s="154" t="s">
        <v>7242</v>
      </c>
      <c r="J3219" s="154" t="s">
        <v>7243</v>
      </c>
      <c r="K3219" s="154" t="s">
        <v>361</v>
      </c>
    </row>
    <row r="3220">
      <c r="A3220" s="154" t="s">
        <v>7244</v>
      </c>
      <c r="B3220" s="154" t="s">
        <v>7245</v>
      </c>
      <c r="C3220" s="155"/>
      <c r="D3220" s="154">
        <v>2.0</v>
      </c>
      <c r="E3220" s="154" t="s">
        <v>1237</v>
      </c>
      <c r="F3220" s="154" t="s">
        <v>7246</v>
      </c>
      <c r="G3220" s="156">
        <v>0.0</v>
      </c>
      <c r="H3220" s="156">
        <v>0.0</v>
      </c>
      <c r="I3220" s="154">
        <v>9.71502769448E11</v>
      </c>
      <c r="J3220" s="156">
        <v>0.0</v>
      </c>
      <c r="K3220" s="154" t="s">
        <v>776</v>
      </c>
    </row>
    <row r="3221">
      <c r="A3221" s="154" t="s">
        <v>7244</v>
      </c>
      <c r="B3221" s="155"/>
      <c r="C3221" s="154" t="s">
        <v>7245</v>
      </c>
      <c r="D3221" s="155"/>
      <c r="E3221" s="155"/>
      <c r="F3221" s="154" t="s">
        <v>7246</v>
      </c>
      <c r="G3221" s="156">
        <v>0.0</v>
      </c>
      <c r="H3221" s="156">
        <v>0.0</v>
      </c>
      <c r="I3221" s="154">
        <v>9.71502769448E11</v>
      </c>
      <c r="J3221" s="156">
        <v>0.0</v>
      </c>
      <c r="K3221" s="154" t="s">
        <v>776</v>
      </c>
    </row>
    <row r="3222">
      <c r="A3222" s="154" t="s">
        <v>7247</v>
      </c>
      <c r="B3222" s="154" t="s">
        <v>7248</v>
      </c>
      <c r="C3222" s="155"/>
      <c r="D3222" s="154">
        <v>2.0</v>
      </c>
      <c r="E3222" s="154" t="s">
        <v>1237</v>
      </c>
      <c r="F3222" s="154" t="s">
        <v>7249</v>
      </c>
      <c r="G3222" s="156">
        <v>0.0</v>
      </c>
      <c r="H3222" s="156">
        <v>0.0</v>
      </c>
      <c r="I3222" s="154">
        <v>0.0</v>
      </c>
      <c r="J3222" s="156">
        <v>0.0</v>
      </c>
      <c r="K3222" s="154" t="s">
        <v>1446</v>
      </c>
    </row>
    <row r="3223">
      <c r="A3223" s="154" t="s">
        <v>7247</v>
      </c>
      <c r="B3223" s="155"/>
      <c r="C3223" s="154" t="s">
        <v>7248</v>
      </c>
      <c r="D3223" s="155"/>
      <c r="E3223" s="155"/>
      <c r="F3223" s="154" t="s">
        <v>7250</v>
      </c>
      <c r="G3223" s="156">
        <v>0.0</v>
      </c>
      <c r="H3223" s="156">
        <v>0.0</v>
      </c>
      <c r="I3223" s="154">
        <v>9.0532132627E10</v>
      </c>
      <c r="J3223" s="156">
        <v>0.0</v>
      </c>
      <c r="K3223" s="154" t="s">
        <v>1446</v>
      </c>
    </row>
    <row r="3224">
      <c r="A3224" s="154" t="s">
        <v>7251</v>
      </c>
      <c r="B3224" s="154" t="s">
        <v>7252</v>
      </c>
      <c r="C3224" s="155"/>
      <c r="D3224" s="154">
        <v>2.0</v>
      </c>
      <c r="E3224" s="154" t="s">
        <v>1237</v>
      </c>
      <c r="F3224" s="154" t="s">
        <v>7253</v>
      </c>
      <c r="G3224" s="156">
        <v>0.0</v>
      </c>
      <c r="H3224" s="156">
        <v>0.0</v>
      </c>
      <c r="I3224" s="154" t="s">
        <v>7254</v>
      </c>
      <c r="J3224" s="154" t="s">
        <v>7255</v>
      </c>
      <c r="K3224" s="154" t="s">
        <v>361</v>
      </c>
    </row>
    <row r="3225">
      <c r="A3225" s="154" t="s">
        <v>7251</v>
      </c>
      <c r="B3225" s="155"/>
      <c r="C3225" s="154" t="s">
        <v>7252</v>
      </c>
      <c r="D3225" s="155"/>
      <c r="E3225" s="155"/>
      <c r="F3225" s="154" t="s">
        <v>7253</v>
      </c>
      <c r="G3225" s="156">
        <v>0.0</v>
      </c>
      <c r="H3225" s="156">
        <v>0.0</v>
      </c>
      <c r="I3225" s="154" t="s">
        <v>7254</v>
      </c>
      <c r="J3225" s="154" t="s">
        <v>7255</v>
      </c>
      <c r="K3225" s="154" t="s">
        <v>361</v>
      </c>
    </row>
    <row r="3226">
      <c r="A3226" s="154" t="s">
        <v>7256</v>
      </c>
      <c r="B3226" s="155"/>
      <c r="C3226" s="154" t="s">
        <v>7257</v>
      </c>
      <c r="D3226" s="155"/>
      <c r="E3226" s="155"/>
      <c r="F3226" s="154" t="s">
        <v>7258</v>
      </c>
      <c r="G3226" s="154">
        <v>0.0</v>
      </c>
      <c r="H3226" s="156">
        <v>0.0</v>
      </c>
      <c r="I3226" s="154">
        <v>5.04555306E8</v>
      </c>
      <c r="J3226" s="156">
        <v>0.0</v>
      </c>
      <c r="K3226" s="154" t="s">
        <v>361</v>
      </c>
    </row>
    <row r="3227">
      <c r="A3227" s="154" t="s">
        <v>7256</v>
      </c>
      <c r="B3227" s="154" t="s">
        <v>7257</v>
      </c>
      <c r="C3227" s="155"/>
      <c r="D3227" s="154">
        <v>2.0</v>
      </c>
      <c r="E3227" s="154" t="s">
        <v>1237</v>
      </c>
      <c r="F3227" s="154" t="s">
        <v>7259</v>
      </c>
      <c r="G3227" s="156">
        <v>0.0</v>
      </c>
      <c r="H3227" s="156">
        <v>0.0</v>
      </c>
      <c r="I3227" s="154" t="s">
        <v>7260</v>
      </c>
      <c r="J3227" s="154" t="s">
        <v>809</v>
      </c>
      <c r="K3227" s="154" t="s">
        <v>361</v>
      </c>
    </row>
    <row r="3228">
      <c r="A3228" s="154" t="s">
        <v>7261</v>
      </c>
      <c r="B3228" s="155"/>
      <c r="C3228" s="154" t="s">
        <v>7262</v>
      </c>
      <c r="D3228" s="155"/>
      <c r="E3228" s="155"/>
      <c r="F3228" s="154" t="s">
        <v>7263</v>
      </c>
      <c r="G3228" s="154">
        <v>0.0</v>
      </c>
      <c r="H3228" s="156">
        <v>0.0</v>
      </c>
      <c r="I3228" s="156">
        <v>0.0</v>
      </c>
      <c r="J3228" s="156">
        <v>0.0</v>
      </c>
      <c r="K3228" s="156">
        <v>0.0</v>
      </c>
    </row>
    <row r="3229">
      <c r="A3229" s="154" t="s">
        <v>7261</v>
      </c>
      <c r="B3229" s="154" t="s">
        <v>7262</v>
      </c>
      <c r="C3229" s="155"/>
      <c r="D3229" s="154">
        <v>2.0</v>
      </c>
      <c r="E3229" s="154" t="s">
        <v>1237</v>
      </c>
      <c r="F3229" s="154" t="s">
        <v>7264</v>
      </c>
      <c r="G3229" s="154">
        <v>0.0</v>
      </c>
      <c r="H3229" s="156">
        <v>0.0</v>
      </c>
      <c r="I3229" s="156">
        <v>0.0</v>
      </c>
      <c r="J3229" s="156">
        <v>0.0</v>
      </c>
      <c r="K3229" s="156">
        <v>0.0</v>
      </c>
    </row>
    <row r="3230">
      <c r="A3230" s="154" t="s">
        <v>7265</v>
      </c>
      <c r="B3230" s="155"/>
      <c r="C3230" s="154" t="s">
        <v>7266</v>
      </c>
      <c r="D3230" s="155"/>
      <c r="E3230" s="155"/>
      <c r="F3230" s="154" t="s">
        <v>7267</v>
      </c>
      <c r="G3230" s="154">
        <v>4.2978297E7</v>
      </c>
      <c r="H3230" s="156">
        <v>0.0</v>
      </c>
      <c r="I3230" s="154">
        <v>9.71506455452E11</v>
      </c>
      <c r="J3230" s="156">
        <v>0.0</v>
      </c>
      <c r="K3230" s="154" t="s">
        <v>361</v>
      </c>
    </row>
    <row r="3231">
      <c r="A3231" s="154" t="s">
        <v>7265</v>
      </c>
      <c r="B3231" s="154" t="s">
        <v>7266</v>
      </c>
      <c r="C3231" s="155"/>
      <c r="D3231" s="154">
        <v>2.0</v>
      </c>
      <c r="E3231" s="154" t="s">
        <v>1237</v>
      </c>
      <c r="F3231" s="154" t="s">
        <v>7268</v>
      </c>
      <c r="G3231" s="154">
        <v>0.0</v>
      </c>
      <c r="H3231" s="156">
        <v>0.0</v>
      </c>
      <c r="I3231" s="154">
        <v>9.71506455452E11</v>
      </c>
      <c r="J3231" s="156">
        <v>0.0</v>
      </c>
      <c r="K3231" s="154" t="s">
        <v>1059</v>
      </c>
    </row>
    <row r="3232">
      <c r="A3232" s="154" t="s">
        <v>7269</v>
      </c>
      <c r="B3232" s="155"/>
      <c r="C3232" s="154" t="s">
        <v>7270</v>
      </c>
      <c r="D3232" s="155"/>
      <c r="E3232" s="155"/>
      <c r="F3232" s="154" t="s">
        <v>7271</v>
      </c>
      <c r="G3232" s="154">
        <v>971.0</v>
      </c>
      <c r="H3232" s="156">
        <v>0.0</v>
      </c>
      <c r="I3232" s="154" t="s">
        <v>7272</v>
      </c>
      <c r="J3232" s="154" t="s">
        <v>7273</v>
      </c>
      <c r="K3232" s="154" t="s">
        <v>365</v>
      </c>
    </row>
    <row r="3233">
      <c r="A3233" s="154" t="s">
        <v>7269</v>
      </c>
      <c r="B3233" s="154" t="s">
        <v>7274</v>
      </c>
      <c r="D3233" s="154">
        <v>2.0</v>
      </c>
      <c r="E3233" s="154" t="s">
        <v>897</v>
      </c>
      <c r="F3233" s="154" t="s">
        <v>1619</v>
      </c>
      <c r="G3233" s="154">
        <v>4.3903333E7</v>
      </c>
      <c r="H3233" s="154" t="s">
        <v>1620</v>
      </c>
      <c r="I3233" s="156">
        <v>0.0</v>
      </c>
      <c r="J3233" s="156">
        <v>0.0</v>
      </c>
      <c r="K3233" s="156">
        <v>0.0</v>
      </c>
    </row>
    <row r="3234">
      <c r="A3234" s="154" t="s">
        <v>7275</v>
      </c>
      <c r="B3234" s="155"/>
      <c r="C3234" s="154" t="s">
        <v>7276</v>
      </c>
      <c r="D3234" s="155"/>
      <c r="E3234" s="155"/>
      <c r="F3234" s="154" t="s">
        <v>3204</v>
      </c>
      <c r="G3234" s="156">
        <v>0.0</v>
      </c>
      <c r="H3234" s="156">
        <v>0.0</v>
      </c>
      <c r="I3234" s="154" t="s">
        <v>3205</v>
      </c>
      <c r="J3234" s="154" t="s">
        <v>3206</v>
      </c>
      <c r="K3234" s="154" t="s">
        <v>776</v>
      </c>
    </row>
    <row r="3235">
      <c r="A3235" s="154" t="s">
        <v>7275</v>
      </c>
      <c r="B3235" s="154" t="s">
        <v>7277</v>
      </c>
      <c r="D3235" s="154">
        <v>2.0</v>
      </c>
      <c r="E3235" s="154" t="s">
        <v>897</v>
      </c>
      <c r="F3235" s="154" t="s">
        <v>3204</v>
      </c>
      <c r="G3235" s="156">
        <v>0.0</v>
      </c>
      <c r="H3235" s="156">
        <v>0.0</v>
      </c>
      <c r="I3235" s="154" t="s">
        <v>3205</v>
      </c>
      <c r="J3235" s="154" t="s">
        <v>3206</v>
      </c>
      <c r="K3235" s="154" t="s">
        <v>776</v>
      </c>
    </row>
    <row r="3236">
      <c r="A3236" s="154" t="s">
        <v>7278</v>
      </c>
      <c r="B3236" s="154" t="s">
        <v>7279</v>
      </c>
      <c r="D3236" s="154">
        <v>2.0</v>
      </c>
      <c r="E3236" s="154" t="s">
        <v>897</v>
      </c>
      <c r="F3236" s="154" t="s">
        <v>3996</v>
      </c>
      <c r="G3236" s="156">
        <v>0.0</v>
      </c>
      <c r="H3236" s="154" t="s">
        <v>3997</v>
      </c>
      <c r="I3236" s="154" t="s">
        <v>3998</v>
      </c>
      <c r="J3236" s="156">
        <v>0.0</v>
      </c>
      <c r="K3236" s="154" t="s">
        <v>361</v>
      </c>
    </row>
    <row r="3237">
      <c r="A3237" s="154" t="s">
        <v>7278</v>
      </c>
      <c r="B3237" s="155"/>
      <c r="C3237" s="154" t="s">
        <v>7280</v>
      </c>
      <c r="D3237" s="155"/>
      <c r="E3237" s="155"/>
      <c r="F3237" s="154" t="s">
        <v>3996</v>
      </c>
      <c r="G3237" s="156">
        <v>0.0</v>
      </c>
      <c r="H3237" s="154" t="s">
        <v>3997</v>
      </c>
      <c r="I3237" s="154" t="s">
        <v>3998</v>
      </c>
      <c r="J3237" s="156">
        <v>0.0</v>
      </c>
      <c r="K3237" s="154" t="s">
        <v>361</v>
      </c>
    </row>
    <row r="3238">
      <c r="A3238" s="154" t="s">
        <v>7281</v>
      </c>
      <c r="B3238" s="154" t="s">
        <v>7282</v>
      </c>
      <c r="D3238" s="154">
        <v>2.0</v>
      </c>
      <c r="E3238" s="154" t="s">
        <v>897</v>
      </c>
      <c r="F3238" s="154" t="s">
        <v>7283</v>
      </c>
      <c r="G3238" s="156">
        <v>0.0</v>
      </c>
      <c r="H3238" s="154" t="s">
        <v>7284</v>
      </c>
      <c r="I3238" s="154" t="s">
        <v>7285</v>
      </c>
      <c r="J3238" s="154" t="s">
        <v>7286</v>
      </c>
      <c r="K3238" s="154" t="s">
        <v>760</v>
      </c>
    </row>
    <row r="3239">
      <c r="A3239" s="154" t="s">
        <v>7281</v>
      </c>
      <c r="B3239" s="155"/>
      <c r="C3239" s="154" t="s">
        <v>7287</v>
      </c>
      <c r="D3239" s="155"/>
      <c r="E3239" s="155"/>
      <c r="F3239" s="154" t="s">
        <v>7283</v>
      </c>
      <c r="G3239" s="156">
        <v>0.0</v>
      </c>
      <c r="H3239" s="154" t="s">
        <v>7284</v>
      </c>
      <c r="I3239" s="154" t="s">
        <v>7285</v>
      </c>
      <c r="J3239" s="154" t="s">
        <v>7286</v>
      </c>
      <c r="K3239" s="154" t="s">
        <v>760</v>
      </c>
    </row>
    <row r="3240">
      <c r="A3240" s="154" t="s">
        <v>7288</v>
      </c>
      <c r="B3240" s="154" t="s">
        <v>7289</v>
      </c>
      <c r="D3240" s="154">
        <v>2.0</v>
      </c>
      <c r="E3240" s="154" t="s">
        <v>897</v>
      </c>
      <c r="F3240" s="154" t="s">
        <v>7290</v>
      </c>
      <c r="G3240" s="156">
        <v>0.0</v>
      </c>
      <c r="H3240" s="154" t="s">
        <v>7291</v>
      </c>
      <c r="I3240" s="154" t="s">
        <v>7292</v>
      </c>
      <c r="J3240" s="154" t="s">
        <v>7293</v>
      </c>
      <c r="K3240" s="154" t="s">
        <v>259</v>
      </c>
    </row>
    <row r="3241">
      <c r="A3241" s="154" t="s">
        <v>7288</v>
      </c>
      <c r="B3241" s="155"/>
      <c r="C3241" s="154" t="s">
        <v>7294</v>
      </c>
      <c r="D3241" s="155"/>
      <c r="E3241" s="155"/>
      <c r="F3241" s="154" t="s">
        <v>7295</v>
      </c>
      <c r="G3241" s="156">
        <v>0.0</v>
      </c>
      <c r="H3241" s="156">
        <v>0.0</v>
      </c>
      <c r="I3241" s="154">
        <v>5.07254602E8</v>
      </c>
      <c r="J3241" s="156">
        <v>0.0</v>
      </c>
      <c r="K3241" s="154" t="s">
        <v>329</v>
      </c>
    </row>
    <row r="3242">
      <c r="A3242" s="154" t="s">
        <v>7296</v>
      </c>
      <c r="B3242" s="154" t="s">
        <v>7297</v>
      </c>
      <c r="D3242" s="154">
        <v>2.0</v>
      </c>
      <c r="E3242" s="154" t="s">
        <v>897</v>
      </c>
      <c r="F3242" s="154" t="s">
        <v>7298</v>
      </c>
      <c r="G3242" s="156">
        <v>0.0</v>
      </c>
      <c r="H3242" s="156">
        <v>0.0</v>
      </c>
      <c r="I3242" s="154" t="s">
        <v>7299</v>
      </c>
      <c r="J3242" s="156">
        <v>0.0</v>
      </c>
      <c r="K3242" s="154" t="s">
        <v>361</v>
      </c>
    </row>
    <row r="3243">
      <c r="A3243" s="154" t="s">
        <v>7296</v>
      </c>
      <c r="B3243" s="155"/>
      <c r="C3243" s="154" t="s">
        <v>7300</v>
      </c>
      <c r="D3243" s="155"/>
      <c r="E3243" s="155"/>
      <c r="F3243" s="154" t="s">
        <v>7298</v>
      </c>
      <c r="G3243" s="156">
        <v>0.0</v>
      </c>
      <c r="H3243" s="156">
        <v>0.0</v>
      </c>
      <c r="I3243" s="154" t="s">
        <v>7299</v>
      </c>
      <c r="J3243" s="156">
        <v>0.0</v>
      </c>
      <c r="K3243" s="154" t="s">
        <v>361</v>
      </c>
    </row>
    <row r="3244">
      <c r="A3244" s="154" t="s">
        <v>7301</v>
      </c>
      <c r="B3244" s="154" t="s">
        <v>7302</v>
      </c>
      <c r="D3244" s="154">
        <v>2.0</v>
      </c>
      <c r="E3244" s="154" t="s">
        <v>897</v>
      </c>
      <c r="F3244" s="154" t="s">
        <v>7303</v>
      </c>
      <c r="G3244" s="156">
        <v>0.0</v>
      </c>
      <c r="H3244" s="154" t="s">
        <v>7304</v>
      </c>
      <c r="I3244" s="154" t="s">
        <v>7305</v>
      </c>
      <c r="J3244" s="154" t="s">
        <v>7306</v>
      </c>
      <c r="K3244" s="154" t="s">
        <v>197</v>
      </c>
    </row>
    <row r="3245">
      <c r="A3245" s="154" t="s">
        <v>7301</v>
      </c>
      <c r="B3245" s="155"/>
      <c r="C3245" s="154" t="s">
        <v>7307</v>
      </c>
      <c r="D3245" s="155"/>
      <c r="E3245" s="155"/>
      <c r="F3245" s="154" t="s">
        <v>7303</v>
      </c>
      <c r="G3245" s="156">
        <v>0.0</v>
      </c>
      <c r="H3245" s="154" t="s">
        <v>7304</v>
      </c>
      <c r="I3245" s="154" t="s">
        <v>7305</v>
      </c>
      <c r="J3245" s="154" t="s">
        <v>7306</v>
      </c>
      <c r="K3245" s="154" t="s">
        <v>197</v>
      </c>
    </row>
    <row r="3246">
      <c r="A3246" s="154" t="s">
        <v>7308</v>
      </c>
      <c r="B3246" s="155"/>
      <c r="C3246" s="154" t="s">
        <v>7309</v>
      </c>
      <c r="D3246" s="155"/>
      <c r="E3246" s="155"/>
      <c r="F3246" s="154" t="s">
        <v>7310</v>
      </c>
      <c r="G3246" s="156">
        <v>0.0</v>
      </c>
      <c r="H3246" s="156">
        <v>0.0</v>
      </c>
      <c r="I3246" s="154" t="s">
        <v>7311</v>
      </c>
      <c r="J3246" s="154" t="s">
        <v>1081</v>
      </c>
      <c r="K3246" s="154" t="s">
        <v>361</v>
      </c>
    </row>
    <row r="3247">
      <c r="A3247" s="154" t="s">
        <v>7308</v>
      </c>
      <c r="B3247" s="154" t="s">
        <v>7312</v>
      </c>
      <c r="D3247" s="154">
        <v>2.0</v>
      </c>
      <c r="E3247" s="154" t="s">
        <v>897</v>
      </c>
      <c r="F3247" s="154" t="s">
        <v>7310</v>
      </c>
      <c r="G3247" s="156">
        <v>0.0</v>
      </c>
      <c r="H3247" s="156">
        <v>0.0</v>
      </c>
      <c r="I3247" s="154" t="s">
        <v>7311</v>
      </c>
      <c r="J3247" s="154" t="s">
        <v>1081</v>
      </c>
      <c r="K3247" s="154" t="s">
        <v>361</v>
      </c>
    </row>
    <row r="3248">
      <c r="A3248" s="154" t="s">
        <v>7313</v>
      </c>
      <c r="B3248" s="155"/>
      <c r="C3248" s="154" t="s">
        <v>7314</v>
      </c>
      <c r="D3248" s="155"/>
      <c r="E3248" s="155"/>
      <c r="F3248" s="154" t="s">
        <v>7315</v>
      </c>
      <c r="G3248" s="154">
        <v>4.4308902E7</v>
      </c>
      <c r="H3248" s="154" t="s">
        <v>7316</v>
      </c>
      <c r="I3248" s="154">
        <v>9.71562069897E11</v>
      </c>
      <c r="J3248" s="156">
        <v>0.0</v>
      </c>
      <c r="K3248" s="154" t="s">
        <v>7317</v>
      </c>
    </row>
    <row r="3249">
      <c r="A3249" s="154" t="s">
        <v>7313</v>
      </c>
      <c r="B3249" s="154" t="s">
        <v>7318</v>
      </c>
      <c r="D3249" s="154">
        <v>2.0</v>
      </c>
      <c r="E3249" s="154" t="s">
        <v>897</v>
      </c>
      <c r="F3249" s="154" t="s">
        <v>7315</v>
      </c>
      <c r="G3249" s="154">
        <v>4.4308902E7</v>
      </c>
      <c r="H3249" s="154" t="s">
        <v>7316</v>
      </c>
      <c r="I3249" s="154">
        <v>9.71562069897E11</v>
      </c>
      <c r="J3249" s="156">
        <v>0.0</v>
      </c>
      <c r="K3249" s="154" t="s">
        <v>7317</v>
      </c>
    </row>
    <row r="3250">
      <c r="A3250" s="154" t="s">
        <v>7319</v>
      </c>
      <c r="B3250" s="155"/>
      <c r="C3250" s="154" t="s">
        <v>7320</v>
      </c>
      <c r="D3250" s="155"/>
      <c r="E3250" s="155"/>
      <c r="F3250" s="154" t="s">
        <v>7321</v>
      </c>
      <c r="G3250" s="156">
        <v>0.0</v>
      </c>
      <c r="H3250" s="154" t="s">
        <v>7322</v>
      </c>
      <c r="I3250" s="154" t="s">
        <v>7323</v>
      </c>
      <c r="J3250" s="154" t="s">
        <v>7324</v>
      </c>
      <c r="K3250" s="154" t="s">
        <v>197</v>
      </c>
    </row>
    <row r="3251">
      <c r="A3251" s="154" t="s">
        <v>7319</v>
      </c>
      <c r="B3251" s="154" t="s">
        <v>7325</v>
      </c>
      <c r="D3251" s="154">
        <v>2.0</v>
      </c>
      <c r="E3251" s="154" t="s">
        <v>897</v>
      </c>
      <c r="F3251" s="154" t="s">
        <v>7321</v>
      </c>
      <c r="G3251" s="156">
        <v>0.0</v>
      </c>
      <c r="H3251" s="154" t="s">
        <v>7322</v>
      </c>
      <c r="I3251" s="154" t="s">
        <v>7323</v>
      </c>
      <c r="J3251" s="154" t="s">
        <v>7324</v>
      </c>
      <c r="K3251" s="154" t="s">
        <v>197</v>
      </c>
    </row>
    <row r="3252">
      <c r="A3252" s="154" t="s">
        <v>7326</v>
      </c>
      <c r="B3252" s="154" t="s">
        <v>7327</v>
      </c>
      <c r="D3252" s="154">
        <v>2.0</v>
      </c>
      <c r="E3252" s="154" t="s">
        <v>897</v>
      </c>
      <c r="F3252" s="154" t="s">
        <v>7328</v>
      </c>
      <c r="G3252" s="154" t="s">
        <v>7329</v>
      </c>
      <c r="H3252" s="154" t="s">
        <v>7330</v>
      </c>
      <c r="I3252" s="154" t="s">
        <v>7331</v>
      </c>
      <c r="J3252" s="156">
        <v>0.0</v>
      </c>
      <c r="K3252" s="154" t="s">
        <v>361</v>
      </c>
    </row>
    <row r="3253">
      <c r="A3253" s="154" t="s">
        <v>7326</v>
      </c>
      <c r="B3253" s="155"/>
      <c r="C3253" s="154" t="s">
        <v>7332</v>
      </c>
      <c r="D3253" s="155"/>
      <c r="E3253" s="155"/>
      <c r="F3253" s="154" t="s">
        <v>7333</v>
      </c>
      <c r="G3253" s="154" t="s">
        <v>7329</v>
      </c>
      <c r="H3253" s="154" t="s">
        <v>7334</v>
      </c>
      <c r="I3253" s="154" t="s">
        <v>7331</v>
      </c>
      <c r="J3253" s="156">
        <v>0.0</v>
      </c>
      <c r="K3253" s="154" t="s">
        <v>361</v>
      </c>
    </row>
    <row r="3254">
      <c r="A3254" s="154" t="s">
        <v>7335</v>
      </c>
      <c r="B3254" s="155"/>
      <c r="C3254" s="154" t="s">
        <v>7336</v>
      </c>
      <c r="D3254" s="155"/>
      <c r="E3254" s="155"/>
      <c r="F3254" s="154" t="s">
        <v>1619</v>
      </c>
      <c r="G3254" s="154">
        <v>4.3903333E7</v>
      </c>
      <c r="H3254" s="154" t="s">
        <v>1620</v>
      </c>
      <c r="I3254" s="156">
        <v>0.0</v>
      </c>
      <c r="J3254" s="156">
        <v>0.0</v>
      </c>
      <c r="K3254" s="156">
        <v>0.0</v>
      </c>
    </row>
    <row r="3255">
      <c r="A3255" s="154" t="s">
        <v>7335</v>
      </c>
      <c r="B3255" s="154" t="s">
        <v>7337</v>
      </c>
      <c r="D3255" s="154">
        <v>2.0</v>
      </c>
      <c r="E3255" s="154" t="s">
        <v>897</v>
      </c>
      <c r="F3255" s="154" t="s">
        <v>1619</v>
      </c>
      <c r="G3255" s="154">
        <v>4.3903333E7</v>
      </c>
      <c r="H3255" s="154" t="s">
        <v>1620</v>
      </c>
      <c r="I3255" s="156">
        <v>0.0</v>
      </c>
      <c r="J3255" s="156">
        <v>0.0</v>
      </c>
      <c r="K3255" s="156">
        <v>0.0</v>
      </c>
    </row>
    <row r="3256">
      <c r="A3256" s="154" t="s">
        <v>7338</v>
      </c>
      <c r="B3256" s="154" t="s">
        <v>7339</v>
      </c>
      <c r="D3256" s="154">
        <v>2.0</v>
      </c>
      <c r="E3256" s="154" t="s">
        <v>897</v>
      </c>
      <c r="F3256" s="154" t="s">
        <v>7340</v>
      </c>
      <c r="G3256" s="154">
        <v>4.3688808E7</v>
      </c>
      <c r="H3256" s="156">
        <v>0.0</v>
      </c>
      <c r="I3256" s="154" t="s">
        <v>7341</v>
      </c>
      <c r="J3256" s="156">
        <v>0.0</v>
      </c>
      <c r="K3256" s="154" t="s">
        <v>361</v>
      </c>
    </row>
    <row r="3257">
      <c r="A3257" s="154" t="s">
        <v>7338</v>
      </c>
      <c r="B3257" s="155"/>
      <c r="C3257" s="154" t="s">
        <v>7342</v>
      </c>
      <c r="D3257" s="155"/>
      <c r="E3257" s="155"/>
      <c r="F3257" s="154" t="s">
        <v>7343</v>
      </c>
      <c r="G3257" s="156">
        <v>0.0</v>
      </c>
      <c r="H3257" s="156">
        <v>0.0</v>
      </c>
      <c r="I3257" s="154" t="s">
        <v>7344</v>
      </c>
      <c r="J3257" s="154" t="s">
        <v>3776</v>
      </c>
      <c r="K3257" s="154" t="s">
        <v>361</v>
      </c>
    </row>
    <row r="3258">
      <c r="A3258" s="154" t="s">
        <v>7345</v>
      </c>
      <c r="B3258" s="154" t="s">
        <v>7346</v>
      </c>
      <c r="D3258" s="154">
        <v>2.0</v>
      </c>
      <c r="E3258" s="154" t="s">
        <v>897</v>
      </c>
      <c r="F3258" s="154" t="s">
        <v>7347</v>
      </c>
      <c r="G3258" s="156">
        <v>0.0</v>
      </c>
      <c r="H3258" s="156">
        <v>0.0</v>
      </c>
      <c r="I3258" s="154" t="s">
        <v>7348</v>
      </c>
      <c r="J3258" s="156">
        <v>0.0</v>
      </c>
      <c r="K3258" s="154" t="s">
        <v>361</v>
      </c>
    </row>
    <row r="3259">
      <c r="A3259" s="154" t="s">
        <v>7345</v>
      </c>
      <c r="B3259" s="155"/>
      <c r="C3259" s="154" t="s">
        <v>7349</v>
      </c>
      <c r="D3259" s="155"/>
      <c r="E3259" s="155"/>
      <c r="F3259" s="154" t="s">
        <v>7347</v>
      </c>
      <c r="G3259" s="156">
        <v>0.0</v>
      </c>
      <c r="H3259" s="156">
        <v>0.0</v>
      </c>
      <c r="I3259" s="154" t="s">
        <v>7348</v>
      </c>
      <c r="J3259" s="156">
        <v>0.0</v>
      </c>
      <c r="K3259" s="154" t="s">
        <v>361</v>
      </c>
    </row>
    <row r="3260">
      <c r="A3260" s="154" t="s">
        <v>7350</v>
      </c>
      <c r="B3260" s="155"/>
      <c r="C3260" s="154" t="s">
        <v>7351</v>
      </c>
      <c r="D3260" s="155"/>
      <c r="E3260" s="155"/>
      <c r="F3260" s="154" t="s">
        <v>7352</v>
      </c>
      <c r="G3260" s="156">
        <v>0.0</v>
      </c>
      <c r="H3260" s="156">
        <v>0.0</v>
      </c>
      <c r="I3260" s="154" t="s">
        <v>7353</v>
      </c>
      <c r="J3260" s="156">
        <v>0.0</v>
      </c>
      <c r="K3260" s="154" t="s">
        <v>1891</v>
      </c>
    </row>
    <row r="3261">
      <c r="A3261" s="154" t="s">
        <v>7350</v>
      </c>
      <c r="B3261" s="154" t="s">
        <v>7354</v>
      </c>
      <c r="D3261" s="154">
        <v>2.0</v>
      </c>
      <c r="E3261" s="154" t="s">
        <v>897</v>
      </c>
      <c r="F3261" s="154" t="s">
        <v>7355</v>
      </c>
      <c r="G3261" s="156">
        <v>0.0</v>
      </c>
      <c r="H3261" s="156">
        <v>0.0</v>
      </c>
      <c r="I3261" s="156">
        <v>0.0</v>
      </c>
      <c r="J3261" s="154" t="s">
        <v>7356</v>
      </c>
      <c r="K3261" s="154" t="s">
        <v>1891</v>
      </c>
    </row>
    <row r="3262">
      <c r="A3262" s="154" t="s">
        <v>7357</v>
      </c>
      <c r="B3262" s="154" t="s">
        <v>7358</v>
      </c>
      <c r="D3262" s="154">
        <v>2.0</v>
      </c>
      <c r="E3262" s="154" t="s">
        <v>897</v>
      </c>
      <c r="F3262" s="154" t="s">
        <v>7359</v>
      </c>
      <c r="G3262" s="156">
        <v>0.0</v>
      </c>
      <c r="H3262" s="156">
        <v>0.0</v>
      </c>
      <c r="I3262" s="154" t="s">
        <v>7360</v>
      </c>
      <c r="J3262" s="154" t="s">
        <v>7361</v>
      </c>
      <c r="K3262" s="154" t="s">
        <v>329</v>
      </c>
    </row>
    <row r="3263">
      <c r="A3263" s="154" t="s">
        <v>7357</v>
      </c>
      <c r="B3263" s="155"/>
      <c r="C3263" s="154" t="s">
        <v>7362</v>
      </c>
      <c r="D3263" s="155"/>
      <c r="E3263" s="155"/>
      <c r="F3263" s="154" t="s">
        <v>7359</v>
      </c>
      <c r="G3263" s="156">
        <v>0.0</v>
      </c>
      <c r="H3263" s="156">
        <v>0.0</v>
      </c>
      <c r="I3263" s="154" t="s">
        <v>7360</v>
      </c>
      <c r="J3263" s="154" t="s">
        <v>7361</v>
      </c>
      <c r="K3263" s="154" t="s">
        <v>329</v>
      </c>
    </row>
    <row r="3264">
      <c r="A3264" s="154" t="s">
        <v>7363</v>
      </c>
      <c r="B3264" s="154" t="s">
        <v>7364</v>
      </c>
      <c r="D3264" s="154">
        <v>2.0</v>
      </c>
      <c r="E3264" s="154" t="s">
        <v>897</v>
      </c>
      <c r="F3264" s="154" t="s">
        <v>7365</v>
      </c>
      <c r="G3264" s="156">
        <v>0.0</v>
      </c>
      <c r="H3264" s="154" t="s">
        <v>7366</v>
      </c>
      <c r="I3264" s="154" t="s">
        <v>7367</v>
      </c>
      <c r="J3264" s="154" t="s">
        <v>809</v>
      </c>
      <c r="K3264" s="154" t="s">
        <v>259</v>
      </c>
    </row>
    <row r="3265">
      <c r="A3265" s="154" t="s">
        <v>7363</v>
      </c>
      <c r="B3265" s="155"/>
      <c r="C3265" s="154" t="s">
        <v>7368</v>
      </c>
      <c r="D3265" s="155"/>
      <c r="E3265" s="155"/>
      <c r="F3265" s="154" t="s">
        <v>7365</v>
      </c>
      <c r="G3265" s="156">
        <v>0.0</v>
      </c>
      <c r="H3265" s="154" t="s">
        <v>7366</v>
      </c>
      <c r="I3265" s="154" t="s">
        <v>7367</v>
      </c>
      <c r="J3265" s="154" t="s">
        <v>809</v>
      </c>
      <c r="K3265" s="154" t="s">
        <v>259</v>
      </c>
    </row>
    <row r="3266">
      <c r="A3266" s="154" t="s">
        <v>7369</v>
      </c>
      <c r="B3266" s="154" t="s">
        <v>7370</v>
      </c>
      <c r="D3266" s="154">
        <v>2.0</v>
      </c>
      <c r="E3266" s="154" t="s">
        <v>897</v>
      </c>
      <c r="F3266" s="154" t="s">
        <v>7371</v>
      </c>
      <c r="G3266" s="154" t="s">
        <v>7372</v>
      </c>
      <c r="H3266" s="154" t="s">
        <v>7373</v>
      </c>
      <c r="I3266" s="154" t="s">
        <v>7374</v>
      </c>
      <c r="J3266" s="154" t="s">
        <v>7375</v>
      </c>
      <c r="K3266" s="154" t="s">
        <v>361</v>
      </c>
    </row>
    <row r="3267">
      <c r="A3267" s="154" t="s">
        <v>7369</v>
      </c>
      <c r="B3267" s="155"/>
      <c r="C3267" s="154" t="s">
        <v>7376</v>
      </c>
      <c r="D3267" s="155"/>
      <c r="E3267" s="155"/>
      <c r="F3267" s="154" t="s">
        <v>7371</v>
      </c>
      <c r="G3267" s="154" t="s">
        <v>7372</v>
      </c>
      <c r="H3267" s="154" t="s">
        <v>7373</v>
      </c>
      <c r="I3267" s="154" t="s">
        <v>7374</v>
      </c>
      <c r="J3267" s="154" t="s">
        <v>7375</v>
      </c>
      <c r="K3267" s="154" t="s">
        <v>361</v>
      </c>
    </row>
    <row r="3268">
      <c r="A3268" s="154" t="s">
        <v>7377</v>
      </c>
      <c r="B3268" s="154" t="s">
        <v>7378</v>
      </c>
      <c r="D3268" s="154">
        <v>2.0</v>
      </c>
      <c r="E3268" s="154" t="s">
        <v>897</v>
      </c>
      <c r="F3268" s="154" t="s">
        <v>1619</v>
      </c>
      <c r="G3268" s="154">
        <v>4.3903333E7</v>
      </c>
      <c r="H3268" s="154" t="s">
        <v>1620</v>
      </c>
      <c r="I3268" s="156">
        <v>0.0</v>
      </c>
      <c r="J3268" s="156">
        <v>0.0</v>
      </c>
      <c r="K3268" s="156">
        <v>0.0</v>
      </c>
    </row>
    <row r="3269">
      <c r="A3269" s="154" t="s">
        <v>7377</v>
      </c>
      <c r="B3269" s="155"/>
      <c r="C3269" s="154" t="s">
        <v>7379</v>
      </c>
      <c r="D3269" s="155"/>
      <c r="E3269" s="155"/>
      <c r="F3269" s="154" t="s">
        <v>7380</v>
      </c>
      <c r="G3269" s="156">
        <v>0.0</v>
      </c>
      <c r="H3269" s="154" t="s">
        <v>7381</v>
      </c>
      <c r="I3269" s="154" t="s">
        <v>7382</v>
      </c>
      <c r="J3269" s="154" t="s">
        <v>7383</v>
      </c>
      <c r="K3269" s="154" t="s">
        <v>1059</v>
      </c>
    </row>
    <row r="3270">
      <c r="A3270" s="154" t="s">
        <v>7384</v>
      </c>
      <c r="B3270" s="154" t="s">
        <v>7385</v>
      </c>
      <c r="D3270" s="154">
        <v>2.0</v>
      </c>
      <c r="E3270" s="154" t="s">
        <v>897</v>
      </c>
      <c r="F3270" s="154" t="s">
        <v>7386</v>
      </c>
      <c r="G3270" s="156">
        <v>0.0</v>
      </c>
      <c r="H3270" s="154" t="s">
        <v>2192</v>
      </c>
      <c r="I3270" s="154" t="s">
        <v>7387</v>
      </c>
      <c r="J3270" s="156">
        <v>0.0</v>
      </c>
      <c r="K3270" s="154" t="s">
        <v>361</v>
      </c>
    </row>
    <row r="3271">
      <c r="A3271" s="154" t="s">
        <v>7384</v>
      </c>
      <c r="B3271" s="155"/>
      <c r="C3271" s="154" t="s">
        <v>7388</v>
      </c>
      <c r="D3271" s="155"/>
      <c r="E3271" s="155"/>
      <c r="F3271" s="154" t="s">
        <v>7389</v>
      </c>
      <c r="G3271" s="156">
        <v>0.0</v>
      </c>
      <c r="H3271" s="154" t="s">
        <v>2192</v>
      </c>
      <c r="I3271" s="154" t="s">
        <v>7390</v>
      </c>
      <c r="J3271" s="156">
        <v>0.0</v>
      </c>
      <c r="K3271" s="154" t="s">
        <v>361</v>
      </c>
    </row>
    <row r="3272">
      <c r="A3272" s="154" t="s">
        <v>7391</v>
      </c>
      <c r="B3272" s="154" t="s">
        <v>7392</v>
      </c>
      <c r="D3272" s="154">
        <v>2.0</v>
      </c>
      <c r="E3272" s="154" t="s">
        <v>897</v>
      </c>
      <c r="F3272" s="154" t="s">
        <v>7393</v>
      </c>
      <c r="G3272" s="156">
        <v>0.0</v>
      </c>
      <c r="H3272" s="156">
        <v>0.0</v>
      </c>
      <c r="I3272" s="154" t="s">
        <v>7394</v>
      </c>
      <c r="J3272" s="156">
        <v>0.0</v>
      </c>
      <c r="K3272" s="154" t="s">
        <v>776</v>
      </c>
    </row>
    <row r="3273">
      <c r="A3273" s="154" t="s">
        <v>7391</v>
      </c>
      <c r="B3273" s="155"/>
      <c r="C3273" s="154" t="s">
        <v>7395</v>
      </c>
      <c r="D3273" s="155"/>
      <c r="E3273" s="155"/>
      <c r="F3273" s="154" t="s">
        <v>7396</v>
      </c>
      <c r="G3273" s="156">
        <v>0.0</v>
      </c>
      <c r="H3273" s="156">
        <v>0.0</v>
      </c>
      <c r="I3273" s="154" t="s">
        <v>7394</v>
      </c>
      <c r="J3273" s="156">
        <v>0.0</v>
      </c>
      <c r="K3273" s="154" t="s">
        <v>361</v>
      </c>
    </row>
    <row r="3274">
      <c r="A3274" s="154" t="s">
        <v>7397</v>
      </c>
      <c r="B3274" s="155"/>
      <c r="C3274" s="154" t="s">
        <v>7398</v>
      </c>
      <c r="D3274" s="155"/>
      <c r="E3274" s="155"/>
      <c r="F3274" s="154" t="s">
        <v>7399</v>
      </c>
      <c r="G3274" s="154">
        <v>5.0271105E8</v>
      </c>
      <c r="H3274" s="156">
        <v>0.0</v>
      </c>
      <c r="I3274" s="154" t="s">
        <v>7400</v>
      </c>
      <c r="J3274" s="156">
        <v>0.0</v>
      </c>
      <c r="K3274" s="154" t="s">
        <v>846</v>
      </c>
    </row>
    <row r="3275">
      <c r="A3275" s="154" t="s">
        <v>7397</v>
      </c>
      <c r="B3275" s="154" t="s">
        <v>7401</v>
      </c>
      <c r="D3275" s="154">
        <v>2.0</v>
      </c>
      <c r="E3275" s="154" t="s">
        <v>897</v>
      </c>
      <c r="F3275" s="154" t="s">
        <v>7399</v>
      </c>
      <c r="G3275" s="154">
        <v>5.0271105E8</v>
      </c>
      <c r="H3275" s="156">
        <v>0.0</v>
      </c>
      <c r="I3275" s="154" t="s">
        <v>7400</v>
      </c>
      <c r="J3275" s="156">
        <v>0.0</v>
      </c>
      <c r="K3275" s="154" t="s">
        <v>846</v>
      </c>
    </row>
    <row r="3276">
      <c r="A3276" s="154" t="s">
        <v>7402</v>
      </c>
      <c r="B3276" s="154" t="s">
        <v>7403</v>
      </c>
      <c r="D3276" s="154">
        <v>2.0</v>
      </c>
      <c r="E3276" s="154" t="s">
        <v>897</v>
      </c>
      <c r="F3276" s="154" t="s">
        <v>7404</v>
      </c>
      <c r="G3276" s="156">
        <v>0.0</v>
      </c>
      <c r="H3276" s="154" t="s">
        <v>7405</v>
      </c>
      <c r="I3276" s="154" t="s">
        <v>7406</v>
      </c>
      <c r="J3276" s="156">
        <v>0.0</v>
      </c>
      <c r="K3276" s="154" t="s">
        <v>197</v>
      </c>
    </row>
    <row r="3277">
      <c r="A3277" s="154" t="s">
        <v>7402</v>
      </c>
      <c r="B3277" s="155"/>
      <c r="C3277" s="154" t="s">
        <v>7407</v>
      </c>
      <c r="D3277" s="155"/>
      <c r="E3277" s="155"/>
      <c r="F3277" s="154" t="s">
        <v>7408</v>
      </c>
      <c r="G3277" s="156">
        <v>0.0</v>
      </c>
      <c r="H3277" s="154" t="s">
        <v>7409</v>
      </c>
      <c r="I3277" s="154" t="s">
        <v>7410</v>
      </c>
      <c r="J3277" s="154" t="s">
        <v>7411</v>
      </c>
      <c r="K3277" s="154" t="s">
        <v>197</v>
      </c>
    </row>
    <row r="3278">
      <c r="A3278" s="154" t="s">
        <v>7412</v>
      </c>
      <c r="B3278" s="154" t="s">
        <v>7413</v>
      </c>
      <c r="D3278" s="154">
        <v>2.0</v>
      </c>
      <c r="E3278" s="154" t="s">
        <v>897</v>
      </c>
      <c r="F3278" s="154" t="s">
        <v>7414</v>
      </c>
      <c r="G3278" s="154">
        <v>0.0</v>
      </c>
      <c r="H3278" s="156">
        <v>0.0</v>
      </c>
      <c r="I3278" s="154">
        <v>9.7155494922E11</v>
      </c>
      <c r="J3278" s="156">
        <v>0.0</v>
      </c>
      <c r="K3278" s="154" t="s">
        <v>361</v>
      </c>
    </row>
    <row r="3279">
      <c r="A3279" s="154" t="s">
        <v>7412</v>
      </c>
      <c r="B3279" s="155"/>
      <c r="C3279" s="154" t="s">
        <v>7415</v>
      </c>
      <c r="D3279" s="155"/>
      <c r="E3279" s="155"/>
      <c r="F3279" s="154" t="s">
        <v>7414</v>
      </c>
      <c r="G3279" s="154">
        <v>0.0</v>
      </c>
      <c r="H3279" s="156">
        <v>0.0</v>
      </c>
      <c r="I3279" s="154">
        <v>9.7155494922E11</v>
      </c>
      <c r="J3279" s="156">
        <v>0.0</v>
      </c>
      <c r="K3279" s="154" t="s">
        <v>361</v>
      </c>
    </row>
    <row r="3280">
      <c r="A3280" s="154" t="s">
        <v>7416</v>
      </c>
      <c r="B3280" s="154" t="s">
        <v>7417</v>
      </c>
      <c r="D3280" s="154">
        <v>2.0</v>
      </c>
      <c r="E3280" s="154" t="s">
        <v>897</v>
      </c>
      <c r="F3280" s="154" t="s">
        <v>7418</v>
      </c>
      <c r="G3280" s="154">
        <v>1.0E9</v>
      </c>
      <c r="H3280" s="156">
        <v>0.0</v>
      </c>
      <c r="I3280" s="154">
        <v>5.09987502E8</v>
      </c>
      <c r="J3280" s="156">
        <v>0.0</v>
      </c>
      <c r="K3280" s="154" t="s">
        <v>259</v>
      </c>
    </row>
    <row r="3281">
      <c r="A3281" s="154" t="s">
        <v>7416</v>
      </c>
      <c r="B3281" s="155"/>
      <c r="C3281" s="154" t="s">
        <v>7419</v>
      </c>
      <c r="D3281" s="155"/>
      <c r="E3281" s="155"/>
      <c r="F3281" s="154" t="s">
        <v>7418</v>
      </c>
      <c r="G3281" s="154">
        <v>1.0E9</v>
      </c>
      <c r="H3281" s="156">
        <v>0.0</v>
      </c>
      <c r="I3281" s="154">
        <v>5.09987502E8</v>
      </c>
      <c r="J3281" s="156">
        <v>0.0</v>
      </c>
      <c r="K3281" s="154" t="s">
        <v>259</v>
      </c>
    </row>
    <row r="3282">
      <c r="A3282" s="154" t="s">
        <v>7420</v>
      </c>
      <c r="B3282" s="155"/>
      <c r="C3282" s="154" t="s">
        <v>7421</v>
      </c>
      <c r="D3282" s="155"/>
      <c r="E3282" s="155"/>
      <c r="F3282" s="154" t="s">
        <v>7422</v>
      </c>
      <c r="G3282" s="156">
        <v>0.0</v>
      </c>
      <c r="H3282" s="156">
        <v>0.0</v>
      </c>
      <c r="I3282" s="154" t="s">
        <v>7423</v>
      </c>
      <c r="J3282" s="156">
        <v>0.0</v>
      </c>
      <c r="K3282" s="154" t="s">
        <v>361</v>
      </c>
    </row>
    <row r="3283">
      <c r="A3283" s="154" t="s">
        <v>7420</v>
      </c>
      <c r="B3283" s="154" t="s">
        <v>7424</v>
      </c>
      <c r="D3283" s="154">
        <v>2.0</v>
      </c>
      <c r="E3283" s="154" t="s">
        <v>897</v>
      </c>
      <c r="F3283" s="154" t="s">
        <v>7422</v>
      </c>
      <c r="G3283" s="156">
        <v>0.0</v>
      </c>
      <c r="H3283" s="156">
        <v>0.0</v>
      </c>
      <c r="I3283" s="154" t="s">
        <v>7423</v>
      </c>
      <c r="J3283" s="156">
        <v>0.0</v>
      </c>
      <c r="K3283" s="154" t="s">
        <v>361</v>
      </c>
    </row>
    <row r="3284">
      <c r="A3284" s="154" t="s">
        <v>7425</v>
      </c>
      <c r="B3284" s="155"/>
      <c r="C3284" s="154" t="s">
        <v>7426</v>
      </c>
      <c r="D3284" s="155"/>
      <c r="E3284" s="155"/>
      <c r="F3284" s="154" t="s">
        <v>7427</v>
      </c>
      <c r="G3284" s="156">
        <v>0.0</v>
      </c>
      <c r="H3284" s="154" t="s">
        <v>7428</v>
      </c>
      <c r="I3284" s="156">
        <v>0.0</v>
      </c>
      <c r="J3284" s="154" t="s">
        <v>7429</v>
      </c>
      <c r="K3284" s="154" t="s">
        <v>760</v>
      </c>
    </row>
    <row r="3285">
      <c r="A3285" s="154" t="s">
        <v>7425</v>
      </c>
      <c r="B3285" s="154" t="s">
        <v>7430</v>
      </c>
      <c r="D3285" s="154">
        <v>2.0</v>
      </c>
      <c r="E3285" s="154" t="s">
        <v>897</v>
      </c>
      <c r="F3285" s="154" t="s">
        <v>7427</v>
      </c>
      <c r="G3285" s="156">
        <v>0.0</v>
      </c>
      <c r="H3285" s="154" t="s">
        <v>7428</v>
      </c>
      <c r="I3285" s="156">
        <v>0.0</v>
      </c>
      <c r="J3285" s="154" t="s">
        <v>7429</v>
      </c>
      <c r="K3285" s="154" t="s">
        <v>760</v>
      </c>
    </row>
    <row r="3286">
      <c r="A3286" s="154" t="s">
        <v>7431</v>
      </c>
      <c r="B3286" s="154" t="s">
        <v>7432</v>
      </c>
      <c r="D3286" s="154">
        <v>2.0</v>
      </c>
      <c r="E3286" s="154" t="s">
        <v>897</v>
      </c>
      <c r="F3286" s="154" t="s">
        <v>3127</v>
      </c>
      <c r="G3286" s="156">
        <v>0.0</v>
      </c>
      <c r="H3286" s="154" t="s">
        <v>3128</v>
      </c>
      <c r="I3286" s="154" t="s">
        <v>3129</v>
      </c>
      <c r="J3286" s="154" t="s">
        <v>3130</v>
      </c>
      <c r="K3286" s="154" t="s">
        <v>191</v>
      </c>
    </row>
    <row r="3287">
      <c r="A3287" s="154" t="s">
        <v>7431</v>
      </c>
      <c r="B3287" s="155"/>
      <c r="C3287" s="154" t="s">
        <v>7433</v>
      </c>
      <c r="D3287" s="155"/>
      <c r="E3287" s="155"/>
      <c r="F3287" s="154" t="s">
        <v>3127</v>
      </c>
      <c r="G3287" s="156">
        <v>0.0</v>
      </c>
      <c r="H3287" s="154" t="s">
        <v>3128</v>
      </c>
      <c r="I3287" s="154" t="s">
        <v>3129</v>
      </c>
      <c r="J3287" s="154" t="s">
        <v>3130</v>
      </c>
      <c r="K3287" s="154" t="s">
        <v>191</v>
      </c>
    </row>
    <row r="3288">
      <c r="A3288" s="154" t="s">
        <v>7434</v>
      </c>
      <c r="B3288" s="154" t="s">
        <v>7435</v>
      </c>
      <c r="D3288" s="154">
        <v>2.0</v>
      </c>
      <c r="E3288" s="154" t="s">
        <v>897</v>
      </c>
      <c r="F3288" s="154" t="s">
        <v>7436</v>
      </c>
      <c r="G3288" s="156">
        <v>0.0</v>
      </c>
      <c r="H3288" s="156">
        <v>0.0</v>
      </c>
      <c r="I3288" s="154" t="s">
        <v>7437</v>
      </c>
      <c r="J3288" s="156">
        <v>0.0</v>
      </c>
      <c r="K3288" s="154" t="s">
        <v>760</v>
      </c>
    </row>
    <row r="3289">
      <c r="A3289" s="154" t="s">
        <v>7434</v>
      </c>
      <c r="B3289" s="155"/>
      <c r="C3289" s="154" t="s">
        <v>7438</v>
      </c>
      <c r="D3289" s="155"/>
      <c r="E3289" s="155"/>
      <c r="F3289" s="154" t="s">
        <v>7436</v>
      </c>
      <c r="G3289" s="156">
        <v>0.0</v>
      </c>
      <c r="H3289" s="156">
        <v>0.0</v>
      </c>
      <c r="I3289" s="154" t="s">
        <v>7437</v>
      </c>
      <c r="J3289" s="156">
        <v>0.0</v>
      </c>
      <c r="K3289" s="154" t="s">
        <v>760</v>
      </c>
    </row>
    <row r="3290">
      <c r="A3290" s="154" t="s">
        <v>7439</v>
      </c>
      <c r="B3290" s="154" t="s">
        <v>7440</v>
      </c>
      <c r="D3290" s="154">
        <v>2.0</v>
      </c>
      <c r="E3290" s="154" t="s">
        <v>897</v>
      </c>
      <c r="F3290" s="154" t="s">
        <v>7441</v>
      </c>
      <c r="G3290" s="154" t="s">
        <v>7442</v>
      </c>
      <c r="H3290" s="156">
        <v>0.0</v>
      </c>
      <c r="I3290" s="154" t="s">
        <v>7443</v>
      </c>
      <c r="J3290" s="156">
        <v>0.0</v>
      </c>
      <c r="K3290" s="154" t="s">
        <v>197</v>
      </c>
    </row>
    <row r="3291">
      <c r="A3291" s="154" t="s">
        <v>7439</v>
      </c>
      <c r="B3291" s="155"/>
      <c r="C3291" s="154" t="s">
        <v>7444</v>
      </c>
      <c r="D3291" s="155"/>
      <c r="E3291" s="155"/>
      <c r="F3291" s="154" t="s">
        <v>7441</v>
      </c>
      <c r="G3291" s="154" t="s">
        <v>7442</v>
      </c>
      <c r="H3291" s="156">
        <v>0.0</v>
      </c>
      <c r="I3291" s="154" t="s">
        <v>7443</v>
      </c>
      <c r="J3291" s="156">
        <v>0.0</v>
      </c>
      <c r="K3291" s="154" t="s">
        <v>197</v>
      </c>
    </row>
    <row r="3292">
      <c r="A3292" s="154" t="s">
        <v>7445</v>
      </c>
      <c r="B3292" s="155"/>
      <c r="C3292" s="154" t="s">
        <v>7446</v>
      </c>
      <c r="D3292" s="155"/>
      <c r="E3292" s="155"/>
      <c r="F3292" s="154" t="s">
        <v>7447</v>
      </c>
      <c r="G3292" s="156">
        <v>0.0</v>
      </c>
      <c r="H3292" s="154" t="s">
        <v>7448</v>
      </c>
      <c r="I3292" s="154">
        <v>5.08699776E8</v>
      </c>
      <c r="J3292" s="156">
        <v>0.0</v>
      </c>
      <c r="K3292" s="154" t="s">
        <v>846</v>
      </c>
    </row>
    <row r="3293">
      <c r="A3293" s="154" t="s">
        <v>7445</v>
      </c>
      <c r="B3293" s="154" t="s">
        <v>7449</v>
      </c>
      <c r="D3293" s="154">
        <v>2.0</v>
      </c>
      <c r="E3293" s="154" t="s">
        <v>897</v>
      </c>
      <c r="F3293" s="154" t="s">
        <v>7450</v>
      </c>
      <c r="G3293" s="154" t="s">
        <v>7451</v>
      </c>
      <c r="H3293" s="156">
        <v>0.0</v>
      </c>
      <c r="I3293" s="154" t="s">
        <v>7452</v>
      </c>
      <c r="J3293" s="154" t="s">
        <v>7453</v>
      </c>
      <c r="K3293" s="154" t="s">
        <v>846</v>
      </c>
    </row>
    <row r="3294">
      <c r="A3294" s="154" t="s">
        <v>7454</v>
      </c>
      <c r="B3294" s="154" t="s">
        <v>7455</v>
      </c>
      <c r="D3294" s="154">
        <v>2.0</v>
      </c>
      <c r="E3294" s="154" t="s">
        <v>897</v>
      </c>
      <c r="F3294" s="154" t="s">
        <v>6887</v>
      </c>
      <c r="G3294" s="154" t="s">
        <v>6888</v>
      </c>
      <c r="H3294" s="154" t="s">
        <v>6889</v>
      </c>
      <c r="I3294" s="154" t="s">
        <v>6890</v>
      </c>
      <c r="J3294" s="154" t="s">
        <v>6891</v>
      </c>
      <c r="K3294" s="154" t="s">
        <v>207</v>
      </c>
    </row>
    <row r="3295">
      <c r="A3295" s="154" t="s">
        <v>7454</v>
      </c>
      <c r="B3295" s="155"/>
      <c r="C3295" s="154" t="s">
        <v>7456</v>
      </c>
      <c r="D3295" s="155"/>
      <c r="E3295" s="155"/>
      <c r="F3295" s="154" t="s">
        <v>6887</v>
      </c>
      <c r="G3295" s="154" t="s">
        <v>6888</v>
      </c>
      <c r="H3295" s="154" t="s">
        <v>6889</v>
      </c>
      <c r="I3295" s="154" t="s">
        <v>6890</v>
      </c>
      <c r="J3295" s="154" t="s">
        <v>6891</v>
      </c>
      <c r="K3295" s="154" t="s">
        <v>207</v>
      </c>
    </row>
    <row r="3296">
      <c r="A3296" s="154" t="s">
        <v>7457</v>
      </c>
      <c r="B3296" s="154" t="s">
        <v>7458</v>
      </c>
      <c r="D3296" s="154">
        <v>2.0</v>
      </c>
      <c r="E3296" s="154" t="s">
        <v>897</v>
      </c>
      <c r="F3296" s="154" t="s">
        <v>7459</v>
      </c>
      <c r="G3296" s="156">
        <v>0.0</v>
      </c>
      <c r="H3296" s="156">
        <v>0.0</v>
      </c>
      <c r="I3296" s="154" t="s">
        <v>7460</v>
      </c>
      <c r="J3296" s="156">
        <v>0.0</v>
      </c>
      <c r="K3296" s="154" t="s">
        <v>197</v>
      </c>
    </row>
    <row r="3297">
      <c r="A3297" s="154" t="s">
        <v>7457</v>
      </c>
      <c r="B3297" s="155"/>
      <c r="C3297" s="154" t="s">
        <v>7461</v>
      </c>
      <c r="D3297" s="155"/>
      <c r="E3297" s="155"/>
      <c r="F3297" s="154" t="s">
        <v>7459</v>
      </c>
      <c r="G3297" s="156">
        <v>0.0</v>
      </c>
      <c r="H3297" s="156">
        <v>0.0</v>
      </c>
      <c r="I3297" s="154" t="s">
        <v>7460</v>
      </c>
      <c r="J3297" s="156">
        <v>0.0</v>
      </c>
      <c r="K3297" s="154" t="s">
        <v>197</v>
      </c>
    </row>
    <row r="3298">
      <c r="A3298" s="154" t="s">
        <v>7462</v>
      </c>
      <c r="B3298" s="155"/>
      <c r="C3298" s="154" t="s">
        <v>7463</v>
      </c>
      <c r="D3298" s="155"/>
      <c r="E3298" s="155"/>
      <c r="F3298" s="154" t="s">
        <v>6887</v>
      </c>
      <c r="G3298" s="154" t="s">
        <v>6888</v>
      </c>
      <c r="H3298" s="154" t="s">
        <v>6889</v>
      </c>
      <c r="I3298" s="154" t="s">
        <v>6890</v>
      </c>
      <c r="J3298" s="154" t="s">
        <v>6891</v>
      </c>
      <c r="K3298" s="154" t="s">
        <v>207</v>
      </c>
    </row>
    <row r="3299">
      <c r="A3299" s="154" t="s">
        <v>7462</v>
      </c>
      <c r="B3299" s="154" t="s">
        <v>7464</v>
      </c>
      <c r="D3299" s="154">
        <v>2.0</v>
      </c>
      <c r="E3299" s="154" t="s">
        <v>897</v>
      </c>
      <c r="F3299" s="154" t="s">
        <v>6887</v>
      </c>
      <c r="G3299" s="154" t="s">
        <v>6888</v>
      </c>
      <c r="H3299" s="154" t="s">
        <v>6889</v>
      </c>
      <c r="I3299" s="154" t="s">
        <v>6890</v>
      </c>
      <c r="J3299" s="154" t="s">
        <v>6891</v>
      </c>
      <c r="K3299" s="154" t="s">
        <v>207</v>
      </c>
    </row>
    <row r="3300">
      <c r="A3300" s="154" t="s">
        <v>7465</v>
      </c>
      <c r="B3300" s="154" t="s">
        <v>7466</v>
      </c>
      <c r="D3300" s="154">
        <v>2.0</v>
      </c>
      <c r="E3300" s="154" t="s">
        <v>897</v>
      </c>
      <c r="F3300" s="154" t="s">
        <v>2977</v>
      </c>
      <c r="G3300" s="156">
        <v>0.0</v>
      </c>
      <c r="H3300" s="156">
        <v>0.0</v>
      </c>
      <c r="I3300" s="154" t="s">
        <v>2978</v>
      </c>
      <c r="J3300" s="156">
        <v>0.0</v>
      </c>
      <c r="K3300" s="154" t="s">
        <v>197</v>
      </c>
    </row>
    <row r="3301">
      <c r="A3301" s="154" t="s">
        <v>7465</v>
      </c>
      <c r="B3301" s="155"/>
      <c r="C3301" s="154" t="s">
        <v>7467</v>
      </c>
      <c r="D3301" s="155"/>
      <c r="E3301" s="155"/>
      <c r="F3301" s="154" t="s">
        <v>2977</v>
      </c>
      <c r="G3301" s="156">
        <v>0.0</v>
      </c>
      <c r="H3301" s="156">
        <v>0.0</v>
      </c>
      <c r="I3301" s="154" t="s">
        <v>2978</v>
      </c>
      <c r="J3301" s="156">
        <v>0.0</v>
      </c>
      <c r="K3301" s="154" t="s">
        <v>197</v>
      </c>
    </row>
    <row r="3302">
      <c r="A3302" s="154" t="s">
        <v>7468</v>
      </c>
      <c r="B3302" s="154" t="s">
        <v>7469</v>
      </c>
      <c r="D3302" s="154">
        <v>2.0</v>
      </c>
      <c r="E3302" s="154" t="s">
        <v>897</v>
      </c>
      <c r="F3302" s="154" t="s">
        <v>7470</v>
      </c>
      <c r="G3302" s="156">
        <v>0.0</v>
      </c>
      <c r="H3302" s="154" t="s">
        <v>7471</v>
      </c>
      <c r="I3302" s="154" t="s">
        <v>7472</v>
      </c>
      <c r="J3302" s="156">
        <v>0.0</v>
      </c>
      <c r="K3302" s="154" t="s">
        <v>1461</v>
      </c>
    </row>
    <row r="3303">
      <c r="A3303" s="154" t="s">
        <v>7468</v>
      </c>
      <c r="B3303" s="155"/>
      <c r="C3303" s="154" t="s">
        <v>7473</v>
      </c>
      <c r="D3303" s="155"/>
      <c r="E3303" s="155"/>
      <c r="F3303" s="154" t="s">
        <v>7470</v>
      </c>
      <c r="G3303" s="156">
        <v>0.0</v>
      </c>
      <c r="H3303" s="154" t="s">
        <v>7471</v>
      </c>
      <c r="I3303" s="154" t="s">
        <v>7472</v>
      </c>
      <c r="J3303" s="156">
        <v>0.0</v>
      </c>
      <c r="K3303" s="154" t="s">
        <v>1461</v>
      </c>
    </row>
    <row r="3304">
      <c r="A3304" s="154" t="s">
        <v>7474</v>
      </c>
      <c r="B3304" s="155"/>
      <c r="C3304" s="154" t="s">
        <v>7475</v>
      </c>
      <c r="D3304" s="155"/>
      <c r="E3304" s="155"/>
      <c r="F3304" s="154" t="s">
        <v>1619</v>
      </c>
      <c r="G3304" s="154">
        <v>4.3903333E7</v>
      </c>
      <c r="H3304" s="154" t="s">
        <v>1620</v>
      </c>
      <c r="I3304" s="156">
        <v>0.0</v>
      </c>
      <c r="J3304" s="156">
        <v>0.0</v>
      </c>
      <c r="K3304" s="156">
        <v>0.0</v>
      </c>
    </row>
    <row r="3305">
      <c r="A3305" s="154" t="s">
        <v>7474</v>
      </c>
      <c r="B3305" s="154" t="s">
        <v>7476</v>
      </c>
      <c r="D3305" s="154">
        <v>2.0</v>
      </c>
      <c r="E3305" s="154" t="s">
        <v>897</v>
      </c>
      <c r="F3305" s="154" t="s">
        <v>1619</v>
      </c>
      <c r="G3305" s="154">
        <v>4.3903333E7</v>
      </c>
      <c r="H3305" s="154" t="s">
        <v>1620</v>
      </c>
      <c r="I3305" s="156">
        <v>0.0</v>
      </c>
      <c r="J3305" s="156">
        <v>0.0</v>
      </c>
      <c r="K3305" s="156">
        <v>0.0</v>
      </c>
    </row>
    <row r="3306">
      <c r="A3306" s="154" t="s">
        <v>7477</v>
      </c>
      <c r="B3306" s="155"/>
      <c r="C3306" s="154" t="s">
        <v>7478</v>
      </c>
      <c r="D3306" s="155"/>
      <c r="E3306" s="155"/>
      <c r="F3306" s="154" t="s">
        <v>7479</v>
      </c>
      <c r="G3306" s="156">
        <v>0.0</v>
      </c>
      <c r="H3306" s="156">
        <v>0.0</v>
      </c>
      <c r="I3306" s="154" t="s">
        <v>7480</v>
      </c>
      <c r="J3306" s="156">
        <v>0.0</v>
      </c>
      <c r="K3306" s="154" t="s">
        <v>846</v>
      </c>
    </row>
    <row r="3307">
      <c r="A3307" s="154" t="s">
        <v>7477</v>
      </c>
      <c r="B3307" s="154" t="s">
        <v>7481</v>
      </c>
      <c r="D3307" s="154">
        <v>2.0</v>
      </c>
      <c r="E3307" s="154" t="s">
        <v>897</v>
      </c>
      <c r="F3307" s="154" t="s">
        <v>7479</v>
      </c>
      <c r="G3307" s="156">
        <v>0.0</v>
      </c>
      <c r="H3307" s="156">
        <v>0.0</v>
      </c>
      <c r="I3307" s="154" t="s">
        <v>7480</v>
      </c>
      <c r="J3307" s="156">
        <v>0.0</v>
      </c>
      <c r="K3307" s="154" t="s">
        <v>846</v>
      </c>
    </row>
    <row r="3308">
      <c r="A3308" s="154" t="s">
        <v>7482</v>
      </c>
      <c r="B3308" s="154" t="s">
        <v>7483</v>
      </c>
      <c r="D3308" s="154">
        <v>2.0</v>
      </c>
      <c r="E3308" s="154" t="s">
        <v>897</v>
      </c>
      <c r="F3308" s="154" t="s">
        <v>7484</v>
      </c>
      <c r="G3308" s="156">
        <v>0.0</v>
      </c>
      <c r="H3308" s="154" t="s">
        <v>7485</v>
      </c>
      <c r="I3308" s="154" t="s">
        <v>7486</v>
      </c>
      <c r="J3308" s="154" t="s">
        <v>7487</v>
      </c>
      <c r="K3308" s="154" t="s">
        <v>207</v>
      </c>
    </row>
    <row r="3309">
      <c r="A3309" s="154" t="s">
        <v>7482</v>
      </c>
      <c r="B3309" s="155"/>
      <c r="C3309" s="154" t="s">
        <v>7488</v>
      </c>
      <c r="D3309" s="155"/>
      <c r="E3309" s="155"/>
      <c r="F3309" s="154" t="s">
        <v>7489</v>
      </c>
      <c r="G3309" s="154">
        <v>971.0</v>
      </c>
      <c r="H3309" s="156">
        <v>0.0</v>
      </c>
      <c r="I3309" s="154" t="s">
        <v>7490</v>
      </c>
      <c r="J3309" s="154" t="s">
        <v>7491</v>
      </c>
      <c r="K3309" s="154" t="s">
        <v>776</v>
      </c>
    </row>
    <row r="3310">
      <c r="A3310" s="154" t="s">
        <v>7492</v>
      </c>
      <c r="B3310" s="155"/>
      <c r="C3310" s="154" t="s">
        <v>7493</v>
      </c>
      <c r="D3310" s="155"/>
      <c r="E3310" s="155"/>
      <c r="F3310" s="154" t="s">
        <v>7494</v>
      </c>
      <c r="G3310" s="154">
        <v>4.8812222E7</v>
      </c>
      <c r="H3310" s="156">
        <v>0.0</v>
      </c>
      <c r="I3310" s="154">
        <v>4.8812222E7</v>
      </c>
      <c r="J3310" s="156">
        <v>0.0</v>
      </c>
      <c r="K3310" s="154" t="s">
        <v>197</v>
      </c>
    </row>
    <row r="3311">
      <c r="A3311" s="154" t="s">
        <v>7492</v>
      </c>
      <c r="B3311" s="154" t="s">
        <v>7495</v>
      </c>
      <c r="D3311" s="154">
        <v>2.0</v>
      </c>
      <c r="E3311" s="154" t="s">
        <v>897</v>
      </c>
      <c r="F3311" s="154" t="s">
        <v>7494</v>
      </c>
      <c r="G3311" s="154">
        <v>4.8812222E7</v>
      </c>
      <c r="H3311" s="156">
        <v>0.0</v>
      </c>
      <c r="I3311" s="154">
        <v>4.8812222E7</v>
      </c>
      <c r="J3311" s="156">
        <v>0.0</v>
      </c>
      <c r="K3311" s="154" t="s">
        <v>197</v>
      </c>
    </row>
    <row r="3312">
      <c r="A3312" s="154" t="s">
        <v>7496</v>
      </c>
      <c r="B3312" s="155"/>
      <c r="C3312" s="154" t="s">
        <v>7497</v>
      </c>
      <c r="D3312" s="155"/>
      <c r="E3312" s="155"/>
      <c r="F3312" s="154" t="s">
        <v>7498</v>
      </c>
      <c r="G3312" s="156">
        <v>0.0</v>
      </c>
      <c r="H3312" s="154" t="s">
        <v>7499</v>
      </c>
      <c r="I3312" s="154" t="s">
        <v>7500</v>
      </c>
      <c r="J3312" s="154" t="s">
        <v>809</v>
      </c>
      <c r="K3312" s="154" t="s">
        <v>361</v>
      </c>
    </row>
    <row r="3313">
      <c r="A3313" s="154" t="s">
        <v>7496</v>
      </c>
      <c r="B3313" s="154" t="s">
        <v>7501</v>
      </c>
      <c r="D3313" s="154">
        <v>2.0</v>
      </c>
      <c r="E3313" s="154" t="s">
        <v>897</v>
      </c>
      <c r="F3313" s="154" t="s">
        <v>7498</v>
      </c>
      <c r="G3313" s="156">
        <v>0.0</v>
      </c>
      <c r="H3313" s="154" t="s">
        <v>7499</v>
      </c>
      <c r="I3313" s="154" t="s">
        <v>7500</v>
      </c>
      <c r="J3313" s="154" t="s">
        <v>809</v>
      </c>
      <c r="K3313" s="154" t="s">
        <v>361</v>
      </c>
    </row>
    <row r="3314">
      <c r="A3314" s="154" t="s">
        <v>7502</v>
      </c>
      <c r="B3314" s="154" t="s">
        <v>7503</v>
      </c>
      <c r="D3314" s="154">
        <v>2.0</v>
      </c>
      <c r="E3314" s="154" t="s">
        <v>897</v>
      </c>
      <c r="F3314" s="154" t="s">
        <v>7504</v>
      </c>
      <c r="G3314" s="154">
        <v>0.0</v>
      </c>
      <c r="H3314" s="156">
        <v>0.0</v>
      </c>
      <c r="I3314" s="154">
        <v>5.05532673E8</v>
      </c>
      <c r="J3314" s="156">
        <v>0.0</v>
      </c>
      <c r="K3314" s="154" t="s">
        <v>329</v>
      </c>
    </row>
    <row r="3315">
      <c r="A3315" s="154" t="s">
        <v>7502</v>
      </c>
      <c r="B3315" s="155"/>
      <c r="C3315" s="154" t="s">
        <v>7505</v>
      </c>
      <c r="D3315" s="155"/>
      <c r="E3315" s="155"/>
      <c r="F3315" s="154" t="s">
        <v>7506</v>
      </c>
      <c r="G3315" s="154">
        <v>4.3432623E7</v>
      </c>
      <c r="H3315" s="156">
        <v>0.0</v>
      </c>
      <c r="I3315" s="154">
        <v>4.3432623E7</v>
      </c>
      <c r="J3315" s="156">
        <v>0.0</v>
      </c>
      <c r="K3315" s="154" t="s">
        <v>329</v>
      </c>
    </row>
    <row r="3316">
      <c r="A3316" s="154" t="s">
        <v>7507</v>
      </c>
      <c r="B3316" s="155"/>
      <c r="C3316" s="154" t="s">
        <v>7508</v>
      </c>
      <c r="D3316" s="155"/>
      <c r="E3316" s="155"/>
      <c r="F3316" s="154" t="s">
        <v>7509</v>
      </c>
      <c r="G3316" s="156">
        <v>0.0</v>
      </c>
      <c r="H3316" s="156">
        <v>0.0</v>
      </c>
      <c r="I3316" s="154" t="s">
        <v>7510</v>
      </c>
      <c r="J3316" s="154" t="s">
        <v>7511</v>
      </c>
      <c r="K3316" s="154" t="s">
        <v>846</v>
      </c>
    </row>
    <row r="3317">
      <c r="A3317" s="154" t="s">
        <v>7507</v>
      </c>
      <c r="B3317" s="154" t="s">
        <v>7512</v>
      </c>
      <c r="D3317" s="154">
        <v>2.0</v>
      </c>
      <c r="E3317" s="154" t="s">
        <v>897</v>
      </c>
      <c r="F3317" s="154" t="s">
        <v>7509</v>
      </c>
      <c r="G3317" s="156">
        <v>0.0</v>
      </c>
      <c r="H3317" s="156">
        <v>0.0</v>
      </c>
      <c r="I3317" s="154" t="s">
        <v>7510</v>
      </c>
      <c r="J3317" s="154" t="s">
        <v>7511</v>
      </c>
      <c r="K3317" s="154" t="s">
        <v>846</v>
      </c>
    </row>
    <row r="3318">
      <c r="A3318" s="154" t="s">
        <v>7513</v>
      </c>
      <c r="B3318" s="154" t="s">
        <v>7514</v>
      </c>
      <c r="D3318" s="154">
        <v>2.0</v>
      </c>
      <c r="E3318" s="154" t="s">
        <v>897</v>
      </c>
      <c r="F3318" s="154" t="s">
        <v>1619</v>
      </c>
      <c r="G3318" s="154">
        <v>4.3903333E7</v>
      </c>
      <c r="H3318" s="154" t="s">
        <v>1620</v>
      </c>
      <c r="I3318" s="156">
        <v>0.0</v>
      </c>
      <c r="J3318" s="156">
        <v>0.0</v>
      </c>
      <c r="K3318" s="156">
        <v>0.0</v>
      </c>
    </row>
    <row r="3319">
      <c r="A3319" s="154" t="s">
        <v>7513</v>
      </c>
      <c r="B3319" s="155"/>
      <c r="C3319" s="154" t="s">
        <v>7515</v>
      </c>
      <c r="D3319" s="155"/>
      <c r="E3319" s="155"/>
      <c r="F3319" s="154" t="s">
        <v>7043</v>
      </c>
      <c r="G3319" s="156">
        <v>0.0</v>
      </c>
      <c r="H3319" s="154" t="s">
        <v>7038</v>
      </c>
      <c r="I3319" s="154" t="s">
        <v>7044</v>
      </c>
      <c r="J3319" s="154" t="s">
        <v>7040</v>
      </c>
      <c r="K3319" s="154" t="s">
        <v>7045</v>
      </c>
    </row>
    <row r="3320">
      <c r="A3320" s="154" t="s">
        <v>7516</v>
      </c>
      <c r="B3320" s="154" t="s">
        <v>7517</v>
      </c>
      <c r="D3320" s="154">
        <v>2.0</v>
      </c>
      <c r="E3320" s="154" t="s">
        <v>897</v>
      </c>
      <c r="F3320" s="154" t="s">
        <v>3580</v>
      </c>
      <c r="G3320" s="156">
        <v>0.0</v>
      </c>
      <c r="H3320" s="156">
        <v>0.0</v>
      </c>
      <c r="I3320" s="154" t="s">
        <v>3581</v>
      </c>
      <c r="J3320" s="156">
        <v>0.0</v>
      </c>
      <c r="K3320" s="154" t="s">
        <v>776</v>
      </c>
    </row>
    <row r="3321">
      <c r="A3321" s="154" t="s">
        <v>7516</v>
      </c>
      <c r="B3321" s="155"/>
      <c r="C3321" s="154" t="s">
        <v>7518</v>
      </c>
      <c r="D3321" s="155"/>
      <c r="E3321" s="155"/>
      <c r="F3321" s="154" t="s">
        <v>7036</v>
      </c>
      <c r="G3321" s="154" t="s">
        <v>7037</v>
      </c>
      <c r="H3321" s="154" t="s">
        <v>7038</v>
      </c>
      <c r="I3321" s="154" t="s">
        <v>7039</v>
      </c>
      <c r="J3321" s="154" t="s">
        <v>7040</v>
      </c>
      <c r="K3321" s="154" t="s">
        <v>361</v>
      </c>
    </row>
    <row r="3322">
      <c r="A3322" s="154" t="s">
        <v>7519</v>
      </c>
      <c r="B3322" s="154" t="s">
        <v>7520</v>
      </c>
      <c r="D3322" s="154">
        <v>2.0</v>
      </c>
      <c r="E3322" s="154" t="s">
        <v>897</v>
      </c>
      <c r="F3322" s="154" t="s">
        <v>7521</v>
      </c>
      <c r="G3322" s="154">
        <v>971.0</v>
      </c>
      <c r="H3322" s="156">
        <v>0.0</v>
      </c>
      <c r="I3322" s="154" t="s">
        <v>7522</v>
      </c>
      <c r="J3322" s="154" t="s">
        <v>2567</v>
      </c>
      <c r="K3322" s="154" t="s">
        <v>3551</v>
      </c>
    </row>
    <row r="3323">
      <c r="A3323" s="154" t="s">
        <v>7519</v>
      </c>
      <c r="B3323" s="155"/>
      <c r="C3323" s="154" t="s">
        <v>7523</v>
      </c>
      <c r="D3323" s="155"/>
      <c r="E3323" s="155"/>
      <c r="F3323" s="154" t="s">
        <v>7521</v>
      </c>
      <c r="G3323" s="154">
        <v>971.0</v>
      </c>
      <c r="H3323" s="156">
        <v>0.0</v>
      </c>
      <c r="I3323" s="154" t="s">
        <v>7522</v>
      </c>
      <c r="J3323" s="154" t="s">
        <v>2567</v>
      </c>
      <c r="K3323" s="154" t="s">
        <v>3551</v>
      </c>
    </row>
    <row r="3324">
      <c r="A3324" s="154" t="s">
        <v>7524</v>
      </c>
      <c r="B3324" s="154" t="s">
        <v>7525</v>
      </c>
      <c r="D3324" s="154">
        <v>2.0</v>
      </c>
      <c r="E3324" s="154" t="s">
        <v>897</v>
      </c>
      <c r="F3324" s="154" t="s">
        <v>1619</v>
      </c>
      <c r="G3324" s="154">
        <v>4.3903333E7</v>
      </c>
      <c r="H3324" s="154" t="s">
        <v>1620</v>
      </c>
      <c r="I3324" s="156">
        <v>0.0</v>
      </c>
      <c r="J3324" s="156">
        <v>0.0</v>
      </c>
      <c r="K3324" s="156">
        <v>0.0</v>
      </c>
    </row>
    <row r="3325">
      <c r="A3325" s="154" t="s">
        <v>7524</v>
      </c>
      <c r="B3325" s="155"/>
      <c r="C3325" s="154" t="s">
        <v>7526</v>
      </c>
      <c r="D3325" s="155"/>
      <c r="E3325" s="155"/>
      <c r="F3325" s="154" t="s">
        <v>1619</v>
      </c>
      <c r="G3325" s="154">
        <v>4.3903333E7</v>
      </c>
      <c r="H3325" s="154" t="s">
        <v>1620</v>
      </c>
      <c r="I3325" s="156">
        <v>0.0</v>
      </c>
      <c r="J3325" s="156">
        <v>0.0</v>
      </c>
      <c r="K3325" s="156">
        <v>0.0</v>
      </c>
    </row>
    <row r="3326">
      <c r="A3326" s="154" t="s">
        <v>7527</v>
      </c>
      <c r="B3326" s="154" t="s">
        <v>7528</v>
      </c>
      <c r="D3326" s="154">
        <v>2.0</v>
      </c>
      <c r="E3326" s="154" t="s">
        <v>897</v>
      </c>
      <c r="F3326" s="154" t="s">
        <v>7303</v>
      </c>
      <c r="G3326" s="156">
        <v>0.0</v>
      </c>
      <c r="H3326" s="154" t="s">
        <v>7304</v>
      </c>
      <c r="I3326" s="154" t="s">
        <v>7305</v>
      </c>
      <c r="J3326" s="154" t="s">
        <v>7306</v>
      </c>
      <c r="K3326" s="154" t="s">
        <v>197</v>
      </c>
    </row>
    <row r="3327">
      <c r="A3327" s="154" t="s">
        <v>7527</v>
      </c>
      <c r="B3327" s="155"/>
      <c r="C3327" s="154" t="s">
        <v>7529</v>
      </c>
      <c r="D3327" s="155"/>
      <c r="E3327" s="155"/>
      <c r="F3327" s="154" t="s">
        <v>7530</v>
      </c>
      <c r="G3327" s="156">
        <v>0.0</v>
      </c>
      <c r="H3327" s="154" t="s">
        <v>7531</v>
      </c>
      <c r="I3327" s="154" t="s">
        <v>7532</v>
      </c>
      <c r="J3327" s="156">
        <v>0.0</v>
      </c>
      <c r="K3327" s="154" t="s">
        <v>259</v>
      </c>
    </row>
    <row r="3328">
      <c r="A3328" s="154" t="s">
        <v>7533</v>
      </c>
      <c r="B3328" s="155"/>
      <c r="C3328" s="154" t="s">
        <v>7534</v>
      </c>
      <c r="D3328" s="155"/>
      <c r="E3328" s="155"/>
      <c r="F3328" s="154" t="s">
        <v>1206</v>
      </c>
      <c r="G3328" s="154" t="s">
        <v>2233</v>
      </c>
      <c r="H3328" s="156">
        <v>0.0</v>
      </c>
      <c r="I3328" s="156">
        <v>0.0</v>
      </c>
      <c r="J3328" s="156">
        <v>0.0</v>
      </c>
      <c r="K3328" s="156">
        <v>0.0</v>
      </c>
    </row>
    <row r="3329">
      <c r="A3329" s="154" t="s">
        <v>7533</v>
      </c>
      <c r="B3329" s="154" t="s">
        <v>7535</v>
      </c>
      <c r="D3329" s="154">
        <v>2.0</v>
      </c>
      <c r="E3329" s="154" t="s">
        <v>897</v>
      </c>
      <c r="F3329" s="154" t="s">
        <v>1619</v>
      </c>
      <c r="G3329" s="154">
        <v>4.3903333E7</v>
      </c>
      <c r="H3329" s="154" t="s">
        <v>1620</v>
      </c>
      <c r="I3329" s="156">
        <v>0.0</v>
      </c>
      <c r="J3329" s="156">
        <v>0.0</v>
      </c>
      <c r="K3329" s="156">
        <v>0.0</v>
      </c>
    </row>
    <row r="3330">
      <c r="A3330" s="154" t="s">
        <v>7536</v>
      </c>
      <c r="B3330" s="155"/>
      <c r="C3330" s="154" t="s">
        <v>7537</v>
      </c>
      <c r="D3330" s="155"/>
      <c r="E3330" s="155"/>
      <c r="F3330" s="154" t="s">
        <v>7538</v>
      </c>
      <c r="G3330" s="156">
        <v>0.0</v>
      </c>
      <c r="H3330" s="154" t="s">
        <v>1683</v>
      </c>
      <c r="I3330" s="154" t="s">
        <v>7539</v>
      </c>
      <c r="J3330" s="156">
        <v>0.0</v>
      </c>
      <c r="K3330" s="154" t="s">
        <v>259</v>
      </c>
    </row>
    <row r="3331">
      <c r="A3331" s="154" t="s">
        <v>7536</v>
      </c>
      <c r="B3331" s="154" t="s">
        <v>7540</v>
      </c>
      <c r="D3331" s="154">
        <v>2.0</v>
      </c>
      <c r="E3331" s="154" t="s">
        <v>897</v>
      </c>
      <c r="F3331" s="154" t="s">
        <v>1157</v>
      </c>
      <c r="G3331" s="154" t="s">
        <v>1158</v>
      </c>
      <c r="H3331" s="154" t="s">
        <v>1159</v>
      </c>
      <c r="I3331" s="156">
        <v>0.0</v>
      </c>
      <c r="J3331" s="156">
        <v>0.0</v>
      </c>
      <c r="K3331" s="156">
        <v>0.0</v>
      </c>
    </row>
    <row r="3332">
      <c r="A3332" s="154" t="s">
        <v>7541</v>
      </c>
      <c r="B3332" s="154" t="s">
        <v>7542</v>
      </c>
      <c r="D3332" s="154">
        <v>2.0</v>
      </c>
      <c r="E3332" s="154" t="s">
        <v>897</v>
      </c>
      <c r="F3332" s="154" t="s">
        <v>7543</v>
      </c>
      <c r="G3332" s="154" t="s">
        <v>7544</v>
      </c>
      <c r="H3332" s="154">
        <v>1.0</v>
      </c>
      <c r="I3332" s="154">
        <v>9.71506451887E11</v>
      </c>
      <c r="J3332" s="156">
        <v>0.0</v>
      </c>
      <c r="K3332" s="154" t="s">
        <v>207</v>
      </c>
    </row>
    <row r="3333">
      <c r="A3333" s="154" t="s">
        <v>7541</v>
      </c>
      <c r="B3333" s="155"/>
      <c r="C3333" s="154" t="s">
        <v>7545</v>
      </c>
      <c r="D3333" s="155"/>
      <c r="E3333" s="155"/>
      <c r="F3333" s="154" t="s">
        <v>1619</v>
      </c>
      <c r="G3333" s="154">
        <v>4.3903333E7</v>
      </c>
      <c r="H3333" s="154" t="s">
        <v>1620</v>
      </c>
      <c r="I3333" s="156">
        <v>0.0</v>
      </c>
      <c r="J3333" s="156">
        <v>0.0</v>
      </c>
      <c r="K3333" s="156">
        <v>0.0</v>
      </c>
    </row>
    <row r="3334">
      <c r="A3334" s="154" t="s">
        <v>7546</v>
      </c>
      <c r="B3334" s="155"/>
      <c r="C3334" s="154" t="s">
        <v>7547</v>
      </c>
      <c r="D3334" s="155"/>
      <c r="E3334" s="155"/>
      <c r="F3334" s="154" t="s">
        <v>7548</v>
      </c>
      <c r="G3334" s="156">
        <v>0.0</v>
      </c>
      <c r="H3334" s="156">
        <v>0.0</v>
      </c>
      <c r="I3334" s="154" t="s">
        <v>7549</v>
      </c>
      <c r="J3334" s="156">
        <v>0.0</v>
      </c>
      <c r="K3334" s="154" t="s">
        <v>301</v>
      </c>
    </row>
    <row r="3335">
      <c r="A3335" s="154" t="s">
        <v>7546</v>
      </c>
      <c r="B3335" s="154" t="s">
        <v>7550</v>
      </c>
      <c r="D3335" s="154">
        <v>2.0</v>
      </c>
      <c r="E3335" s="154" t="s">
        <v>897</v>
      </c>
      <c r="F3335" s="154" t="s">
        <v>7548</v>
      </c>
      <c r="G3335" s="156">
        <v>0.0</v>
      </c>
      <c r="H3335" s="156">
        <v>0.0</v>
      </c>
      <c r="I3335" s="154" t="s">
        <v>7549</v>
      </c>
      <c r="J3335" s="156">
        <v>0.0</v>
      </c>
      <c r="K3335" s="154" t="s">
        <v>301</v>
      </c>
    </row>
    <row r="3336">
      <c r="A3336" s="154" t="s">
        <v>7551</v>
      </c>
      <c r="B3336" s="155"/>
      <c r="C3336" s="154" t="s">
        <v>7552</v>
      </c>
      <c r="D3336" s="155"/>
      <c r="E3336" s="155"/>
      <c r="F3336" s="154" t="s">
        <v>7553</v>
      </c>
      <c r="G3336" s="154" t="s">
        <v>7554</v>
      </c>
      <c r="H3336" s="156">
        <v>0.0</v>
      </c>
      <c r="I3336" s="154" t="s">
        <v>7555</v>
      </c>
      <c r="J3336" s="154" t="s">
        <v>7554</v>
      </c>
      <c r="K3336" s="154" t="s">
        <v>301</v>
      </c>
    </row>
    <row r="3337">
      <c r="A3337" s="154" t="s">
        <v>7551</v>
      </c>
      <c r="B3337" s="154" t="s">
        <v>7556</v>
      </c>
      <c r="D3337" s="154">
        <v>2.0</v>
      </c>
      <c r="E3337" s="154" t="s">
        <v>897</v>
      </c>
      <c r="F3337" s="154" t="s">
        <v>1619</v>
      </c>
      <c r="G3337" s="154">
        <v>4.3903333E7</v>
      </c>
      <c r="H3337" s="154" t="s">
        <v>1620</v>
      </c>
      <c r="I3337" s="156">
        <v>0.0</v>
      </c>
      <c r="J3337" s="156">
        <v>0.0</v>
      </c>
      <c r="K3337" s="156">
        <v>0.0</v>
      </c>
    </row>
    <row r="3338">
      <c r="A3338" s="154" t="s">
        <v>7557</v>
      </c>
      <c r="B3338" s="154" t="s">
        <v>7558</v>
      </c>
      <c r="D3338" s="154">
        <v>2.0</v>
      </c>
      <c r="E3338" s="154" t="s">
        <v>897</v>
      </c>
      <c r="F3338" s="154" t="s">
        <v>7559</v>
      </c>
      <c r="G3338" s="156">
        <v>0.0</v>
      </c>
      <c r="H3338" s="156">
        <v>0.0</v>
      </c>
      <c r="I3338" s="154">
        <v>9.71506580567E11</v>
      </c>
      <c r="J3338" s="156">
        <v>0.0</v>
      </c>
      <c r="K3338" s="154" t="s">
        <v>361</v>
      </c>
    </row>
    <row r="3339">
      <c r="A3339" s="154" t="s">
        <v>7557</v>
      </c>
      <c r="B3339" s="155"/>
      <c r="C3339" s="154" t="s">
        <v>7560</v>
      </c>
      <c r="D3339" s="155"/>
      <c r="E3339" s="155"/>
      <c r="F3339" s="154" t="s">
        <v>7559</v>
      </c>
      <c r="G3339" s="156">
        <v>0.0</v>
      </c>
      <c r="H3339" s="156">
        <v>0.0</v>
      </c>
      <c r="I3339" s="154">
        <v>9.71506580567E11</v>
      </c>
      <c r="J3339" s="156">
        <v>0.0</v>
      </c>
      <c r="K3339" s="154" t="s">
        <v>361</v>
      </c>
    </row>
    <row r="3340">
      <c r="A3340" s="154" t="s">
        <v>7561</v>
      </c>
      <c r="B3340" s="155"/>
      <c r="C3340" s="154" t="s">
        <v>7562</v>
      </c>
      <c r="D3340" s="155"/>
      <c r="E3340" s="155"/>
      <c r="F3340" s="154" t="s">
        <v>849</v>
      </c>
      <c r="G3340" s="154" t="s">
        <v>850</v>
      </c>
      <c r="H3340" s="154" t="s">
        <v>851</v>
      </c>
      <c r="I3340" s="156">
        <v>0.0</v>
      </c>
      <c r="J3340" s="156">
        <v>0.0</v>
      </c>
      <c r="K3340" s="156">
        <v>0.0</v>
      </c>
    </row>
    <row r="3341">
      <c r="A3341" s="154" t="s">
        <v>7561</v>
      </c>
      <c r="B3341" s="154" t="s">
        <v>7563</v>
      </c>
      <c r="D3341" s="154">
        <v>2.0</v>
      </c>
      <c r="E3341" s="154" t="s">
        <v>897</v>
      </c>
      <c r="F3341" s="154" t="s">
        <v>7564</v>
      </c>
      <c r="G3341" s="156">
        <v>0.0</v>
      </c>
      <c r="H3341" s="154" t="s">
        <v>7565</v>
      </c>
      <c r="I3341" s="154" t="s">
        <v>7566</v>
      </c>
      <c r="J3341" s="154" t="s">
        <v>7567</v>
      </c>
      <c r="K3341" s="154" t="s">
        <v>361</v>
      </c>
    </row>
    <row r="3342">
      <c r="A3342" s="154" t="s">
        <v>7568</v>
      </c>
      <c r="B3342" s="155"/>
      <c r="C3342" s="154" t="s">
        <v>7569</v>
      </c>
      <c r="D3342" s="155"/>
      <c r="E3342" s="155"/>
      <c r="F3342" s="154" t="s">
        <v>7570</v>
      </c>
      <c r="G3342" s="156">
        <v>0.0</v>
      </c>
      <c r="H3342" s="156">
        <v>0.0</v>
      </c>
      <c r="I3342" s="154" t="s">
        <v>3356</v>
      </c>
      <c r="J3342" s="154" t="s">
        <v>7571</v>
      </c>
      <c r="K3342" s="154" t="s">
        <v>939</v>
      </c>
    </row>
    <row r="3343">
      <c r="A3343" s="154" t="s">
        <v>7568</v>
      </c>
      <c r="B3343" s="154" t="s">
        <v>7572</v>
      </c>
      <c r="D3343" s="154">
        <v>2.0</v>
      </c>
      <c r="E3343" s="154" t="s">
        <v>897</v>
      </c>
      <c r="F3343" s="154" t="s">
        <v>7570</v>
      </c>
      <c r="G3343" s="156">
        <v>0.0</v>
      </c>
      <c r="H3343" s="156">
        <v>0.0</v>
      </c>
      <c r="I3343" s="154" t="s">
        <v>3356</v>
      </c>
      <c r="J3343" s="154" t="s">
        <v>7571</v>
      </c>
      <c r="K3343" s="154" t="s">
        <v>939</v>
      </c>
    </row>
    <row r="3344">
      <c r="A3344" s="154" t="s">
        <v>7573</v>
      </c>
      <c r="B3344" s="155"/>
      <c r="C3344" s="154" t="s">
        <v>7574</v>
      </c>
      <c r="D3344" s="155"/>
      <c r="E3344" s="155"/>
      <c r="F3344" s="154" t="s">
        <v>1619</v>
      </c>
      <c r="G3344" s="154">
        <v>4.3903333E7</v>
      </c>
      <c r="H3344" s="154" t="s">
        <v>1620</v>
      </c>
      <c r="I3344" s="156">
        <v>0.0</v>
      </c>
      <c r="J3344" s="156">
        <v>0.0</v>
      </c>
      <c r="K3344" s="156">
        <v>0.0</v>
      </c>
    </row>
    <row r="3345">
      <c r="A3345" s="154" t="s">
        <v>7573</v>
      </c>
      <c r="B3345" s="154" t="s">
        <v>7575</v>
      </c>
      <c r="D3345" s="154">
        <v>2.0</v>
      </c>
      <c r="E3345" s="154" t="s">
        <v>897</v>
      </c>
      <c r="F3345" s="154" t="s">
        <v>7576</v>
      </c>
      <c r="G3345" s="154" t="s">
        <v>7577</v>
      </c>
      <c r="H3345" s="156">
        <v>0.0</v>
      </c>
      <c r="I3345" s="154" t="s">
        <v>7578</v>
      </c>
      <c r="J3345" s="154" t="s">
        <v>7577</v>
      </c>
      <c r="K3345" s="154" t="s">
        <v>361</v>
      </c>
    </row>
    <row r="3346">
      <c r="A3346" s="154" t="s">
        <v>7579</v>
      </c>
      <c r="B3346" s="154" t="s">
        <v>7580</v>
      </c>
      <c r="D3346" s="154">
        <v>2.0</v>
      </c>
      <c r="E3346" s="154" t="s">
        <v>897</v>
      </c>
      <c r="F3346" s="154" t="s">
        <v>1157</v>
      </c>
      <c r="G3346" s="154" t="s">
        <v>1158</v>
      </c>
      <c r="H3346" s="154" t="s">
        <v>1159</v>
      </c>
      <c r="I3346" s="156">
        <v>0.0</v>
      </c>
      <c r="J3346" s="156">
        <v>0.0</v>
      </c>
      <c r="K3346" s="156">
        <v>0.0</v>
      </c>
    </row>
    <row r="3347">
      <c r="A3347" s="154" t="s">
        <v>7579</v>
      </c>
      <c r="B3347" s="155"/>
      <c r="C3347" s="154" t="s">
        <v>7581</v>
      </c>
      <c r="D3347" s="155"/>
      <c r="E3347" s="155"/>
      <c r="F3347" s="154" t="s">
        <v>1157</v>
      </c>
      <c r="G3347" s="154" t="s">
        <v>1158</v>
      </c>
      <c r="H3347" s="154" t="s">
        <v>1159</v>
      </c>
      <c r="I3347" s="156">
        <v>0.0</v>
      </c>
      <c r="J3347" s="156">
        <v>0.0</v>
      </c>
      <c r="K3347" s="156">
        <v>0.0</v>
      </c>
    </row>
    <row r="3348">
      <c r="A3348" s="154" t="s">
        <v>7582</v>
      </c>
      <c r="B3348" s="155"/>
      <c r="C3348" s="154" t="s">
        <v>7583</v>
      </c>
      <c r="D3348" s="155"/>
      <c r="E3348" s="155"/>
      <c r="F3348" s="154" t="s">
        <v>7584</v>
      </c>
      <c r="G3348" s="156">
        <v>0.0</v>
      </c>
      <c r="H3348" s="156">
        <v>0.0</v>
      </c>
      <c r="I3348" s="154" t="s">
        <v>7585</v>
      </c>
      <c r="J3348" s="154" t="s">
        <v>7586</v>
      </c>
      <c r="K3348" s="154" t="s">
        <v>361</v>
      </c>
    </row>
    <row r="3349">
      <c r="A3349" s="154" t="s">
        <v>7582</v>
      </c>
      <c r="B3349" s="154" t="s">
        <v>7587</v>
      </c>
      <c r="D3349" s="154">
        <v>2.0</v>
      </c>
      <c r="E3349" s="154" t="s">
        <v>897</v>
      </c>
      <c r="F3349" s="154" t="s">
        <v>7584</v>
      </c>
      <c r="G3349" s="156">
        <v>0.0</v>
      </c>
      <c r="H3349" s="156">
        <v>0.0</v>
      </c>
      <c r="I3349" s="154" t="s">
        <v>7585</v>
      </c>
      <c r="J3349" s="154" t="s">
        <v>7586</v>
      </c>
      <c r="K3349" s="154" t="s">
        <v>361</v>
      </c>
    </row>
    <row r="3350">
      <c r="A3350" s="154" t="s">
        <v>7588</v>
      </c>
      <c r="B3350" s="155"/>
      <c r="C3350" s="154" t="s">
        <v>7589</v>
      </c>
      <c r="D3350" s="155"/>
      <c r="E3350" s="155"/>
      <c r="F3350" s="154" t="s">
        <v>7590</v>
      </c>
      <c r="G3350" s="156">
        <v>0.0</v>
      </c>
      <c r="H3350" s="156">
        <v>0.0</v>
      </c>
      <c r="I3350" s="154" t="s">
        <v>853</v>
      </c>
      <c r="J3350" s="156">
        <v>0.0</v>
      </c>
      <c r="K3350" s="154" t="s">
        <v>361</v>
      </c>
    </row>
    <row r="3351">
      <c r="A3351" s="154" t="s">
        <v>7588</v>
      </c>
      <c r="B3351" s="154" t="s">
        <v>7591</v>
      </c>
      <c r="D3351" s="154">
        <v>2.0</v>
      </c>
      <c r="E3351" s="154" t="s">
        <v>897</v>
      </c>
      <c r="F3351" s="154" t="s">
        <v>3015</v>
      </c>
      <c r="G3351" s="154" t="s">
        <v>3016</v>
      </c>
      <c r="H3351" s="154" t="s">
        <v>3017</v>
      </c>
      <c r="I3351" s="154" t="s">
        <v>3018</v>
      </c>
      <c r="J3351" s="154" t="s">
        <v>3016</v>
      </c>
      <c r="K3351" s="154" t="s">
        <v>3019</v>
      </c>
    </row>
    <row r="3352">
      <c r="A3352" s="154" t="s">
        <v>7592</v>
      </c>
      <c r="B3352" s="155"/>
      <c r="C3352" s="154" t="s">
        <v>7593</v>
      </c>
      <c r="D3352" s="155"/>
      <c r="E3352" s="155"/>
      <c r="F3352" s="154" t="s">
        <v>7594</v>
      </c>
      <c r="G3352" s="156">
        <v>0.0</v>
      </c>
      <c r="H3352" s="156">
        <v>0.0</v>
      </c>
      <c r="I3352" s="154" t="s">
        <v>7595</v>
      </c>
      <c r="J3352" s="156">
        <v>0.0</v>
      </c>
      <c r="K3352" s="154" t="s">
        <v>361</v>
      </c>
    </row>
    <row r="3353">
      <c r="A3353" s="154" t="s">
        <v>7592</v>
      </c>
      <c r="B3353" s="154" t="s">
        <v>7596</v>
      </c>
      <c r="D3353" s="154">
        <v>2.0</v>
      </c>
      <c r="E3353" s="154" t="s">
        <v>897</v>
      </c>
      <c r="F3353" s="154" t="s">
        <v>7594</v>
      </c>
      <c r="G3353" s="156">
        <v>0.0</v>
      </c>
      <c r="H3353" s="156">
        <v>0.0</v>
      </c>
      <c r="I3353" s="154" t="s">
        <v>7595</v>
      </c>
      <c r="J3353" s="156">
        <v>0.0</v>
      </c>
      <c r="K3353" s="154" t="s">
        <v>361</v>
      </c>
    </row>
    <row r="3354">
      <c r="A3354" s="154" t="s">
        <v>7597</v>
      </c>
      <c r="B3354" s="154" t="s">
        <v>7598</v>
      </c>
      <c r="D3354" s="154">
        <v>2.0</v>
      </c>
      <c r="E3354" s="154" t="s">
        <v>897</v>
      </c>
      <c r="F3354" s="154" t="s">
        <v>7599</v>
      </c>
      <c r="G3354" s="154" t="s">
        <v>7600</v>
      </c>
      <c r="H3354" s="154" t="s">
        <v>7601</v>
      </c>
      <c r="I3354" s="154" t="s">
        <v>7602</v>
      </c>
      <c r="J3354" s="156">
        <v>0.0</v>
      </c>
      <c r="K3354" s="154" t="s">
        <v>760</v>
      </c>
    </row>
    <row r="3355">
      <c r="A3355" s="154" t="s">
        <v>7597</v>
      </c>
      <c r="B3355" s="155"/>
      <c r="C3355" s="154" t="s">
        <v>7603</v>
      </c>
      <c r="D3355" s="155"/>
      <c r="E3355" s="155"/>
      <c r="F3355" s="154" t="s">
        <v>7599</v>
      </c>
      <c r="G3355" s="154" t="s">
        <v>7600</v>
      </c>
      <c r="H3355" s="154" t="s">
        <v>7601</v>
      </c>
      <c r="I3355" s="154" t="s">
        <v>7602</v>
      </c>
      <c r="J3355" s="156">
        <v>0.0</v>
      </c>
      <c r="K3355" s="154" t="s">
        <v>760</v>
      </c>
    </row>
    <row r="3356">
      <c r="A3356" s="154" t="s">
        <v>7604</v>
      </c>
      <c r="B3356" s="155"/>
      <c r="C3356" s="154" t="s">
        <v>7605</v>
      </c>
      <c r="D3356" s="155"/>
      <c r="E3356" s="155"/>
      <c r="F3356" s="154" t="s">
        <v>7606</v>
      </c>
      <c r="G3356" s="154">
        <v>3903899.0</v>
      </c>
      <c r="H3356" s="156">
        <v>0.0</v>
      </c>
      <c r="I3356" s="154" t="s">
        <v>7607</v>
      </c>
      <c r="J3356" s="154" t="s">
        <v>7608</v>
      </c>
      <c r="K3356" s="154" t="s">
        <v>361</v>
      </c>
    </row>
    <row r="3357">
      <c r="A3357" s="154" t="s">
        <v>7604</v>
      </c>
      <c r="B3357" s="154" t="s">
        <v>7609</v>
      </c>
      <c r="D3357" s="154">
        <v>2.0</v>
      </c>
      <c r="E3357" s="154" t="s">
        <v>897</v>
      </c>
      <c r="F3357" s="154" t="s">
        <v>7606</v>
      </c>
      <c r="G3357" s="154">
        <v>3903899.0</v>
      </c>
      <c r="H3357" s="156">
        <v>0.0</v>
      </c>
      <c r="I3357" s="154" t="s">
        <v>7607</v>
      </c>
      <c r="J3357" s="154" t="s">
        <v>7608</v>
      </c>
      <c r="K3357" s="154" t="s">
        <v>361</v>
      </c>
    </row>
    <row r="3358">
      <c r="A3358" s="154" t="s">
        <v>7610</v>
      </c>
      <c r="B3358" s="154" t="s">
        <v>7611</v>
      </c>
      <c r="D3358" s="154">
        <v>2.0</v>
      </c>
      <c r="E3358" s="154" t="s">
        <v>897</v>
      </c>
      <c r="F3358" s="154" t="s">
        <v>7612</v>
      </c>
      <c r="G3358" s="156">
        <v>0.0</v>
      </c>
      <c r="H3358" s="154" t="s">
        <v>7613</v>
      </c>
      <c r="I3358" s="154" t="s">
        <v>7614</v>
      </c>
      <c r="J3358" s="154" t="s">
        <v>7615</v>
      </c>
      <c r="K3358" s="154" t="s">
        <v>1059</v>
      </c>
    </row>
    <row r="3359">
      <c r="A3359" s="154" t="s">
        <v>7610</v>
      </c>
      <c r="B3359" s="155"/>
      <c r="C3359" s="154" t="s">
        <v>7616</v>
      </c>
      <c r="D3359" s="155"/>
      <c r="E3359" s="155"/>
      <c r="F3359" s="154" t="s">
        <v>7612</v>
      </c>
      <c r="G3359" s="156">
        <v>0.0</v>
      </c>
      <c r="H3359" s="154" t="s">
        <v>7613</v>
      </c>
      <c r="I3359" s="154" t="s">
        <v>7614</v>
      </c>
      <c r="J3359" s="154" t="s">
        <v>7615</v>
      </c>
      <c r="K3359" s="154" t="s">
        <v>1059</v>
      </c>
    </row>
    <row r="3360">
      <c r="A3360" s="154" t="s">
        <v>7617</v>
      </c>
      <c r="B3360" s="154" t="s">
        <v>7618</v>
      </c>
      <c r="D3360" s="154">
        <v>2.0</v>
      </c>
      <c r="E3360" s="154" t="s">
        <v>897</v>
      </c>
      <c r="F3360" s="154" t="s">
        <v>7619</v>
      </c>
      <c r="G3360" s="156">
        <v>0.0</v>
      </c>
      <c r="H3360" s="156">
        <v>0.0</v>
      </c>
      <c r="I3360" s="154">
        <v>4.2269152E7</v>
      </c>
      <c r="J3360" s="156">
        <v>0.0</v>
      </c>
      <c r="K3360" s="154" t="s">
        <v>329</v>
      </c>
    </row>
    <row r="3361">
      <c r="A3361" s="154" t="s">
        <v>7617</v>
      </c>
      <c r="B3361" s="155"/>
      <c r="C3361" s="154" t="s">
        <v>7620</v>
      </c>
      <c r="D3361" s="155"/>
      <c r="E3361" s="155"/>
      <c r="F3361" s="154" t="s">
        <v>7619</v>
      </c>
      <c r="G3361" s="156">
        <v>0.0</v>
      </c>
      <c r="H3361" s="156">
        <v>0.0</v>
      </c>
      <c r="I3361" s="154">
        <v>4.2269152E7</v>
      </c>
      <c r="J3361" s="156">
        <v>0.0</v>
      </c>
      <c r="K3361" s="154" t="s">
        <v>329</v>
      </c>
    </row>
    <row r="3362">
      <c r="A3362" s="154" t="s">
        <v>7621</v>
      </c>
      <c r="B3362" s="155"/>
      <c r="C3362" s="154" t="s">
        <v>7622</v>
      </c>
      <c r="D3362" s="155"/>
      <c r="E3362" s="155"/>
      <c r="F3362" s="154" t="s">
        <v>2430</v>
      </c>
      <c r="G3362" s="156">
        <v>0.0</v>
      </c>
      <c r="H3362" s="154" t="s">
        <v>2431</v>
      </c>
      <c r="I3362" s="154" t="s">
        <v>2432</v>
      </c>
      <c r="J3362" s="154" t="s">
        <v>809</v>
      </c>
      <c r="K3362" s="154" t="s">
        <v>1731</v>
      </c>
    </row>
    <row r="3363">
      <c r="A3363" s="154" t="s">
        <v>7621</v>
      </c>
      <c r="B3363" s="154" t="s">
        <v>7623</v>
      </c>
      <c r="D3363" s="154">
        <v>2.0</v>
      </c>
      <c r="E3363" s="154" t="s">
        <v>897</v>
      </c>
      <c r="F3363" s="154" t="s">
        <v>2430</v>
      </c>
      <c r="G3363" s="156">
        <v>0.0</v>
      </c>
      <c r="H3363" s="154" t="s">
        <v>2431</v>
      </c>
      <c r="I3363" s="154" t="s">
        <v>2432</v>
      </c>
      <c r="J3363" s="154" t="s">
        <v>809</v>
      </c>
      <c r="K3363" s="154" t="s">
        <v>1731</v>
      </c>
    </row>
    <row r="3364">
      <c r="A3364" s="154" t="s">
        <v>7624</v>
      </c>
      <c r="B3364" s="155"/>
      <c r="C3364" s="154" t="s">
        <v>7625</v>
      </c>
      <c r="D3364" s="155"/>
      <c r="E3364" s="155"/>
      <c r="F3364" s="154" t="s">
        <v>7626</v>
      </c>
      <c r="G3364" s="156">
        <v>0.0</v>
      </c>
      <c r="H3364" s="156">
        <v>0.0</v>
      </c>
      <c r="I3364" s="154" t="s">
        <v>7627</v>
      </c>
      <c r="J3364" s="154" t="s">
        <v>7628</v>
      </c>
      <c r="K3364" s="154" t="s">
        <v>361</v>
      </c>
    </row>
    <row r="3365">
      <c r="A3365" s="154" t="s">
        <v>7624</v>
      </c>
      <c r="B3365" s="154" t="s">
        <v>7629</v>
      </c>
      <c r="D3365" s="154">
        <v>2.0</v>
      </c>
      <c r="E3365" s="154" t="s">
        <v>897</v>
      </c>
      <c r="F3365" s="154" t="s">
        <v>1619</v>
      </c>
      <c r="G3365" s="154">
        <v>4.3903333E7</v>
      </c>
      <c r="H3365" s="154" t="s">
        <v>1620</v>
      </c>
      <c r="I3365" s="156">
        <v>0.0</v>
      </c>
      <c r="J3365" s="156">
        <v>0.0</v>
      </c>
      <c r="K3365" s="156">
        <v>0.0</v>
      </c>
    </row>
    <row r="3366">
      <c r="A3366" s="154" t="s">
        <v>7630</v>
      </c>
      <c r="B3366" s="154" t="s">
        <v>7631</v>
      </c>
      <c r="D3366" s="154">
        <v>2.0</v>
      </c>
      <c r="E3366" s="154" t="s">
        <v>897</v>
      </c>
      <c r="F3366" s="154" t="s">
        <v>1619</v>
      </c>
      <c r="G3366" s="154">
        <v>4.3903333E7</v>
      </c>
      <c r="H3366" s="154" t="s">
        <v>1620</v>
      </c>
      <c r="I3366" s="156">
        <v>0.0</v>
      </c>
      <c r="J3366" s="156">
        <v>0.0</v>
      </c>
      <c r="K3366" s="156">
        <v>0.0</v>
      </c>
    </row>
    <row r="3367">
      <c r="A3367" s="154" t="s">
        <v>7630</v>
      </c>
      <c r="B3367" s="155"/>
      <c r="C3367" s="154" t="s">
        <v>7632</v>
      </c>
      <c r="D3367" s="155"/>
      <c r="E3367" s="155"/>
      <c r="F3367" s="154" t="s">
        <v>7633</v>
      </c>
      <c r="G3367" s="154">
        <v>5.6739285E8</v>
      </c>
      <c r="H3367" s="156">
        <v>0.0</v>
      </c>
      <c r="I3367" s="154">
        <v>5.6739285E8</v>
      </c>
      <c r="J3367" s="156">
        <v>0.0</v>
      </c>
      <c r="K3367" s="154" t="s">
        <v>6852</v>
      </c>
    </row>
    <row r="3368">
      <c r="A3368" s="154" t="s">
        <v>7634</v>
      </c>
      <c r="B3368" s="154" t="s">
        <v>7635</v>
      </c>
      <c r="D3368" s="154">
        <v>2.0</v>
      </c>
      <c r="E3368" s="154" t="s">
        <v>897</v>
      </c>
      <c r="F3368" s="154" t="s">
        <v>792</v>
      </c>
      <c r="G3368" s="154" t="s">
        <v>793</v>
      </c>
      <c r="H3368" s="154" t="s">
        <v>794</v>
      </c>
      <c r="I3368" s="156">
        <v>0.0</v>
      </c>
      <c r="J3368" s="156">
        <v>0.0</v>
      </c>
      <c r="K3368" s="156">
        <v>0.0</v>
      </c>
    </row>
    <row r="3369">
      <c r="A3369" s="154" t="s">
        <v>7634</v>
      </c>
      <c r="B3369" s="155"/>
      <c r="C3369" s="154" t="s">
        <v>7636</v>
      </c>
      <c r="D3369" s="155"/>
      <c r="E3369" s="155"/>
      <c r="F3369" s="154" t="s">
        <v>1619</v>
      </c>
      <c r="G3369" s="154">
        <v>4.3903333E7</v>
      </c>
      <c r="H3369" s="154" t="s">
        <v>1620</v>
      </c>
      <c r="I3369" s="156">
        <v>0.0</v>
      </c>
      <c r="J3369" s="156">
        <v>0.0</v>
      </c>
      <c r="K3369" s="156">
        <v>0.0</v>
      </c>
    </row>
    <row r="3370">
      <c r="A3370" s="154" t="s">
        <v>7637</v>
      </c>
      <c r="B3370" s="155"/>
      <c r="C3370" s="154" t="s">
        <v>7638</v>
      </c>
      <c r="D3370" s="155"/>
      <c r="E3370" s="155"/>
      <c r="F3370" s="154" t="s">
        <v>1619</v>
      </c>
      <c r="G3370" s="154">
        <v>4.3903333E7</v>
      </c>
      <c r="H3370" s="154" t="s">
        <v>1620</v>
      </c>
      <c r="I3370" s="156">
        <v>0.0</v>
      </c>
      <c r="J3370" s="156">
        <v>0.0</v>
      </c>
      <c r="K3370" s="156">
        <v>0.0</v>
      </c>
    </row>
    <row r="3371">
      <c r="A3371" s="154" t="s">
        <v>7637</v>
      </c>
      <c r="B3371" s="154" t="s">
        <v>7639</v>
      </c>
      <c r="D3371" s="154">
        <v>2.0</v>
      </c>
      <c r="E3371" s="154" t="s">
        <v>897</v>
      </c>
      <c r="F3371" s="154" t="s">
        <v>7640</v>
      </c>
      <c r="G3371" s="156">
        <v>0.0</v>
      </c>
      <c r="H3371" s="156">
        <v>0.0</v>
      </c>
      <c r="I3371" s="154" t="s">
        <v>7641</v>
      </c>
      <c r="J3371" s="156">
        <v>0.0</v>
      </c>
      <c r="K3371" s="154" t="s">
        <v>914</v>
      </c>
    </row>
    <row r="3372">
      <c r="A3372" s="154" t="s">
        <v>7642</v>
      </c>
      <c r="B3372" s="154" t="s">
        <v>7643</v>
      </c>
      <c r="D3372" s="154">
        <v>2.0</v>
      </c>
      <c r="E3372" s="154" t="s">
        <v>897</v>
      </c>
      <c r="F3372" s="154" t="s">
        <v>7644</v>
      </c>
      <c r="G3372" s="154" t="s">
        <v>7645</v>
      </c>
      <c r="H3372" s="156">
        <v>0.0</v>
      </c>
      <c r="I3372" s="154" t="s">
        <v>7646</v>
      </c>
      <c r="J3372" s="154" t="s">
        <v>7647</v>
      </c>
      <c r="K3372" s="154" t="s">
        <v>1874</v>
      </c>
    </row>
    <row r="3373">
      <c r="A3373" s="154" t="s">
        <v>7642</v>
      </c>
      <c r="B3373" s="155"/>
      <c r="C3373" s="154" t="s">
        <v>7648</v>
      </c>
      <c r="D3373" s="155"/>
      <c r="E3373" s="155"/>
      <c r="F3373" s="154" t="s">
        <v>7649</v>
      </c>
      <c r="G3373" s="154" t="s">
        <v>7645</v>
      </c>
      <c r="H3373" s="156">
        <v>0.0</v>
      </c>
      <c r="I3373" s="154" t="s">
        <v>7646</v>
      </c>
      <c r="J3373" s="154" t="s">
        <v>7647</v>
      </c>
      <c r="K3373" s="154" t="s">
        <v>1874</v>
      </c>
    </row>
    <row r="3374">
      <c r="A3374" s="154" t="s">
        <v>7650</v>
      </c>
      <c r="B3374" s="154" t="s">
        <v>7651</v>
      </c>
      <c r="D3374" s="154">
        <v>2.0</v>
      </c>
      <c r="E3374" s="154" t="s">
        <v>897</v>
      </c>
      <c r="F3374" s="154" t="s">
        <v>6551</v>
      </c>
      <c r="G3374" s="154">
        <v>4.3449214E7</v>
      </c>
      <c r="H3374" s="156">
        <v>0.0</v>
      </c>
      <c r="I3374" s="154" t="s">
        <v>6552</v>
      </c>
      <c r="J3374" s="156">
        <v>0.0</v>
      </c>
      <c r="K3374" s="154" t="s">
        <v>776</v>
      </c>
    </row>
    <row r="3375">
      <c r="A3375" s="154" t="s">
        <v>7650</v>
      </c>
      <c r="B3375" s="155"/>
      <c r="C3375" s="154" t="s">
        <v>7652</v>
      </c>
      <c r="D3375" s="155"/>
      <c r="E3375" s="155"/>
      <c r="F3375" s="154" t="s">
        <v>6551</v>
      </c>
      <c r="G3375" s="154">
        <v>4.3449214E7</v>
      </c>
      <c r="H3375" s="156">
        <v>0.0</v>
      </c>
      <c r="I3375" s="154" t="s">
        <v>6552</v>
      </c>
      <c r="J3375" s="156">
        <v>0.0</v>
      </c>
      <c r="K3375" s="154" t="s">
        <v>776</v>
      </c>
    </row>
    <row r="3376">
      <c r="A3376" s="154" t="s">
        <v>7653</v>
      </c>
      <c r="B3376" s="154" t="s">
        <v>7654</v>
      </c>
      <c r="D3376" s="154">
        <v>2.0</v>
      </c>
      <c r="E3376" s="154" t="s">
        <v>897</v>
      </c>
      <c r="F3376" s="154" t="s">
        <v>6551</v>
      </c>
      <c r="G3376" s="154">
        <v>4.3449214E7</v>
      </c>
      <c r="H3376" s="156">
        <v>0.0</v>
      </c>
      <c r="I3376" s="154" t="s">
        <v>6552</v>
      </c>
      <c r="J3376" s="156">
        <v>0.0</v>
      </c>
      <c r="K3376" s="154" t="s">
        <v>776</v>
      </c>
    </row>
    <row r="3377">
      <c r="A3377" s="154" t="s">
        <v>7653</v>
      </c>
      <c r="B3377" s="155"/>
      <c r="C3377" s="154" t="s">
        <v>7655</v>
      </c>
      <c r="D3377" s="155"/>
      <c r="E3377" s="155"/>
      <c r="F3377" s="154" t="s">
        <v>6551</v>
      </c>
      <c r="G3377" s="154">
        <v>4.3449214E7</v>
      </c>
      <c r="H3377" s="156">
        <v>0.0</v>
      </c>
      <c r="I3377" s="154" t="s">
        <v>6552</v>
      </c>
      <c r="J3377" s="156">
        <v>0.0</v>
      </c>
      <c r="K3377" s="154" t="s">
        <v>776</v>
      </c>
    </row>
    <row r="3378">
      <c r="A3378" s="154" t="s">
        <v>7656</v>
      </c>
      <c r="B3378" s="155"/>
      <c r="C3378" s="154" t="s">
        <v>7657</v>
      </c>
      <c r="D3378" s="155"/>
      <c r="E3378" s="155"/>
      <c r="F3378" s="154" t="s">
        <v>1619</v>
      </c>
      <c r="G3378" s="154">
        <v>4.3903333E7</v>
      </c>
      <c r="H3378" s="154" t="s">
        <v>1620</v>
      </c>
      <c r="I3378" s="156">
        <v>0.0</v>
      </c>
      <c r="J3378" s="156">
        <v>0.0</v>
      </c>
      <c r="K3378" s="156">
        <v>0.0</v>
      </c>
    </row>
    <row r="3379">
      <c r="A3379" s="154" t="s">
        <v>7656</v>
      </c>
      <c r="B3379" s="154" t="s">
        <v>7658</v>
      </c>
      <c r="D3379" s="154">
        <v>2.0</v>
      </c>
      <c r="E3379" s="154" t="s">
        <v>897</v>
      </c>
      <c r="F3379" s="154" t="s">
        <v>1619</v>
      </c>
      <c r="G3379" s="154">
        <v>4.3903333E7</v>
      </c>
      <c r="H3379" s="154" t="s">
        <v>1620</v>
      </c>
      <c r="I3379" s="156">
        <v>0.0</v>
      </c>
      <c r="J3379" s="156">
        <v>0.0</v>
      </c>
      <c r="K3379" s="156">
        <v>0.0</v>
      </c>
    </row>
    <row r="3380">
      <c r="A3380" s="154" t="s">
        <v>7659</v>
      </c>
      <c r="B3380" s="155"/>
      <c r="C3380" s="154" t="s">
        <v>7660</v>
      </c>
      <c r="D3380" s="155"/>
      <c r="E3380" s="155"/>
      <c r="F3380" s="154" t="s">
        <v>7484</v>
      </c>
      <c r="G3380" s="156">
        <v>0.0</v>
      </c>
      <c r="H3380" s="154" t="s">
        <v>7485</v>
      </c>
      <c r="I3380" s="154" t="s">
        <v>7486</v>
      </c>
      <c r="J3380" s="154" t="s">
        <v>7487</v>
      </c>
      <c r="K3380" s="154" t="s">
        <v>207</v>
      </c>
    </row>
    <row r="3381">
      <c r="A3381" s="154" t="s">
        <v>7659</v>
      </c>
      <c r="B3381" s="154" t="s">
        <v>7661</v>
      </c>
      <c r="D3381" s="154">
        <v>2.0</v>
      </c>
      <c r="E3381" s="154" t="s">
        <v>897</v>
      </c>
      <c r="F3381" s="154" t="s">
        <v>1619</v>
      </c>
      <c r="G3381" s="154">
        <v>4.3903333E7</v>
      </c>
      <c r="H3381" s="154" t="s">
        <v>1620</v>
      </c>
      <c r="I3381" s="156">
        <v>0.0</v>
      </c>
      <c r="J3381" s="156">
        <v>0.0</v>
      </c>
      <c r="K3381" s="156">
        <v>0.0</v>
      </c>
    </row>
    <row r="3382">
      <c r="A3382" s="154" t="s">
        <v>7662</v>
      </c>
      <c r="B3382" s="155"/>
      <c r="C3382" s="154" t="s">
        <v>7663</v>
      </c>
      <c r="D3382" s="155"/>
      <c r="E3382" s="155"/>
      <c r="F3382" s="154" t="s">
        <v>7664</v>
      </c>
      <c r="G3382" s="154">
        <v>5.51000846E8</v>
      </c>
      <c r="H3382" s="156">
        <v>0.0</v>
      </c>
      <c r="I3382" s="154" t="s">
        <v>7665</v>
      </c>
      <c r="J3382" s="154" t="s">
        <v>7666</v>
      </c>
      <c r="K3382" s="154" t="s">
        <v>301</v>
      </c>
    </row>
    <row r="3383">
      <c r="A3383" s="154" t="s">
        <v>7662</v>
      </c>
      <c r="B3383" s="154" t="s">
        <v>7667</v>
      </c>
      <c r="D3383" s="154">
        <v>2.0</v>
      </c>
      <c r="E3383" s="154" t="s">
        <v>897</v>
      </c>
      <c r="F3383" s="154" t="s">
        <v>7664</v>
      </c>
      <c r="G3383" s="154">
        <v>5.51000846E8</v>
      </c>
      <c r="H3383" s="156">
        <v>0.0</v>
      </c>
      <c r="I3383" s="154" t="s">
        <v>7665</v>
      </c>
      <c r="J3383" s="154" t="s">
        <v>7666</v>
      </c>
      <c r="K3383" s="154" t="s">
        <v>301</v>
      </c>
    </row>
    <row r="3384">
      <c r="A3384" s="154" t="s">
        <v>7668</v>
      </c>
      <c r="B3384" s="154" t="s">
        <v>7669</v>
      </c>
      <c r="D3384" s="154">
        <v>2.0</v>
      </c>
      <c r="E3384" s="154" t="s">
        <v>897</v>
      </c>
      <c r="F3384" s="154" t="s">
        <v>7670</v>
      </c>
      <c r="G3384" s="156">
        <v>0.0</v>
      </c>
      <c r="H3384" s="156">
        <v>0.0</v>
      </c>
      <c r="I3384" s="154" t="s">
        <v>7671</v>
      </c>
      <c r="J3384" s="154" t="s">
        <v>7672</v>
      </c>
      <c r="K3384" s="154" t="s">
        <v>240</v>
      </c>
    </row>
    <row r="3385">
      <c r="A3385" s="154" t="s">
        <v>7668</v>
      </c>
      <c r="B3385" s="155"/>
      <c r="C3385" s="154" t="s">
        <v>7673</v>
      </c>
      <c r="D3385" s="155"/>
      <c r="E3385" s="155"/>
      <c r="F3385" s="154" t="s">
        <v>7670</v>
      </c>
      <c r="G3385" s="156">
        <v>0.0</v>
      </c>
      <c r="H3385" s="156">
        <v>0.0</v>
      </c>
      <c r="I3385" s="154" t="s">
        <v>7671</v>
      </c>
      <c r="J3385" s="154" t="s">
        <v>7672</v>
      </c>
      <c r="K3385" s="154" t="s">
        <v>240</v>
      </c>
    </row>
    <row r="3386">
      <c r="A3386" s="154" t="s">
        <v>7674</v>
      </c>
      <c r="B3386" s="155"/>
      <c r="C3386" s="154" t="s">
        <v>7675</v>
      </c>
      <c r="D3386" s="155"/>
      <c r="E3386" s="155"/>
      <c r="F3386" s="154" t="s">
        <v>7676</v>
      </c>
      <c r="G3386" s="156">
        <v>0.0</v>
      </c>
      <c r="H3386" s="154" t="s">
        <v>7677</v>
      </c>
      <c r="I3386" s="154" t="s">
        <v>7678</v>
      </c>
      <c r="J3386" s="156">
        <v>0.0</v>
      </c>
      <c r="K3386" s="154" t="s">
        <v>361</v>
      </c>
    </row>
    <row r="3387">
      <c r="A3387" s="154" t="s">
        <v>7674</v>
      </c>
      <c r="B3387" s="154" t="s">
        <v>7675</v>
      </c>
      <c r="D3387" s="154">
        <v>2.0</v>
      </c>
      <c r="E3387" s="154" t="s">
        <v>761</v>
      </c>
      <c r="F3387" s="154" t="s">
        <v>7676</v>
      </c>
      <c r="G3387" s="156">
        <v>0.0</v>
      </c>
      <c r="H3387" s="154" t="s">
        <v>7677</v>
      </c>
      <c r="I3387" s="154" t="s">
        <v>7678</v>
      </c>
      <c r="J3387" s="156">
        <v>0.0</v>
      </c>
      <c r="K3387" s="154" t="s">
        <v>361</v>
      </c>
    </row>
    <row r="3388">
      <c r="A3388" s="154" t="s">
        <v>7679</v>
      </c>
      <c r="B3388" s="155"/>
      <c r="C3388" s="154" t="s">
        <v>7680</v>
      </c>
      <c r="D3388" s="155"/>
      <c r="E3388" s="155"/>
      <c r="F3388" s="154" t="s">
        <v>7681</v>
      </c>
      <c r="G3388" s="154">
        <v>9.71043365625E11</v>
      </c>
      <c r="H3388" s="156">
        <v>0.0</v>
      </c>
      <c r="I3388" s="156">
        <v>0.0</v>
      </c>
      <c r="J3388" s="156">
        <v>0.0</v>
      </c>
      <c r="K3388" s="156">
        <v>0.0</v>
      </c>
    </row>
    <row r="3389">
      <c r="A3389" s="154" t="s">
        <v>7679</v>
      </c>
      <c r="B3389" s="154" t="s">
        <v>7680</v>
      </c>
      <c r="D3389" s="154">
        <v>2.0</v>
      </c>
      <c r="E3389" s="154" t="s">
        <v>761</v>
      </c>
      <c r="F3389" s="154" t="s">
        <v>7681</v>
      </c>
      <c r="G3389" s="154">
        <v>9.71043365625E11</v>
      </c>
      <c r="H3389" s="156">
        <v>0.0</v>
      </c>
      <c r="I3389" s="156">
        <v>0.0</v>
      </c>
      <c r="J3389" s="156">
        <v>0.0</v>
      </c>
      <c r="K3389" s="156">
        <v>0.0</v>
      </c>
    </row>
    <row r="3390">
      <c r="A3390" s="154" t="s">
        <v>7682</v>
      </c>
      <c r="B3390" s="155"/>
      <c r="C3390" s="154" t="s">
        <v>7683</v>
      </c>
      <c r="D3390" s="155"/>
      <c r="E3390" s="155"/>
      <c r="F3390" s="154" t="s">
        <v>7684</v>
      </c>
      <c r="G3390" s="154">
        <v>5.02769639E8</v>
      </c>
      <c r="H3390" s="156">
        <v>0.0</v>
      </c>
      <c r="I3390" s="154">
        <v>5.02769639E8</v>
      </c>
      <c r="J3390" s="156">
        <v>0.0</v>
      </c>
      <c r="K3390" s="154" t="s">
        <v>191</v>
      </c>
    </row>
    <row r="3391">
      <c r="A3391" s="154" t="s">
        <v>7682</v>
      </c>
      <c r="B3391" s="154" t="s">
        <v>7683</v>
      </c>
      <c r="D3391" s="154">
        <v>2.0</v>
      </c>
      <c r="E3391" s="154" t="s">
        <v>761</v>
      </c>
      <c r="F3391" s="154" t="s">
        <v>7684</v>
      </c>
      <c r="G3391" s="154">
        <v>5.02769639E8</v>
      </c>
      <c r="H3391" s="156">
        <v>0.0</v>
      </c>
      <c r="I3391" s="154">
        <v>5.02769639E8</v>
      </c>
      <c r="J3391" s="156">
        <v>0.0</v>
      </c>
      <c r="K3391" s="154" t="s">
        <v>191</v>
      </c>
    </row>
    <row r="3392">
      <c r="A3392" s="154" t="s">
        <v>7685</v>
      </c>
      <c r="B3392" s="155"/>
      <c r="C3392" s="154" t="s">
        <v>7686</v>
      </c>
      <c r="D3392" s="155"/>
      <c r="E3392" s="155"/>
      <c r="F3392" s="154" t="s">
        <v>7687</v>
      </c>
      <c r="G3392" s="154" t="s">
        <v>7688</v>
      </c>
      <c r="H3392" s="154" t="s">
        <v>7689</v>
      </c>
      <c r="I3392" s="154">
        <v>9.89121111815E11</v>
      </c>
      <c r="J3392" s="156">
        <v>0.0</v>
      </c>
      <c r="K3392" s="154" t="s">
        <v>197</v>
      </c>
    </row>
    <row r="3393">
      <c r="A3393" s="154" t="s">
        <v>7685</v>
      </c>
      <c r="B3393" s="154" t="s">
        <v>7686</v>
      </c>
      <c r="D3393" s="154">
        <v>2.0</v>
      </c>
      <c r="E3393" s="154" t="s">
        <v>761</v>
      </c>
      <c r="F3393" s="154" t="s">
        <v>7687</v>
      </c>
      <c r="G3393" s="154" t="s">
        <v>7688</v>
      </c>
      <c r="H3393" s="154" t="s">
        <v>7689</v>
      </c>
      <c r="I3393" s="154">
        <v>9.89121111815E11</v>
      </c>
      <c r="J3393" s="156">
        <v>0.0</v>
      </c>
      <c r="K3393" s="154" t="s">
        <v>197</v>
      </c>
    </row>
    <row r="3394">
      <c r="A3394" s="154" t="s">
        <v>7690</v>
      </c>
      <c r="B3394" s="155"/>
      <c r="C3394" s="154" t="s">
        <v>7691</v>
      </c>
      <c r="D3394" s="155"/>
      <c r="E3394" s="155"/>
      <c r="F3394" s="154" t="s">
        <v>7692</v>
      </c>
      <c r="G3394" s="156">
        <v>0.0</v>
      </c>
      <c r="H3394" s="156">
        <v>0.0</v>
      </c>
      <c r="I3394" s="154">
        <v>9.6593666196E10</v>
      </c>
      <c r="J3394" s="156">
        <v>0.0</v>
      </c>
      <c r="K3394" s="154" t="s">
        <v>259</v>
      </c>
    </row>
    <row r="3395">
      <c r="A3395" s="154" t="s">
        <v>7690</v>
      </c>
      <c r="B3395" s="154" t="s">
        <v>7691</v>
      </c>
      <c r="D3395" s="154">
        <v>2.0</v>
      </c>
      <c r="E3395" s="154" t="s">
        <v>761</v>
      </c>
      <c r="F3395" s="154" t="s">
        <v>7692</v>
      </c>
      <c r="G3395" s="156">
        <v>0.0</v>
      </c>
      <c r="H3395" s="156">
        <v>0.0</v>
      </c>
      <c r="I3395" s="154">
        <v>9.6593666196E10</v>
      </c>
      <c r="J3395" s="156">
        <v>0.0</v>
      </c>
      <c r="K3395" s="154" t="s">
        <v>259</v>
      </c>
    </row>
    <row r="3396">
      <c r="A3396" s="154" t="s">
        <v>7693</v>
      </c>
      <c r="B3396" s="154" t="s">
        <v>7694</v>
      </c>
      <c r="D3396" s="154">
        <v>2.0</v>
      </c>
      <c r="E3396" s="154" t="s">
        <v>761</v>
      </c>
      <c r="F3396" s="154" t="s">
        <v>7695</v>
      </c>
      <c r="G3396" s="154">
        <v>5.55530299E8</v>
      </c>
      <c r="H3396" s="154" t="s">
        <v>7696</v>
      </c>
      <c r="I3396" s="154">
        <v>5.04514212E8</v>
      </c>
      <c r="J3396" s="156">
        <v>0.0</v>
      </c>
      <c r="K3396" s="154" t="s">
        <v>301</v>
      </c>
    </row>
    <row r="3397">
      <c r="A3397" s="154" t="s">
        <v>7693</v>
      </c>
      <c r="B3397" s="155"/>
      <c r="C3397" s="154" t="s">
        <v>7694</v>
      </c>
      <c r="D3397" s="155"/>
      <c r="E3397" s="155"/>
      <c r="F3397" s="154" t="s">
        <v>7695</v>
      </c>
      <c r="G3397" s="154">
        <v>5.55530299E8</v>
      </c>
      <c r="H3397" s="154" t="s">
        <v>7696</v>
      </c>
      <c r="I3397" s="154">
        <v>5.04514212E8</v>
      </c>
      <c r="J3397" s="156">
        <v>0.0</v>
      </c>
      <c r="K3397" s="154" t="s">
        <v>301</v>
      </c>
    </row>
    <row r="3398">
      <c r="A3398" s="154" t="s">
        <v>7697</v>
      </c>
      <c r="B3398" s="154" t="s">
        <v>7698</v>
      </c>
      <c r="D3398" s="154">
        <v>2.0</v>
      </c>
      <c r="E3398" s="154" t="s">
        <v>761</v>
      </c>
      <c r="F3398" s="154" t="s">
        <v>7699</v>
      </c>
      <c r="G3398" s="154" t="s">
        <v>7700</v>
      </c>
      <c r="H3398" s="156">
        <v>0.0</v>
      </c>
      <c r="I3398" s="154" t="s">
        <v>7701</v>
      </c>
      <c r="J3398" s="156">
        <v>0.0</v>
      </c>
      <c r="K3398" s="154" t="s">
        <v>240</v>
      </c>
    </row>
    <row r="3399">
      <c r="A3399" s="154" t="s">
        <v>7697</v>
      </c>
      <c r="B3399" s="155"/>
      <c r="C3399" s="154" t="s">
        <v>7698</v>
      </c>
      <c r="D3399" s="155"/>
      <c r="E3399" s="155"/>
      <c r="F3399" s="154" t="s">
        <v>7699</v>
      </c>
      <c r="G3399" s="154" t="s">
        <v>7700</v>
      </c>
      <c r="H3399" s="156">
        <v>0.0</v>
      </c>
      <c r="I3399" s="154" t="s">
        <v>7701</v>
      </c>
      <c r="J3399" s="156">
        <v>0.0</v>
      </c>
      <c r="K3399" s="154" t="s">
        <v>240</v>
      </c>
    </row>
    <row r="3400">
      <c r="A3400" s="154" t="s">
        <v>7702</v>
      </c>
      <c r="B3400" s="154" t="s">
        <v>7703</v>
      </c>
      <c r="D3400" s="154">
        <v>2.0</v>
      </c>
      <c r="E3400" s="154" t="s">
        <v>761</v>
      </c>
      <c r="F3400" s="154" t="s">
        <v>7704</v>
      </c>
      <c r="G3400" s="156">
        <v>0.0</v>
      </c>
      <c r="H3400" s="156">
        <v>0.0</v>
      </c>
      <c r="I3400" s="154">
        <v>5.06532019E8</v>
      </c>
      <c r="J3400" s="156">
        <v>0.0</v>
      </c>
      <c r="K3400" s="154" t="s">
        <v>1059</v>
      </c>
    </row>
    <row r="3401">
      <c r="A3401" s="154" t="s">
        <v>7702</v>
      </c>
      <c r="B3401" s="155"/>
      <c r="C3401" s="154" t="s">
        <v>7703</v>
      </c>
      <c r="D3401" s="155"/>
      <c r="E3401" s="155"/>
      <c r="F3401" s="154" t="s">
        <v>7704</v>
      </c>
      <c r="G3401" s="156">
        <v>0.0</v>
      </c>
      <c r="H3401" s="156">
        <v>0.0</v>
      </c>
      <c r="I3401" s="154">
        <v>5.06532019E8</v>
      </c>
      <c r="J3401" s="156">
        <v>0.0</v>
      </c>
      <c r="K3401" s="154" t="s">
        <v>1059</v>
      </c>
    </row>
    <row r="3402">
      <c r="A3402" s="154" t="s">
        <v>7705</v>
      </c>
      <c r="B3402" s="154" t="s">
        <v>7706</v>
      </c>
      <c r="D3402" s="154">
        <v>2.0</v>
      </c>
      <c r="E3402" s="154" t="s">
        <v>761</v>
      </c>
      <c r="F3402" s="154" t="s">
        <v>7707</v>
      </c>
      <c r="G3402" s="154">
        <v>3911111.0</v>
      </c>
      <c r="H3402" s="154" t="s">
        <v>7708</v>
      </c>
      <c r="I3402" s="154">
        <v>5.5558964E8</v>
      </c>
      <c r="J3402" s="156">
        <v>0.0</v>
      </c>
      <c r="K3402" s="154" t="s">
        <v>760</v>
      </c>
    </row>
    <row r="3403">
      <c r="A3403" s="154" t="s">
        <v>7705</v>
      </c>
      <c r="B3403" s="155"/>
      <c r="C3403" s="154" t="s">
        <v>7706</v>
      </c>
      <c r="D3403" s="155"/>
      <c r="E3403" s="155"/>
      <c r="F3403" s="154" t="s">
        <v>1157</v>
      </c>
      <c r="G3403" s="154" t="s">
        <v>1158</v>
      </c>
      <c r="H3403" s="154" t="s">
        <v>1159</v>
      </c>
      <c r="I3403" s="156">
        <v>0.0</v>
      </c>
      <c r="J3403" s="156">
        <v>0.0</v>
      </c>
      <c r="K3403" s="156">
        <v>0.0</v>
      </c>
    </row>
    <row r="3404">
      <c r="A3404" s="154" t="s">
        <v>7709</v>
      </c>
      <c r="B3404" s="154" t="s">
        <v>7710</v>
      </c>
      <c r="D3404" s="154">
        <v>2.0</v>
      </c>
      <c r="E3404" s="154" t="s">
        <v>761</v>
      </c>
      <c r="F3404" s="154" t="s">
        <v>7711</v>
      </c>
      <c r="G3404" s="154">
        <v>5.05534382E8</v>
      </c>
      <c r="H3404" s="156">
        <v>0.0</v>
      </c>
      <c r="I3404" s="154">
        <v>9.71505534382E11</v>
      </c>
      <c r="J3404" s="156">
        <v>0.0</v>
      </c>
      <c r="K3404" s="154" t="s">
        <v>240</v>
      </c>
    </row>
    <row r="3405">
      <c r="A3405" s="154" t="s">
        <v>7709</v>
      </c>
      <c r="B3405" s="155"/>
      <c r="C3405" s="154" t="s">
        <v>7710</v>
      </c>
      <c r="D3405" s="155"/>
      <c r="E3405" s="155"/>
      <c r="F3405" s="154" t="s">
        <v>792</v>
      </c>
      <c r="G3405" s="154" t="s">
        <v>793</v>
      </c>
      <c r="H3405" s="154" t="s">
        <v>794</v>
      </c>
      <c r="I3405" s="156">
        <v>0.0</v>
      </c>
      <c r="J3405" s="156">
        <v>0.0</v>
      </c>
      <c r="K3405" s="156">
        <v>0.0</v>
      </c>
    </row>
    <row r="3406">
      <c r="A3406" s="154" t="s">
        <v>7712</v>
      </c>
      <c r="B3406" s="155"/>
      <c r="C3406" s="154" t="s">
        <v>7713</v>
      </c>
      <c r="D3406" s="155"/>
      <c r="E3406" s="155"/>
      <c r="F3406" s="154" t="s">
        <v>7714</v>
      </c>
      <c r="G3406" s="154">
        <v>4.3615866E7</v>
      </c>
      <c r="H3406" s="156">
        <v>0.0</v>
      </c>
      <c r="I3406" s="154">
        <v>5.04546607E8</v>
      </c>
      <c r="J3406" s="156">
        <v>0.0</v>
      </c>
      <c r="K3406" s="154" t="s">
        <v>206</v>
      </c>
    </row>
    <row r="3407">
      <c r="A3407" s="154" t="s">
        <v>7712</v>
      </c>
      <c r="B3407" s="154" t="s">
        <v>7713</v>
      </c>
      <c r="D3407" s="154">
        <v>2.0</v>
      </c>
      <c r="E3407" s="154" t="s">
        <v>761</v>
      </c>
      <c r="F3407" s="154" t="s">
        <v>7714</v>
      </c>
      <c r="G3407" s="154">
        <v>4.3615866E7</v>
      </c>
      <c r="H3407" s="156">
        <v>0.0</v>
      </c>
      <c r="I3407" s="154">
        <v>5.04546607E8</v>
      </c>
      <c r="J3407" s="156">
        <v>0.0</v>
      </c>
      <c r="K3407" s="154" t="s">
        <v>206</v>
      </c>
    </row>
    <row r="3408">
      <c r="A3408" s="154" t="s">
        <v>7715</v>
      </c>
      <c r="B3408" s="154" t="s">
        <v>7716</v>
      </c>
      <c r="D3408" s="154">
        <v>2.0</v>
      </c>
      <c r="E3408" s="154" t="s">
        <v>761</v>
      </c>
      <c r="F3408" s="154" t="s">
        <v>7717</v>
      </c>
      <c r="G3408" s="154">
        <v>4.3617753E7</v>
      </c>
      <c r="H3408" s="156">
        <v>0.0</v>
      </c>
      <c r="I3408" s="154">
        <v>9.71506619005E11</v>
      </c>
      <c r="J3408" s="156">
        <v>0.0</v>
      </c>
      <c r="K3408" s="154" t="s">
        <v>776</v>
      </c>
    </row>
    <row r="3409">
      <c r="A3409" s="154" t="s">
        <v>7715</v>
      </c>
      <c r="B3409" s="155"/>
      <c r="C3409" s="154" t="s">
        <v>7716</v>
      </c>
      <c r="D3409" s="155"/>
      <c r="E3409" s="155"/>
      <c r="F3409" s="154" t="s">
        <v>7717</v>
      </c>
      <c r="G3409" s="154">
        <v>4.3617753E7</v>
      </c>
      <c r="H3409" s="156">
        <v>0.0</v>
      </c>
      <c r="I3409" s="154">
        <v>9.71506619005E11</v>
      </c>
      <c r="J3409" s="156">
        <v>0.0</v>
      </c>
      <c r="K3409" s="154" t="s">
        <v>776</v>
      </c>
    </row>
    <row r="3410">
      <c r="A3410" s="154" t="s">
        <v>7718</v>
      </c>
      <c r="B3410" s="154" t="s">
        <v>7719</v>
      </c>
      <c r="D3410" s="154">
        <v>2.0</v>
      </c>
      <c r="E3410" s="154" t="s">
        <v>761</v>
      </c>
      <c r="F3410" s="154" t="s">
        <v>7720</v>
      </c>
      <c r="G3410" s="154">
        <v>5.06531647E8</v>
      </c>
      <c r="H3410" s="156">
        <v>0.0</v>
      </c>
      <c r="I3410" s="156">
        <v>0.0</v>
      </c>
      <c r="J3410" s="156">
        <v>0.0</v>
      </c>
      <c r="K3410" s="154" t="s">
        <v>197</v>
      </c>
    </row>
    <row r="3411">
      <c r="A3411" s="154" t="s">
        <v>7718</v>
      </c>
      <c r="B3411" s="155"/>
      <c r="C3411" s="154" t="s">
        <v>7719</v>
      </c>
      <c r="D3411" s="155"/>
      <c r="E3411" s="155"/>
      <c r="F3411" s="154" t="s">
        <v>7720</v>
      </c>
      <c r="G3411" s="154">
        <v>5.06531647E8</v>
      </c>
      <c r="H3411" s="156">
        <v>0.0</v>
      </c>
      <c r="I3411" s="156">
        <v>0.0</v>
      </c>
      <c r="J3411" s="156">
        <v>0.0</v>
      </c>
      <c r="K3411" s="154" t="s">
        <v>197</v>
      </c>
    </row>
    <row r="3412">
      <c r="A3412" s="154" t="s">
        <v>7721</v>
      </c>
      <c r="B3412" s="155"/>
      <c r="C3412" s="154" t="s">
        <v>7722</v>
      </c>
      <c r="D3412" s="155"/>
      <c r="E3412" s="155"/>
      <c r="F3412" s="154" t="s">
        <v>7723</v>
      </c>
      <c r="G3412" s="154" t="s">
        <v>7724</v>
      </c>
      <c r="H3412" s="156">
        <v>0.0</v>
      </c>
      <c r="I3412" s="154">
        <v>9.715021155E11</v>
      </c>
      <c r="J3412" s="156">
        <v>0.0</v>
      </c>
      <c r="K3412" s="154" t="s">
        <v>301</v>
      </c>
    </row>
    <row r="3413">
      <c r="A3413" s="154" t="s">
        <v>7721</v>
      </c>
      <c r="B3413" s="154" t="s">
        <v>7722</v>
      </c>
      <c r="D3413" s="154">
        <v>2.0</v>
      </c>
      <c r="E3413" s="154" t="s">
        <v>761</v>
      </c>
      <c r="F3413" s="154" t="s">
        <v>7723</v>
      </c>
      <c r="G3413" s="154" t="s">
        <v>7724</v>
      </c>
      <c r="H3413" s="156">
        <v>0.0</v>
      </c>
      <c r="I3413" s="154">
        <v>9.715021155E11</v>
      </c>
      <c r="J3413" s="156">
        <v>0.0</v>
      </c>
      <c r="K3413" s="154" t="s">
        <v>301</v>
      </c>
    </row>
    <row r="3414">
      <c r="A3414" s="154" t="s">
        <v>7725</v>
      </c>
      <c r="B3414" s="155"/>
      <c r="C3414" s="154" t="s">
        <v>7726</v>
      </c>
      <c r="D3414" s="155"/>
      <c r="E3414" s="155"/>
      <c r="F3414" s="154" t="s">
        <v>1078</v>
      </c>
      <c r="G3414" s="156">
        <v>0.0</v>
      </c>
      <c r="H3414" s="154" t="s">
        <v>1079</v>
      </c>
      <c r="I3414" s="154" t="s">
        <v>1080</v>
      </c>
      <c r="J3414" s="154" t="s">
        <v>1081</v>
      </c>
      <c r="K3414" s="154" t="s">
        <v>259</v>
      </c>
    </row>
    <row r="3415">
      <c r="A3415" s="154" t="s">
        <v>7725</v>
      </c>
      <c r="B3415" s="154" t="s">
        <v>7726</v>
      </c>
      <c r="D3415" s="154">
        <v>2.0</v>
      </c>
      <c r="E3415" s="154" t="s">
        <v>761</v>
      </c>
      <c r="F3415" s="154" t="s">
        <v>1078</v>
      </c>
      <c r="G3415" s="156">
        <v>0.0</v>
      </c>
      <c r="H3415" s="154" t="s">
        <v>1079</v>
      </c>
      <c r="I3415" s="154" t="s">
        <v>1080</v>
      </c>
      <c r="J3415" s="154" t="s">
        <v>1081</v>
      </c>
      <c r="K3415" s="154" t="s">
        <v>259</v>
      </c>
    </row>
    <row r="3416">
      <c r="A3416" s="154" t="s">
        <v>7727</v>
      </c>
      <c r="B3416" s="155"/>
      <c r="C3416" s="154" t="s">
        <v>7728</v>
      </c>
      <c r="D3416" s="155"/>
      <c r="E3416" s="155"/>
      <c r="F3416" s="154" t="s">
        <v>7729</v>
      </c>
      <c r="G3416" s="154">
        <v>3911111.0</v>
      </c>
      <c r="H3416" s="156">
        <v>0.0</v>
      </c>
      <c r="I3416" s="154">
        <v>5.04421575E8</v>
      </c>
      <c r="J3416" s="156">
        <v>0.0</v>
      </c>
      <c r="K3416" s="154" t="s">
        <v>240</v>
      </c>
    </row>
    <row r="3417">
      <c r="A3417" s="154" t="s">
        <v>7727</v>
      </c>
      <c r="B3417" s="154" t="s">
        <v>7730</v>
      </c>
      <c r="D3417" s="154">
        <v>2.0</v>
      </c>
      <c r="E3417" s="154" t="s">
        <v>761</v>
      </c>
      <c r="F3417" s="154" t="s">
        <v>7729</v>
      </c>
      <c r="G3417" s="154">
        <v>3911111.0</v>
      </c>
      <c r="H3417" s="156">
        <v>0.0</v>
      </c>
      <c r="I3417" s="154">
        <v>5.04421575E8</v>
      </c>
      <c r="J3417" s="156">
        <v>0.0</v>
      </c>
      <c r="K3417" s="154" t="s">
        <v>240</v>
      </c>
    </row>
    <row r="3418">
      <c r="A3418" s="154" t="s">
        <v>7731</v>
      </c>
      <c r="B3418" s="154" t="s">
        <v>7732</v>
      </c>
      <c r="D3418" s="154">
        <v>2.0</v>
      </c>
      <c r="E3418" s="154" t="s">
        <v>761</v>
      </c>
      <c r="F3418" s="154" t="s">
        <v>7733</v>
      </c>
      <c r="G3418" s="154">
        <v>5.05524881E8</v>
      </c>
      <c r="H3418" s="156">
        <v>0.0</v>
      </c>
      <c r="I3418" s="154">
        <v>5.05524881E8</v>
      </c>
      <c r="J3418" s="156">
        <v>0.0</v>
      </c>
      <c r="K3418" s="154" t="s">
        <v>776</v>
      </c>
    </row>
    <row r="3419">
      <c r="A3419" s="154" t="s">
        <v>7731</v>
      </c>
      <c r="B3419" s="155"/>
      <c r="C3419" s="154" t="s">
        <v>7734</v>
      </c>
      <c r="D3419" s="155"/>
      <c r="E3419" s="155"/>
      <c r="F3419" s="154" t="s">
        <v>3786</v>
      </c>
      <c r="G3419" s="154">
        <v>4.3902282E7</v>
      </c>
      <c r="H3419" s="154" t="s">
        <v>1185</v>
      </c>
      <c r="I3419" s="156">
        <v>0.0</v>
      </c>
      <c r="J3419" s="156">
        <v>0.0</v>
      </c>
      <c r="K3419" s="156">
        <v>0.0</v>
      </c>
    </row>
    <row r="3420">
      <c r="A3420" s="154" t="s">
        <v>7735</v>
      </c>
      <c r="B3420" s="155"/>
      <c r="C3420" s="154" t="s">
        <v>7736</v>
      </c>
      <c r="D3420" s="155"/>
      <c r="E3420" s="155"/>
      <c r="F3420" s="154" t="s">
        <v>7737</v>
      </c>
      <c r="G3420" s="154">
        <v>4.3911111E7</v>
      </c>
      <c r="H3420" s="156">
        <v>0.0</v>
      </c>
      <c r="I3420" s="154">
        <v>5.03454497E8</v>
      </c>
      <c r="J3420" s="156">
        <v>0.0</v>
      </c>
      <c r="K3420" s="154" t="s">
        <v>361</v>
      </c>
    </row>
    <row r="3421">
      <c r="A3421" s="154" t="s">
        <v>7735</v>
      </c>
      <c r="B3421" s="154" t="s">
        <v>7738</v>
      </c>
      <c r="D3421" s="154">
        <v>2.0</v>
      </c>
      <c r="E3421" s="154" t="s">
        <v>761</v>
      </c>
      <c r="F3421" s="154" t="s">
        <v>7737</v>
      </c>
      <c r="G3421" s="154">
        <v>4.3911111E7</v>
      </c>
      <c r="H3421" s="156">
        <v>0.0</v>
      </c>
      <c r="I3421" s="154">
        <v>5.03454497E8</v>
      </c>
      <c r="J3421" s="156">
        <v>0.0</v>
      </c>
      <c r="K3421" s="154" t="s">
        <v>361</v>
      </c>
    </row>
    <row r="3422">
      <c r="A3422" s="154" t="s">
        <v>7739</v>
      </c>
      <c r="B3422" s="154" t="s">
        <v>7740</v>
      </c>
      <c r="D3422" s="154">
        <v>2.0</v>
      </c>
      <c r="E3422" s="154" t="s">
        <v>761</v>
      </c>
      <c r="F3422" s="154" t="s">
        <v>7741</v>
      </c>
      <c r="G3422" s="154">
        <v>5.07779304E8</v>
      </c>
      <c r="H3422" s="156">
        <v>0.0</v>
      </c>
      <c r="I3422" s="154">
        <v>5.07779304E8</v>
      </c>
      <c r="J3422" s="156">
        <v>0.0</v>
      </c>
      <c r="K3422" s="154" t="s">
        <v>197</v>
      </c>
    </row>
    <row r="3423">
      <c r="A3423" s="154" t="s">
        <v>7739</v>
      </c>
      <c r="B3423" s="155"/>
      <c r="C3423" s="154" t="s">
        <v>7742</v>
      </c>
      <c r="D3423" s="155"/>
      <c r="E3423" s="155"/>
      <c r="F3423" s="154" t="s">
        <v>7741</v>
      </c>
      <c r="G3423" s="154">
        <v>5.07779304E8</v>
      </c>
      <c r="H3423" s="156">
        <v>0.0</v>
      </c>
      <c r="I3423" s="154">
        <v>5.07779304E8</v>
      </c>
      <c r="J3423" s="156">
        <v>0.0</v>
      </c>
      <c r="K3423" s="154" t="s">
        <v>197</v>
      </c>
    </row>
    <row r="3424">
      <c r="A3424" s="154" t="s">
        <v>7743</v>
      </c>
      <c r="B3424" s="155"/>
      <c r="C3424" s="154" t="s">
        <v>7744</v>
      </c>
      <c r="D3424" s="155"/>
      <c r="E3424" s="155"/>
      <c r="F3424" s="154" t="s">
        <v>7745</v>
      </c>
      <c r="G3424" s="156">
        <v>0.0</v>
      </c>
      <c r="H3424" s="156">
        <v>0.0</v>
      </c>
      <c r="I3424" s="154" t="s">
        <v>7746</v>
      </c>
      <c r="J3424" s="156">
        <v>0.0</v>
      </c>
      <c r="K3424" s="154" t="s">
        <v>301</v>
      </c>
    </row>
    <row r="3425">
      <c r="A3425" s="154" t="s">
        <v>7743</v>
      </c>
      <c r="B3425" s="154" t="s">
        <v>7744</v>
      </c>
      <c r="C3425" s="155"/>
      <c r="D3425" s="154">
        <v>2.0</v>
      </c>
      <c r="E3425" s="154" t="s">
        <v>761</v>
      </c>
      <c r="F3425" s="154" t="s">
        <v>7745</v>
      </c>
      <c r="G3425" s="156">
        <v>0.0</v>
      </c>
      <c r="H3425" s="156">
        <v>0.0</v>
      </c>
      <c r="I3425" s="154" t="s">
        <v>7746</v>
      </c>
      <c r="J3425" s="156">
        <v>0.0</v>
      </c>
      <c r="K3425" s="154" t="s">
        <v>301</v>
      </c>
    </row>
    <row r="3426">
      <c r="A3426" s="154" t="s">
        <v>7747</v>
      </c>
      <c r="B3426" s="155"/>
      <c r="C3426" s="154" t="s">
        <v>7748</v>
      </c>
      <c r="D3426" s="155"/>
      <c r="E3426" s="155"/>
      <c r="F3426" s="154" t="s">
        <v>7749</v>
      </c>
      <c r="G3426" s="154">
        <v>5.011559E8</v>
      </c>
      <c r="H3426" s="156">
        <v>0.0</v>
      </c>
      <c r="I3426" s="154">
        <v>5.011559E8</v>
      </c>
      <c r="J3426" s="156">
        <v>0.0</v>
      </c>
      <c r="K3426" s="154" t="s">
        <v>197</v>
      </c>
    </row>
    <row r="3427">
      <c r="A3427" s="154" t="s">
        <v>7747</v>
      </c>
      <c r="B3427" s="154" t="s">
        <v>7750</v>
      </c>
      <c r="D3427" s="154">
        <v>2.0</v>
      </c>
      <c r="E3427" s="154" t="s">
        <v>761</v>
      </c>
      <c r="F3427" s="154" t="s">
        <v>7749</v>
      </c>
      <c r="G3427" s="154">
        <v>5.011559E8</v>
      </c>
      <c r="H3427" s="156">
        <v>0.0</v>
      </c>
      <c r="I3427" s="154">
        <v>5.011559E8</v>
      </c>
      <c r="J3427" s="156">
        <v>0.0</v>
      </c>
      <c r="K3427" s="154" t="s">
        <v>197</v>
      </c>
    </row>
    <row r="3428">
      <c r="A3428" s="154" t="s">
        <v>7751</v>
      </c>
      <c r="B3428" s="154" t="s">
        <v>7752</v>
      </c>
      <c r="D3428" s="154">
        <v>2.0</v>
      </c>
      <c r="E3428" s="154" t="s">
        <v>761</v>
      </c>
      <c r="F3428" s="154" t="s">
        <v>7753</v>
      </c>
      <c r="G3428" s="156">
        <v>0.0</v>
      </c>
      <c r="H3428" s="156">
        <v>0.0</v>
      </c>
      <c r="I3428" s="154">
        <v>9.7156170159E11</v>
      </c>
      <c r="J3428" s="156">
        <v>0.0</v>
      </c>
      <c r="K3428" s="154" t="s">
        <v>760</v>
      </c>
    </row>
    <row r="3429">
      <c r="A3429" s="154" t="s">
        <v>7751</v>
      </c>
      <c r="B3429" s="155"/>
      <c r="C3429" s="154" t="s">
        <v>7754</v>
      </c>
      <c r="D3429" s="155"/>
      <c r="E3429" s="155"/>
      <c r="F3429" s="154" t="s">
        <v>7755</v>
      </c>
      <c r="G3429" s="154">
        <v>0.0</v>
      </c>
      <c r="H3429" s="156">
        <v>0.0</v>
      </c>
      <c r="I3429" s="154">
        <v>5.6170159E8</v>
      </c>
      <c r="J3429" s="156">
        <v>0.0</v>
      </c>
      <c r="K3429" s="154" t="s">
        <v>1059</v>
      </c>
    </row>
    <row r="3430">
      <c r="A3430" s="154" t="s">
        <v>7756</v>
      </c>
      <c r="B3430" s="155"/>
      <c r="C3430" s="154" t="s">
        <v>7757</v>
      </c>
      <c r="D3430" s="155"/>
      <c r="E3430" s="155"/>
      <c r="F3430" s="154" t="s">
        <v>7758</v>
      </c>
      <c r="G3430" s="154">
        <v>5.05249832E8</v>
      </c>
      <c r="H3430" s="156">
        <v>0.0</v>
      </c>
      <c r="I3430" s="156">
        <v>0.0</v>
      </c>
      <c r="J3430" s="156">
        <v>0.0</v>
      </c>
      <c r="K3430" s="154" t="s">
        <v>3804</v>
      </c>
    </row>
    <row r="3431">
      <c r="A3431" s="154" t="s">
        <v>7756</v>
      </c>
      <c r="B3431" s="154" t="s">
        <v>7759</v>
      </c>
      <c r="D3431" s="154">
        <v>2.0</v>
      </c>
      <c r="E3431" s="154" t="s">
        <v>761</v>
      </c>
      <c r="F3431" s="154" t="s">
        <v>7758</v>
      </c>
      <c r="G3431" s="154">
        <v>5.05249832E8</v>
      </c>
      <c r="H3431" s="156">
        <v>0.0</v>
      </c>
      <c r="I3431" s="156">
        <v>0.0</v>
      </c>
      <c r="J3431" s="156">
        <v>0.0</v>
      </c>
      <c r="K3431" s="154" t="s">
        <v>3804</v>
      </c>
    </row>
    <row r="3432">
      <c r="A3432" s="154" t="s">
        <v>7760</v>
      </c>
      <c r="B3432" s="155"/>
      <c r="C3432" s="154" t="s">
        <v>7761</v>
      </c>
      <c r="D3432" s="155"/>
      <c r="E3432" s="155"/>
      <c r="F3432" s="154" t="s">
        <v>7762</v>
      </c>
      <c r="G3432" s="156">
        <v>0.0</v>
      </c>
      <c r="H3432" s="154" t="s">
        <v>7763</v>
      </c>
      <c r="I3432" s="154" t="s">
        <v>7764</v>
      </c>
      <c r="J3432" s="154" t="s">
        <v>7765</v>
      </c>
      <c r="K3432" s="154" t="s">
        <v>361</v>
      </c>
    </row>
    <row r="3433">
      <c r="A3433" s="154" t="s">
        <v>7760</v>
      </c>
      <c r="B3433" s="154" t="s">
        <v>7766</v>
      </c>
      <c r="D3433" s="154">
        <v>2.0</v>
      </c>
      <c r="E3433" s="154" t="s">
        <v>761</v>
      </c>
      <c r="F3433" s="154" t="s">
        <v>7767</v>
      </c>
      <c r="G3433" s="156">
        <v>0.0</v>
      </c>
      <c r="H3433" s="154" t="s">
        <v>7763</v>
      </c>
      <c r="I3433" s="154" t="s">
        <v>7764</v>
      </c>
      <c r="J3433" s="154" t="s">
        <v>7765</v>
      </c>
      <c r="K3433" s="154" t="s">
        <v>361</v>
      </c>
    </row>
    <row r="3434">
      <c r="A3434" s="154" t="s">
        <v>7768</v>
      </c>
      <c r="B3434" s="154" t="s">
        <v>7769</v>
      </c>
      <c r="D3434" s="154">
        <v>2.0</v>
      </c>
      <c r="E3434" s="154" t="s">
        <v>761</v>
      </c>
      <c r="F3434" s="154" t="s">
        <v>7770</v>
      </c>
      <c r="G3434" s="156">
        <v>0.0</v>
      </c>
      <c r="H3434" s="156">
        <v>0.0</v>
      </c>
      <c r="I3434" s="154" t="s">
        <v>7771</v>
      </c>
      <c r="J3434" s="154" t="s">
        <v>7772</v>
      </c>
      <c r="K3434" s="154" t="s">
        <v>240</v>
      </c>
    </row>
    <row r="3435">
      <c r="A3435" s="154" t="s">
        <v>7768</v>
      </c>
      <c r="B3435" s="155"/>
      <c r="C3435" s="154" t="s">
        <v>7773</v>
      </c>
      <c r="D3435" s="155"/>
      <c r="E3435" s="155"/>
      <c r="F3435" s="154" t="s">
        <v>7770</v>
      </c>
      <c r="G3435" s="156">
        <v>0.0</v>
      </c>
      <c r="H3435" s="156">
        <v>0.0</v>
      </c>
      <c r="I3435" s="154" t="s">
        <v>7771</v>
      </c>
      <c r="J3435" s="154" t="s">
        <v>7772</v>
      </c>
      <c r="K3435" s="154" t="s">
        <v>240</v>
      </c>
    </row>
    <row r="3436">
      <c r="A3436" s="154" t="s">
        <v>7774</v>
      </c>
      <c r="B3436" s="155"/>
      <c r="C3436" s="154" t="s">
        <v>7775</v>
      </c>
      <c r="D3436" s="155"/>
      <c r="E3436" s="155"/>
      <c r="F3436" s="154" t="s">
        <v>7776</v>
      </c>
      <c r="G3436" s="154">
        <v>9.71502584012E11</v>
      </c>
      <c r="H3436" s="156">
        <v>0.0</v>
      </c>
      <c r="I3436" s="154">
        <v>9.71506267911E11</v>
      </c>
      <c r="J3436" s="156">
        <v>0.0</v>
      </c>
      <c r="K3436" s="154" t="s">
        <v>760</v>
      </c>
    </row>
    <row r="3437">
      <c r="A3437" s="154" t="s">
        <v>7774</v>
      </c>
      <c r="B3437" s="154" t="s">
        <v>7777</v>
      </c>
      <c r="D3437" s="154">
        <v>2.0</v>
      </c>
      <c r="E3437" s="154" t="s">
        <v>761</v>
      </c>
      <c r="F3437" s="154" t="s">
        <v>7776</v>
      </c>
      <c r="G3437" s="154">
        <v>9.71502584012E11</v>
      </c>
      <c r="H3437" s="156">
        <v>0.0</v>
      </c>
      <c r="I3437" s="154">
        <v>9.71506267911E11</v>
      </c>
      <c r="J3437" s="156">
        <v>0.0</v>
      </c>
      <c r="K3437" s="154" t="s">
        <v>760</v>
      </c>
    </row>
    <row r="3438">
      <c r="A3438" s="154" t="s">
        <v>7778</v>
      </c>
      <c r="B3438" s="154" t="s">
        <v>7779</v>
      </c>
      <c r="D3438" s="154">
        <v>2.0</v>
      </c>
      <c r="E3438" s="154" t="s">
        <v>761</v>
      </c>
      <c r="F3438" s="154" t="s">
        <v>7298</v>
      </c>
      <c r="G3438" s="156">
        <v>0.0</v>
      </c>
      <c r="H3438" s="156">
        <v>0.0</v>
      </c>
      <c r="I3438" s="154" t="s">
        <v>7299</v>
      </c>
      <c r="J3438" s="156">
        <v>0.0</v>
      </c>
      <c r="K3438" s="154" t="s">
        <v>361</v>
      </c>
    </row>
    <row r="3439">
      <c r="A3439" s="154" t="s">
        <v>7778</v>
      </c>
      <c r="B3439" s="155"/>
      <c r="C3439" s="154" t="s">
        <v>7780</v>
      </c>
      <c r="D3439" s="155"/>
      <c r="E3439" s="155"/>
      <c r="F3439" s="154" t="s">
        <v>7298</v>
      </c>
      <c r="G3439" s="156">
        <v>0.0</v>
      </c>
      <c r="H3439" s="156">
        <v>0.0</v>
      </c>
      <c r="I3439" s="154" t="s">
        <v>7299</v>
      </c>
      <c r="J3439" s="156">
        <v>0.0</v>
      </c>
      <c r="K3439" s="154" t="s">
        <v>361</v>
      </c>
    </row>
    <row r="3440">
      <c r="A3440" s="154" t="s">
        <v>7781</v>
      </c>
      <c r="B3440" s="154" t="s">
        <v>7782</v>
      </c>
      <c r="D3440" s="154">
        <v>2.0</v>
      </c>
      <c r="E3440" s="154" t="s">
        <v>761</v>
      </c>
      <c r="F3440" s="154" t="s">
        <v>7783</v>
      </c>
      <c r="G3440" s="156">
        <v>0.0</v>
      </c>
      <c r="H3440" s="156">
        <v>0.0</v>
      </c>
      <c r="I3440" s="154" t="s">
        <v>7784</v>
      </c>
      <c r="J3440" s="154" t="s">
        <v>7785</v>
      </c>
      <c r="K3440" s="154" t="s">
        <v>259</v>
      </c>
    </row>
    <row r="3441">
      <c r="A3441" s="154" t="s">
        <v>7781</v>
      </c>
      <c r="B3441" s="155"/>
      <c r="C3441" s="154" t="s">
        <v>7786</v>
      </c>
      <c r="D3441" s="155"/>
      <c r="E3441" s="155"/>
      <c r="F3441" s="154" t="s">
        <v>7783</v>
      </c>
      <c r="G3441" s="156">
        <v>0.0</v>
      </c>
      <c r="H3441" s="156">
        <v>0.0</v>
      </c>
      <c r="I3441" s="154" t="s">
        <v>7784</v>
      </c>
      <c r="J3441" s="154" t="s">
        <v>7785</v>
      </c>
      <c r="K3441" s="154" t="s">
        <v>259</v>
      </c>
    </row>
    <row r="3442">
      <c r="A3442" s="154" t="s">
        <v>7787</v>
      </c>
      <c r="B3442" s="154" t="s">
        <v>7788</v>
      </c>
      <c r="D3442" s="154">
        <v>2.0</v>
      </c>
      <c r="E3442" s="154" t="s">
        <v>761</v>
      </c>
      <c r="F3442" s="154" t="s">
        <v>7789</v>
      </c>
      <c r="G3442" s="154" t="s">
        <v>7790</v>
      </c>
      <c r="H3442" s="156">
        <v>0.0</v>
      </c>
      <c r="I3442" s="154">
        <v>9.71506512262E11</v>
      </c>
      <c r="J3442" s="156">
        <v>0.0</v>
      </c>
      <c r="K3442" s="154" t="s">
        <v>207</v>
      </c>
    </row>
    <row r="3443">
      <c r="A3443" s="154" t="s">
        <v>7787</v>
      </c>
      <c r="B3443" s="155"/>
      <c r="C3443" s="154" t="s">
        <v>7791</v>
      </c>
      <c r="D3443" s="155"/>
      <c r="E3443" s="155"/>
      <c r="F3443" s="154" t="s">
        <v>7789</v>
      </c>
      <c r="G3443" s="154" t="s">
        <v>7790</v>
      </c>
      <c r="H3443" s="156">
        <v>0.0</v>
      </c>
      <c r="I3443" s="154">
        <v>9.71506512262E11</v>
      </c>
      <c r="J3443" s="156">
        <v>0.0</v>
      </c>
      <c r="K3443" s="154" t="s">
        <v>207</v>
      </c>
    </row>
    <row r="3444">
      <c r="A3444" s="154" t="s">
        <v>7792</v>
      </c>
      <c r="B3444" s="154" t="s">
        <v>7793</v>
      </c>
      <c r="D3444" s="154">
        <v>2.0</v>
      </c>
      <c r="E3444" s="154" t="s">
        <v>761</v>
      </c>
      <c r="F3444" s="154" t="s">
        <v>7794</v>
      </c>
      <c r="G3444" s="154">
        <v>5.08703912E8</v>
      </c>
      <c r="H3444" s="156">
        <v>0.0</v>
      </c>
      <c r="I3444" s="154">
        <v>5.57188046E8</v>
      </c>
      <c r="J3444" s="156">
        <v>0.0</v>
      </c>
      <c r="K3444" s="154" t="s">
        <v>760</v>
      </c>
    </row>
    <row r="3445">
      <c r="A3445" s="154" t="s">
        <v>7792</v>
      </c>
      <c r="B3445" s="155"/>
      <c r="C3445" s="154" t="s">
        <v>7795</v>
      </c>
      <c r="D3445" s="155"/>
      <c r="E3445" s="155"/>
      <c r="F3445" s="154" t="s">
        <v>7794</v>
      </c>
      <c r="G3445" s="154">
        <v>5.08703912E8</v>
      </c>
      <c r="H3445" s="156">
        <v>0.0</v>
      </c>
      <c r="I3445" s="154">
        <v>5.57188046E8</v>
      </c>
      <c r="J3445" s="156">
        <v>0.0</v>
      </c>
      <c r="K3445" s="154" t="s">
        <v>760</v>
      </c>
    </row>
    <row r="3446">
      <c r="A3446" s="154" t="s">
        <v>7796</v>
      </c>
      <c r="B3446" s="155"/>
      <c r="C3446" s="154" t="s">
        <v>7797</v>
      </c>
      <c r="D3446" s="155"/>
      <c r="E3446" s="155"/>
      <c r="F3446" s="154" t="s">
        <v>7794</v>
      </c>
      <c r="G3446" s="154">
        <v>5.08703912E8</v>
      </c>
      <c r="H3446" s="156">
        <v>0.0</v>
      </c>
      <c r="I3446" s="154">
        <v>5.57188046E8</v>
      </c>
      <c r="J3446" s="156">
        <v>0.0</v>
      </c>
      <c r="K3446" s="154" t="s">
        <v>760</v>
      </c>
    </row>
    <row r="3447">
      <c r="A3447" s="154" t="s">
        <v>7796</v>
      </c>
      <c r="B3447" s="154" t="s">
        <v>7798</v>
      </c>
      <c r="D3447" s="154">
        <v>2.0</v>
      </c>
      <c r="E3447" s="154" t="s">
        <v>761</v>
      </c>
      <c r="F3447" s="154" t="s">
        <v>7794</v>
      </c>
      <c r="G3447" s="154">
        <v>5.08703912E8</v>
      </c>
      <c r="H3447" s="156">
        <v>0.0</v>
      </c>
      <c r="I3447" s="154">
        <v>5.57188046E8</v>
      </c>
      <c r="J3447" s="156">
        <v>0.0</v>
      </c>
      <c r="K3447" s="154" t="s">
        <v>760</v>
      </c>
    </row>
    <row r="3448">
      <c r="A3448" s="154" t="s">
        <v>7799</v>
      </c>
      <c r="B3448" s="154" t="s">
        <v>7800</v>
      </c>
      <c r="D3448" s="154">
        <v>2.0</v>
      </c>
      <c r="E3448" s="154" t="s">
        <v>761</v>
      </c>
      <c r="F3448" s="154" t="s">
        <v>7794</v>
      </c>
      <c r="G3448" s="154">
        <v>5.08703912E8</v>
      </c>
      <c r="H3448" s="156">
        <v>0.0</v>
      </c>
      <c r="I3448" s="154">
        <v>5.57188046E8</v>
      </c>
      <c r="J3448" s="156">
        <v>0.0</v>
      </c>
      <c r="K3448" s="154" t="s">
        <v>760</v>
      </c>
    </row>
    <row r="3449">
      <c r="A3449" s="154" t="s">
        <v>7799</v>
      </c>
      <c r="B3449" s="155"/>
      <c r="C3449" s="154" t="s">
        <v>7801</v>
      </c>
      <c r="D3449" s="155"/>
      <c r="E3449" s="155"/>
      <c r="F3449" s="154" t="s">
        <v>7794</v>
      </c>
      <c r="G3449" s="154">
        <v>5.08703912E8</v>
      </c>
      <c r="H3449" s="156">
        <v>0.0</v>
      </c>
      <c r="I3449" s="154">
        <v>5.57188046E8</v>
      </c>
      <c r="J3449" s="156">
        <v>0.0</v>
      </c>
      <c r="K3449" s="154" t="s">
        <v>760</v>
      </c>
    </row>
    <row r="3450">
      <c r="A3450" s="154" t="s">
        <v>7802</v>
      </c>
      <c r="B3450" s="155"/>
      <c r="C3450" s="154" t="s">
        <v>7803</v>
      </c>
      <c r="D3450" s="155"/>
      <c r="E3450" s="155"/>
      <c r="F3450" s="154" t="s">
        <v>7804</v>
      </c>
      <c r="G3450" s="154">
        <v>4.4082462E7</v>
      </c>
      <c r="H3450" s="156">
        <v>0.0</v>
      </c>
      <c r="I3450" s="154">
        <v>5.04572864E8</v>
      </c>
      <c r="J3450" s="156">
        <v>0.0</v>
      </c>
      <c r="K3450" s="154" t="s">
        <v>361</v>
      </c>
    </row>
    <row r="3451">
      <c r="A3451" s="154" t="s">
        <v>7802</v>
      </c>
      <c r="B3451" s="154" t="s">
        <v>7805</v>
      </c>
      <c r="D3451" s="154">
        <v>2.0</v>
      </c>
      <c r="E3451" s="154" t="s">
        <v>761</v>
      </c>
      <c r="F3451" s="154" t="s">
        <v>7804</v>
      </c>
      <c r="G3451" s="154">
        <v>4.4082462E7</v>
      </c>
      <c r="H3451" s="156">
        <v>0.0</v>
      </c>
      <c r="I3451" s="154">
        <v>5.04572864E8</v>
      </c>
      <c r="J3451" s="156">
        <v>0.0</v>
      </c>
      <c r="K3451" s="154" t="s">
        <v>361</v>
      </c>
    </row>
    <row r="3452">
      <c r="A3452" s="154" t="s">
        <v>7806</v>
      </c>
      <c r="B3452" s="155"/>
      <c r="C3452" s="154" t="s">
        <v>7807</v>
      </c>
      <c r="D3452" s="155"/>
      <c r="E3452" s="155"/>
      <c r="F3452" s="154" t="s">
        <v>7808</v>
      </c>
      <c r="G3452" s="154">
        <v>4.4212599E7</v>
      </c>
      <c r="H3452" s="154" t="s">
        <v>7809</v>
      </c>
      <c r="I3452" s="154">
        <v>9.71506318995E11</v>
      </c>
      <c r="J3452" s="156">
        <v>0.0</v>
      </c>
      <c r="K3452" s="154" t="s">
        <v>259</v>
      </c>
    </row>
    <row r="3453">
      <c r="A3453" s="154" t="s">
        <v>7806</v>
      </c>
      <c r="B3453" s="154" t="s">
        <v>7810</v>
      </c>
      <c r="D3453" s="154">
        <v>2.0</v>
      </c>
      <c r="E3453" s="154" t="s">
        <v>761</v>
      </c>
      <c r="F3453" s="154" t="s">
        <v>7808</v>
      </c>
      <c r="G3453" s="154">
        <v>4.4212599E7</v>
      </c>
      <c r="H3453" s="154" t="s">
        <v>7809</v>
      </c>
      <c r="I3453" s="154">
        <v>9.71506318995E11</v>
      </c>
      <c r="J3453" s="156">
        <v>0.0</v>
      </c>
      <c r="K3453" s="154" t="s">
        <v>259</v>
      </c>
    </row>
    <row r="3454">
      <c r="A3454" s="154" t="s">
        <v>7811</v>
      </c>
      <c r="B3454" s="154" t="s">
        <v>7812</v>
      </c>
      <c r="D3454" s="154">
        <v>2.0</v>
      </c>
      <c r="E3454" s="154" t="s">
        <v>761</v>
      </c>
      <c r="F3454" s="154" t="s">
        <v>7808</v>
      </c>
      <c r="G3454" s="154">
        <v>4.4212599E7</v>
      </c>
      <c r="H3454" s="154" t="s">
        <v>7809</v>
      </c>
      <c r="I3454" s="154">
        <v>9.71506318995E11</v>
      </c>
      <c r="J3454" s="156">
        <v>0.0</v>
      </c>
      <c r="K3454" s="154" t="s">
        <v>259</v>
      </c>
    </row>
    <row r="3455">
      <c r="A3455" s="154" t="s">
        <v>7811</v>
      </c>
      <c r="B3455" s="155"/>
      <c r="C3455" s="154" t="s">
        <v>7813</v>
      </c>
      <c r="D3455" s="155"/>
      <c r="E3455" s="155"/>
      <c r="F3455" s="154" t="s">
        <v>7808</v>
      </c>
      <c r="G3455" s="154">
        <v>4.4212599E7</v>
      </c>
      <c r="H3455" s="154" t="s">
        <v>7809</v>
      </c>
      <c r="I3455" s="154">
        <v>9.71506318995E11</v>
      </c>
      <c r="J3455" s="156">
        <v>0.0</v>
      </c>
      <c r="K3455" s="154" t="s">
        <v>259</v>
      </c>
    </row>
    <row r="3456">
      <c r="A3456" s="154" t="s">
        <v>7814</v>
      </c>
      <c r="B3456" s="155"/>
      <c r="C3456" s="154" t="s">
        <v>7815</v>
      </c>
      <c r="D3456" s="155"/>
      <c r="E3456" s="155"/>
      <c r="F3456" s="154" t="s">
        <v>7816</v>
      </c>
      <c r="G3456" s="156">
        <v>0.0</v>
      </c>
      <c r="H3456" s="156">
        <v>0.0</v>
      </c>
      <c r="I3456" s="154" t="s">
        <v>7817</v>
      </c>
      <c r="J3456" s="156">
        <v>0.0</v>
      </c>
      <c r="K3456" s="154" t="s">
        <v>3867</v>
      </c>
    </row>
    <row r="3457">
      <c r="A3457" s="154" t="s">
        <v>7814</v>
      </c>
      <c r="B3457" s="154" t="s">
        <v>7818</v>
      </c>
      <c r="D3457" s="154">
        <v>2.0</v>
      </c>
      <c r="E3457" s="154" t="s">
        <v>761</v>
      </c>
      <c r="F3457" s="154" t="s">
        <v>7816</v>
      </c>
      <c r="G3457" s="156">
        <v>0.0</v>
      </c>
      <c r="H3457" s="156">
        <v>0.0</v>
      </c>
      <c r="I3457" s="154" t="s">
        <v>7817</v>
      </c>
      <c r="J3457" s="156">
        <v>0.0</v>
      </c>
      <c r="K3457" s="154" t="s">
        <v>3867</v>
      </c>
    </row>
    <row r="3458">
      <c r="A3458" s="154" t="s">
        <v>7819</v>
      </c>
      <c r="B3458" s="154" t="s">
        <v>7820</v>
      </c>
      <c r="D3458" s="154">
        <v>2.0</v>
      </c>
      <c r="E3458" s="154" t="s">
        <v>761</v>
      </c>
      <c r="F3458" s="154" t="s">
        <v>4662</v>
      </c>
      <c r="G3458" s="154" t="s">
        <v>4663</v>
      </c>
      <c r="H3458" s="156">
        <v>0.0</v>
      </c>
      <c r="I3458" s="156">
        <v>0.0</v>
      </c>
      <c r="J3458" s="156">
        <v>0.0</v>
      </c>
      <c r="K3458" s="156">
        <v>0.0</v>
      </c>
    </row>
    <row r="3459">
      <c r="A3459" s="154" t="s">
        <v>7819</v>
      </c>
      <c r="B3459" s="155"/>
      <c r="C3459" s="154" t="s">
        <v>7821</v>
      </c>
      <c r="D3459" s="155"/>
      <c r="E3459" s="155"/>
      <c r="F3459" s="154" t="s">
        <v>4662</v>
      </c>
      <c r="G3459" s="154" t="s">
        <v>4663</v>
      </c>
      <c r="H3459" s="156">
        <v>0.0</v>
      </c>
      <c r="I3459" s="156">
        <v>0.0</v>
      </c>
      <c r="J3459" s="156">
        <v>0.0</v>
      </c>
      <c r="K3459" s="156">
        <v>0.0</v>
      </c>
    </row>
    <row r="3460">
      <c r="A3460" s="154" t="s">
        <v>7822</v>
      </c>
      <c r="B3460" s="154" t="s">
        <v>7823</v>
      </c>
      <c r="D3460" s="154">
        <v>2.0</v>
      </c>
      <c r="E3460" s="154" t="s">
        <v>761</v>
      </c>
      <c r="F3460" s="154" t="s">
        <v>7824</v>
      </c>
      <c r="G3460" s="154">
        <v>6652323.0</v>
      </c>
      <c r="H3460" s="156">
        <v>0.0</v>
      </c>
      <c r="I3460" s="154">
        <v>5.07517106E8</v>
      </c>
      <c r="J3460" s="156">
        <v>0.0</v>
      </c>
      <c r="K3460" s="154" t="s">
        <v>240</v>
      </c>
    </row>
    <row r="3461">
      <c r="A3461" s="154" t="s">
        <v>7822</v>
      </c>
      <c r="B3461" s="155"/>
      <c r="C3461" s="154" t="s">
        <v>7825</v>
      </c>
      <c r="D3461" s="155"/>
      <c r="E3461" s="155"/>
      <c r="F3461" s="154" t="s">
        <v>7824</v>
      </c>
      <c r="G3461" s="154">
        <v>6652323.0</v>
      </c>
      <c r="H3461" s="156">
        <v>0.0</v>
      </c>
      <c r="I3461" s="154">
        <v>5.07517106E8</v>
      </c>
      <c r="J3461" s="156">
        <v>0.0</v>
      </c>
      <c r="K3461" s="154" t="s">
        <v>240</v>
      </c>
    </row>
    <row r="3462">
      <c r="A3462" s="154" t="s">
        <v>7826</v>
      </c>
      <c r="B3462" s="154" t="s">
        <v>7827</v>
      </c>
      <c r="D3462" s="154">
        <v>2.0</v>
      </c>
      <c r="E3462" s="154" t="s">
        <v>761</v>
      </c>
      <c r="F3462" s="154" t="s">
        <v>7828</v>
      </c>
      <c r="G3462" s="154">
        <v>0.0</v>
      </c>
      <c r="H3462" s="156">
        <v>0.0</v>
      </c>
      <c r="I3462" s="154">
        <v>9.71504764877E11</v>
      </c>
      <c r="J3462" s="156">
        <v>0.0</v>
      </c>
      <c r="K3462" s="154" t="s">
        <v>259</v>
      </c>
    </row>
    <row r="3463">
      <c r="A3463" s="154" t="s">
        <v>7826</v>
      </c>
      <c r="B3463" s="155"/>
      <c r="C3463" s="154" t="s">
        <v>7827</v>
      </c>
      <c r="D3463" s="155"/>
      <c r="E3463" s="155"/>
      <c r="F3463" s="154" t="s">
        <v>7828</v>
      </c>
      <c r="G3463" s="154">
        <v>0.0</v>
      </c>
      <c r="H3463" s="156">
        <v>0.0</v>
      </c>
      <c r="I3463" s="154">
        <v>9.71504764877E11</v>
      </c>
      <c r="J3463" s="156">
        <v>0.0</v>
      </c>
      <c r="K3463" s="154" t="s">
        <v>259</v>
      </c>
    </row>
    <row r="3464">
      <c r="A3464" s="154" t="s">
        <v>7829</v>
      </c>
      <c r="B3464" s="154" t="s">
        <v>7830</v>
      </c>
      <c r="D3464" s="154">
        <v>2.0</v>
      </c>
      <c r="E3464" s="154" t="s">
        <v>761</v>
      </c>
      <c r="F3464" s="154" t="s">
        <v>7831</v>
      </c>
      <c r="G3464" s="154" t="s">
        <v>7832</v>
      </c>
      <c r="H3464" s="156">
        <v>0.0</v>
      </c>
      <c r="I3464" s="154" t="s">
        <v>7833</v>
      </c>
      <c r="J3464" s="154" t="s">
        <v>7832</v>
      </c>
      <c r="K3464" s="154" t="s">
        <v>760</v>
      </c>
    </row>
    <row r="3465">
      <c r="A3465" s="154" t="s">
        <v>7829</v>
      </c>
      <c r="B3465" s="155"/>
      <c r="C3465" s="154" t="s">
        <v>7830</v>
      </c>
      <c r="D3465" s="155"/>
      <c r="E3465" s="155"/>
      <c r="F3465" s="154" t="s">
        <v>7834</v>
      </c>
      <c r="G3465" s="154" t="s">
        <v>7832</v>
      </c>
      <c r="H3465" s="156">
        <v>0.0</v>
      </c>
      <c r="I3465" s="154" t="s">
        <v>7833</v>
      </c>
      <c r="J3465" s="154" t="s">
        <v>7832</v>
      </c>
      <c r="K3465" s="154" t="s">
        <v>760</v>
      </c>
    </row>
    <row r="3466">
      <c r="A3466" s="154" t="s">
        <v>7835</v>
      </c>
      <c r="B3466" s="155"/>
      <c r="C3466" s="154" t="s">
        <v>7836</v>
      </c>
      <c r="D3466" s="155"/>
      <c r="E3466" s="155"/>
      <c r="F3466" s="154" t="s">
        <v>7837</v>
      </c>
      <c r="G3466" s="156">
        <v>0.0</v>
      </c>
      <c r="H3466" s="156">
        <v>0.0</v>
      </c>
      <c r="I3466" s="154">
        <v>9.71503530053E11</v>
      </c>
      <c r="J3466" s="156">
        <v>0.0</v>
      </c>
      <c r="K3466" s="154" t="s">
        <v>361</v>
      </c>
    </row>
    <row r="3467">
      <c r="A3467" s="154" t="s">
        <v>7835</v>
      </c>
      <c r="B3467" s="154" t="s">
        <v>7836</v>
      </c>
      <c r="D3467" s="154">
        <v>2.0</v>
      </c>
      <c r="E3467" s="154" t="s">
        <v>761</v>
      </c>
      <c r="F3467" s="154" t="s">
        <v>7837</v>
      </c>
      <c r="G3467" s="156">
        <v>0.0</v>
      </c>
      <c r="H3467" s="156">
        <v>0.0</v>
      </c>
      <c r="I3467" s="154">
        <v>9.71503530053E11</v>
      </c>
      <c r="J3467" s="156">
        <v>0.0</v>
      </c>
      <c r="K3467" s="154" t="s">
        <v>361</v>
      </c>
    </row>
    <row r="3468">
      <c r="A3468" s="154" t="s">
        <v>7838</v>
      </c>
      <c r="B3468" s="155"/>
      <c r="C3468" s="154" t="s">
        <v>7839</v>
      </c>
      <c r="D3468" s="155"/>
      <c r="E3468" s="155"/>
      <c r="F3468" s="154" t="s">
        <v>7840</v>
      </c>
      <c r="G3468" s="154">
        <v>4.3746938E7</v>
      </c>
      <c r="H3468" s="154" t="s">
        <v>7841</v>
      </c>
      <c r="I3468" s="154">
        <v>9.71506517059E11</v>
      </c>
      <c r="J3468" s="156">
        <v>0.0</v>
      </c>
      <c r="K3468" s="154" t="s">
        <v>1408</v>
      </c>
    </row>
    <row r="3469">
      <c r="A3469" s="154" t="s">
        <v>7838</v>
      </c>
      <c r="B3469" s="154" t="s">
        <v>7839</v>
      </c>
      <c r="D3469" s="154">
        <v>2.0</v>
      </c>
      <c r="E3469" s="154" t="s">
        <v>761</v>
      </c>
      <c r="F3469" s="154" t="s">
        <v>7840</v>
      </c>
      <c r="G3469" s="154">
        <v>4.3746938E7</v>
      </c>
      <c r="H3469" s="154" t="s">
        <v>7841</v>
      </c>
      <c r="I3469" s="154">
        <v>9.71506517059E11</v>
      </c>
      <c r="J3469" s="156">
        <v>0.0</v>
      </c>
      <c r="K3469" s="154" t="s">
        <v>1408</v>
      </c>
    </row>
    <row r="3470">
      <c r="A3470" s="154" t="s">
        <v>7842</v>
      </c>
      <c r="B3470" s="155"/>
      <c r="C3470" s="154" t="s">
        <v>7843</v>
      </c>
      <c r="D3470" s="155"/>
      <c r="E3470" s="155"/>
      <c r="F3470" s="154" t="s">
        <v>7844</v>
      </c>
      <c r="G3470" s="156">
        <v>0.0</v>
      </c>
      <c r="H3470" s="156">
        <v>0.0</v>
      </c>
      <c r="I3470" s="154">
        <v>5.69382852E8</v>
      </c>
      <c r="J3470" s="156">
        <v>0.0</v>
      </c>
      <c r="K3470" s="154" t="s">
        <v>207</v>
      </c>
    </row>
    <row r="3471">
      <c r="A3471" s="154" t="s">
        <v>7842</v>
      </c>
      <c r="B3471" s="154" t="s">
        <v>7843</v>
      </c>
      <c r="D3471" s="154">
        <v>2.0</v>
      </c>
      <c r="E3471" s="154" t="s">
        <v>761</v>
      </c>
      <c r="F3471" s="154" t="s">
        <v>7844</v>
      </c>
      <c r="G3471" s="156">
        <v>0.0</v>
      </c>
      <c r="H3471" s="156">
        <v>0.0</v>
      </c>
      <c r="I3471" s="154">
        <v>5.69382852E8</v>
      </c>
      <c r="J3471" s="156">
        <v>0.0</v>
      </c>
      <c r="K3471" s="154" t="s">
        <v>207</v>
      </c>
    </row>
    <row r="3472">
      <c r="A3472" s="154" t="s">
        <v>7845</v>
      </c>
      <c r="B3472" s="154" t="s">
        <v>7846</v>
      </c>
      <c r="D3472" s="154">
        <v>2.0</v>
      </c>
      <c r="E3472" s="154" t="s">
        <v>761</v>
      </c>
      <c r="F3472" s="154" t="s">
        <v>7847</v>
      </c>
      <c r="G3472" s="154">
        <v>5.04571472E8</v>
      </c>
      <c r="H3472" s="156">
        <v>0.0</v>
      </c>
      <c r="I3472" s="154">
        <v>5.04571472E8</v>
      </c>
      <c r="J3472" s="156">
        <v>0.0</v>
      </c>
      <c r="K3472" s="154" t="s">
        <v>760</v>
      </c>
    </row>
    <row r="3473">
      <c r="A3473" s="154" t="s">
        <v>7845</v>
      </c>
      <c r="B3473" s="155"/>
      <c r="C3473" s="154" t="s">
        <v>7846</v>
      </c>
      <c r="D3473" s="155"/>
      <c r="E3473" s="155"/>
      <c r="F3473" s="154" t="s">
        <v>7847</v>
      </c>
      <c r="G3473" s="154">
        <v>5.04571472E8</v>
      </c>
      <c r="H3473" s="156">
        <v>0.0</v>
      </c>
      <c r="I3473" s="154">
        <v>5.04571472E8</v>
      </c>
      <c r="J3473" s="156">
        <v>0.0</v>
      </c>
      <c r="K3473" s="154" t="s">
        <v>760</v>
      </c>
    </row>
    <row r="3474">
      <c r="A3474" s="154" t="s">
        <v>7848</v>
      </c>
      <c r="B3474" s="155"/>
      <c r="C3474" s="154" t="s">
        <v>7849</v>
      </c>
      <c r="D3474" s="155"/>
      <c r="E3474" s="155"/>
      <c r="F3474" s="154" t="s">
        <v>7850</v>
      </c>
      <c r="G3474" s="154">
        <v>5.0857206E8</v>
      </c>
      <c r="H3474" s="156">
        <v>0.0</v>
      </c>
      <c r="I3474" s="156">
        <v>0.0</v>
      </c>
      <c r="J3474" s="156">
        <v>0.0</v>
      </c>
      <c r="K3474" s="154" t="s">
        <v>760</v>
      </c>
    </row>
    <row r="3475">
      <c r="A3475" s="154" t="s">
        <v>7848</v>
      </c>
      <c r="B3475" s="154" t="s">
        <v>7849</v>
      </c>
      <c r="D3475" s="154">
        <v>2.0</v>
      </c>
      <c r="E3475" s="154" t="s">
        <v>761</v>
      </c>
      <c r="F3475" s="154" t="s">
        <v>7850</v>
      </c>
      <c r="G3475" s="154">
        <v>5.0857206E8</v>
      </c>
      <c r="H3475" s="156">
        <v>0.0</v>
      </c>
      <c r="I3475" s="156">
        <v>0.0</v>
      </c>
      <c r="J3475" s="156">
        <v>0.0</v>
      </c>
      <c r="K3475" s="154" t="s">
        <v>760</v>
      </c>
    </row>
    <row r="3476">
      <c r="A3476" s="154" t="s">
        <v>7851</v>
      </c>
      <c r="B3476" s="154" t="s">
        <v>7852</v>
      </c>
      <c r="D3476" s="154">
        <v>2.0</v>
      </c>
      <c r="E3476" s="154" t="s">
        <v>761</v>
      </c>
      <c r="F3476" s="154" t="s">
        <v>7853</v>
      </c>
      <c r="G3476" s="154">
        <v>1.0</v>
      </c>
      <c r="H3476" s="156">
        <v>0.0</v>
      </c>
      <c r="I3476" s="156">
        <v>0.0</v>
      </c>
      <c r="J3476" s="156">
        <v>0.0</v>
      </c>
      <c r="K3476" s="156">
        <v>0.0</v>
      </c>
    </row>
    <row r="3477">
      <c r="A3477" s="154" t="s">
        <v>7851</v>
      </c>
      <c r="B3477" s="155"/>
      <c r="C3477" s="154" t="s">
        <v>7852</v>
      </c>
      <c r="D3477" s="155"/>
      <c r="E3477" s="155"/>
      <c r="F3477" s="154" t="s">
        <v>7853</v>
      </c>
      <c r="G3477" s="154">
        <v>1.0</v>
      </c>
      <c r="H3477" s="156">
        <v>0.0</v>
      </c>
      <c r="I3477" s="156">
        <v>0.0</v>
      </c>
      <c r="J3477" s="156">
        <v>0.0</v>
      </c>
      <c r="K3477" s="156">
        <v>0.0</v>
      </c>
    </row>
    <row r="3478">
      <c r="A3478" s="154" t="s">
        <v>7854</v>
      </c>
      <c r="B3478" s="154" t="s">
        <v>7855</v>
      </c>
      <c r="D3478" s="154">
        <v>2.0</v>
      </c>
      <c r="E3478" s="154" t="s">
        <v>761</v>
      </c>
      <c r="F3478" s="154" t="s">
        <v>7856</v>
      </c>
      <c r="G3478" s="154">
        <v>5.6115242E8</v>
      </c>
      <c r="H3478" s="156">
        <v>0.0</v>
      </c>
      <c r="I3478" s="156">
        <v>0.0</v>
      </c>
      <c r="J3478" s="156">
        <v>0.0</v>
      </c>
      <c r="K3478" s="154" t="s">
        <v>259</v>
      </c>
    </row>
    <row r="3479">
      <c r="A3479" s="154" t="s">
        <v>7854</v>
      </c>
      <c r="B3479" s="155"/>
      <c r="C3479" s="154" t="s">
        <v>7855</v>
      </c>
      <c r="D3479" s="155"/>
      <c r="E3479" s="155"/>
      <c r="F3479" s="154" t="s">
        <v>7857</v>
      </c>
      <c r="G3479" s="154">
        <v>5.6115242E8</v>
      </c>
      <c r="H3479" s="156">
        <v>0.0</v>
      </c>
      <c r="I3479" s="156">
        <v>0.0</v>
      </c>
      <c r="J3479" s="156">
        <v>0.0</v>
      </c>
      <c r="K3479" s="154" t="s">
        <v>939</v>
      </c>
    </row>
    <row r="3480">
      <c r="A3480" s="154" t="s">
        <v>7858</v>
      </c>
      <c r="B3480" s="155"/>
      <c r="C3480" s="154" t="s">
        <v>7859</v>
      </c>
      <c r="D3480" s="155"/>
      <c r="E3480" s="155"/>
      <c r="F3480" s="154" t="s">
        <v>7860</v>
      </c>
      <c r="G3480" s="156">
        <v>0.0</v>
      </c>
      <c r="H3480" s="154" t="s">
        <v>7861</v>
      </c>
      <c r="I3480" s="154" t="s">
        <v>7862</v>
      </c>
      <c r="J3480" s="154" t="s">
        <v>7863</v>
      </c>
      <c r="K3480" s="154" t="s">
        <v>7864</v>
      </c>
    </row>
    <row r="3481">
      <c r="A3481" s="154" t="s">
        <v>7858</v>
      </c>
      <c r="B3481" s="154" t="s">
        <v>7859</v>
      </c>
      <c r="C3481" s="155"/>
      <c r="D3481" s="154">
        <v>2.0</v>
      </c>
      <c r="E3481" s="154" t="s">
        <v>1237</v>
      </c>
      <c r="F3481" s="154" t="s">
        <v>7860</v>
      </c>
      <c r="G3481" s="156">
        <v>0.0</v>
      </c>
      <c r="H3481" s="154" t="s">
        <v>7861</v>
      </c>
      <c r="I3481" s="154" t="s">
        <v>7862</v>
      </c>
      <c r="J3481" s="154" t="s">
        <v>7863</v>
      </c>
      <c r="K3481" s="154" t="s">
        <v>7864</v>
      </c>
    </row>
    <row r="3482">
      <c r="A3482" s="154" t="s">
        <v>7865</v>
      </c>
      <c r="B3482" s="154" t="s">
        <v>7866</v>
      </c>
      <c r="C3482" s="155"/>
      <c r="D3482" s="154">
        <v>2.0</v>
      </c>
      <c r="E3482" s="154" t="s">
        <v>1237</v>
      </c>
      <c r="F3482" s="154" t="s">
        <v>4260</v>
      </c>
      <c r="G3482" s="156">
        <v>0.0</v>
      </c>
      <c r="H3482" s="154" t="s">
        <v>4261</v>
      </c>
      <c r="I3482" s="154" t="s">
        <v>4262</v>
      </c>
      <c r="J3482" s="156">
        <v>0.0</v>
      </c>
      <c r="K3482" s="154" t="s">
        <v>1196</v>
      </c>
    </row>
    <row r="3483">
      <c r="A3483" s="154" t="s">
        <v>7865</v>
      </c>
      <c r="B3483" s="155"/>
      <c r="C3483" s="154" t="s">
        <v>7866</v>
      </c>
      <c r="D3483" s="155"/>
      <c r="E3483" s="155"/>
      <c r="F3483" s="154" t="s">
        <v>4260</v>
      </c>
      <c r="G3483" s="156">
        <v>0.0</v>
      </c>
      <c r="H3483" s="154" t="s">
        <v>4261</v>
      </c>
      <c r="I3483" s="154" t="s">
        <v>4262</v>
      </c>
      <c r="J3483" s="156">
        <v>0.0</v>
      </c>
      <c r="K3483" s="154" t="s">
        <v>1196</v>
      </c>
    </row>
    <row r="3484">
      <c r="A3484" s="154" t="s">
        <v>7867</v>
      </c>
      <c r="B3484" s="154" t="s">
        <v>7868</v>
      </c>
      <c r="C3484" s="155"/>
      <c r="D3484" s="154">
        <v>2.0</v>
      </c>
      <c r="E3484" s="154" t="s">
        <v>1237</v>
      </c>
      <c r="F3484" s="154" t="s">
        <v>7869</v>
      </c>
      <c r="G3484" s="156">
        <v>0.0</v>
      </c>
      <c r="H3484" s="156">
        <v>0.0</v>
      </c>
      <c r="I3484" s="154" t="s">
        <v>7870</v>
      </c>
      <c r="J3484" s="154" t="s">
        <v>7871</v>
      </c>
      <c r="K3484" s="154" t="s">
        <v>939</v>
      </c>
    </row>
    <row r="3485">
      <c r="A3485" s="154" t="s">
        <v>7867</v>
      </c>
      <c r="B3485" s="155"/>
      <c r="C3485" s="154" t="s">
        <v>7868</v>
      </c>
      <c r="D3485" s="155"/>
      <c r="E3485" s="155"/>
      <c r="F3485" s="154" t="s">
        <v>7869</v>
      </c>
      <c r="G3485" s="156">
        <v>0.0</v>
      </c>
      <c r="H3485" s="156">
        <v>0.0</v>
      </c>
      <c r="I3485" s="154" t="s">
        <v>7870</v>
      </c>
      <c r="J3485" s="154" t="s">
        <v>7871</v>
      </c>
      <c r="K3485" s="154" t="s">
        <v>939</v>
      </c>
    </row>
    <row r="3486">
      <c r="A3486" s="154" t="s">
        <v>7872</v>
      </c>
      <c r="B3486" s="155"/>
      <c r="C3486" s="154" t="s">
        <v>7873</v>
      </c>
      <c r="D3486" s="155"/>
      <c r="E3486" s="155"/>
      <c r="F3486" s="154" t="s">
        <v>7874</v>
      </c>
      <c r="G3486" s="154">
        <v>971.0</v>
      </c>
      <c r="H3486" s="156">
        <v>0.0</v>
      </c>
      <c r="I3486" s="154" t="s">
        <v>2408</v>
      </c>
      <c r="J3486" s="154" t="s">
        <v>7875</v>
      </c>
      <c r="K3486" s="154" t="s">
        <v>939</v>
      </c>
    </row>
    <row r="3487">
      <c r="A3487" s="154" t="s">
        <v>7872</v>
      </c>
      <c r="B3487" s="154" t="s">
        <v>7873</v>
      </c>
      <c r="C3487" s="155"/>
      <c r="D3487" s="154">
        <v>2.0</v>
      </c>
      <c r="E3487" s="154" t="s">
        <v>1237</v>
      </c>
      <c r="F3487" s="154" t="s">
        <v>7874</v>
      </c>
      <c r="G3487" s="154">
        <v>971.0</v>
      </c>
      <c r="H3487" s="156">
        <v>0.0</v>
      </c>
      <c r="I3487" s="154" t="s">
        <v>2408</v>
      </c>
      <c r="J3487" s="154" t="s">
        <v>7875</v>
      </c>
      <c r="K3487" s="154" t="s">
        <v>939</v>
      </c>
    </row>
    <row r="3488">
      <c r="A3488" s="154" t="s">
        <v>7876</v>
      </c>
      <c r="B3488" s="155"/>
      <c r="C3488" s="154" t="s">
        <v>7877</v>
      </c>
      <c r="D3488" s="155"/>
      <c r="E3488" s="155"/>
      <c r="F3488" s="154" t="s">
        <v>7878</v>
      </c>
      <c r="G3488" s="156">
        <v>0.0</v>
      </c>
      <c r="H3488" s="154" t="s">
        <v>7879</v>
      </c>
      <c r="I3488" s="154" t="s">
        <v>7880</v>
      </c>
      <c r="J3488" s="156">
        <v>0.0</v>
      </c>
      <c r="K3488" s="154" t="s">
        <v>259</v>
      </c>
    </row>
    <row r="3489">
      <c r="A3489" s="154" t="s">
        <v>7876</v>
      </c>
      <c r="B3489" s="154" t="s">
        <v>7877</v>
      </c>
      <c r="C3489" s="155"/>
      <c r="D3489" s="154">
        <v>2.0</v>
      </c>
      <c r="E3489" s="154" t="s">
        <v>1237</v>
      </c>
      <c r="F3489" s="154" t="s">
        <v>7881</v>
      </c>
      <c r="G3489" s="154" t="s">
        <v>7882</v>
      </c>
      <c r="H3489" s="154" t="s">
        <v>7879</v>
      </c>
      <c r="I3489" s="154" t="s">
        <v>7883</v>
      </c>
      <c r="J3489" s="154" t="s">
        <v>7882</v>
      </c>
      <c r="K3489" s="154" t="s">
        <v>259</v>
      </c>
    </row>
    <row r="3490">
      <c r="A3490" s="154" t="s">
        <v>7884</v>
      </c>
      <c r="B3490" s="154" t="s">
        <v>7885</v>
      </c>
      <c r="C3490" s="155"/>
      <c r="D3490" s="154">
        <v>2.0</v>
      </c>
      <c r="E3490" s="154" t="s">
        <v>1237</v>
      </c>
      <c r="F3490" s="154" t="s">
        <v>7886</v>
      </c>
      <c r="G3490" s="154">
        <v>5.05988699E8</v>
      </c>
      <c r="H3490" s="156">
        <v>0.0</v>
      </c>
      <c r="I3490" s="154">
        <v>5.05988699E8</v>
      </c>
      <c r="J3490" s="156">
        <v>0.0</v>
      </c>
      <c r="K3490" s="154" t="s">
        <v>884</v>
      </c>
    </row>
    <row r="3491">
      <c r="A3491" s="154" t="s">
        <v>7884</v>
      </c>
      <c r="B3491" s="155"/>
      <c r="C3491" s="154" t="s">
        <v>7885</v>
      </c>
      <c r="D3491" s="155"/>
      <c r="E3491" s="155"/>
      <c r="F3491" s="154" t="s">
        <v>7886</v>
      </c>
      <c r="G3491" s="154">
        <v>5.05988699E8</v>
      </c>
      <c r="H3491" s="156">
        <v>0.0</v>
      </c>
      <c r="I3491" s="154">
        <v>5.05988699E8</v>
      </c>
      <c r="J3491" s="156">
        <v>0.0</v>
      </c>
      <c r="K3491" s="154" t="s">
        <v>884</v>
      </c>
    </row>
    <row r="3492">
      <c r="A3492" s="154" t="s">
        <v>7887</v>
      </c>
      <c r="B3492" s="154" t="s">
        <v>7888</v>
      </c>
      <c r="C3492" s="155"/>
      <c r="D3492" s="154">
        <v>2.0</v>
      </c>
      <c r="E3492" s="154" t="s">
        <v>1237</v>
      </c>
      <c r="F3492" s="154" t="s">
        <v>7889</v>
      </c>
      <c r="G3492" s="154">
        <v>3622292.0</v>
      </c>
      <c r="H3492" s="156">
        <v>0.0</v>
      </c>
      <c r="I3492" s="154">
        <v>0.0</v>
      </c>
      <c r="J3492" s="156">
        <v>0.0</v>
      </c>
      <c r="K3492" s="154" t="s">
        <v>259</v>
      </c>
    </row>
    <row r="3493">
      <c r="A3493" s="154" t="s">
        <v>7887</v>
      </c>
      <c r="B3493" s="155"/>
      <c r="C3493" s="154" t="s">
        <v>7888</v>
      </c>
      <c r="D3493" s="155"/>
      <c r="E3493" s="155"/>
      <c r="F3493" s="154" t="s">
        <v>7889</v>
      </c>
      <c r="G3493" s="154">
        <v>3622292.0</v>
      </c>
      <c r="H3493" s="156">
        <v>0.0</v>
      </c>
      <c r="I3493" s="154">
        <v>0.0</v>
      </c>
      <c r="J3493" s="156">
        <v>0.0</v>
      </c>
      <c r="K3493" s="154" t="s">
        <v>259</v>
      </c>
    </row>
    <row r="3494">
      <c r="A3494" s="154" t="s">
        <v>7890</v>
      </c>
      <c r="B3494" s="155"/>
      <c r="C3494" s="154" t="s">
        <v>7891</v>
      </c>
      <c r="D3494" s="155"/>
      <c r="E3494" s="155"/>
      <c r="F3494" s="154" t="s">
        <v>7892</v>
      </c>
      <c r="G3494" s="154">
        <v>5.85806606E8</v>
      </c>
      <c r="H3494" s="156">
        <v>0.0</v>
      </c>
      <c r="I3494" s="156">
        <v>0.0</v>
      </c>
      <c r="J3494" s="156">
        <v>0.0</v>
      </c>
      <c r="K3494" s="156">
        <v>0.0</v>
      </c>
    </row>
    <row r="3495">
      <c r="A3495" s="154" t="s">
        <v>7890</v>
      </c>
      <c r="B3495" s="154" t="s">
        <v>7891</v>
      </c>
      <c r="C3495" s="155"/>
      <c r="D3495" s="154">
        <v>2.0</v>
      </c>
      <c r="E3495" s="154" t="s">
        <v>1237</v>
      </c>
      <c r="F3495" s="154" t="s">
        <v>7892</v>
      </c>
      <c r="G3495" s="154">
        <v>5.85806606E8</v>
      </c>
      <c r="H3495" s="156">
        <v>0.0</v>
      </c>
      <c r="I3495" s="156">
        <v>0.0</v>
      </c>
      <c r="J3495" s="156">
        <v>0.0</v>
      </c>
      <c r="K3495" s="156">
        <v>0.0</v>
      </c>
    </row>
    <row r="3496">
      <c r="A3496" s="154" t="s">
        <v>7893</v>
      </c>
      <c r="B3496" s="154" t="s">
        <v>7894</v>
      </c>
      <c r="C3496" s="155"/>
      <c r="D3496" s="154">
        <v>2.0</v>
      </c>
      <c r="E3496" s="154" t="s">
        <v>1237</v>
      </c>
      <c r="F3496" s="154" t="s">
        <v>849</v>
      </c>
      <c r="G3496" s="154" t="s">
        <v>850</v>
      </c>
      <c r="H3496" s="154" t="s">
        <v>851</v>
      </c>
      <c r="I3496" s="156">
        <v>0.0</v>
      </c>
      <c r="J3496" s="156">
        <v>0.0</v>
      </c>
      <c r="K3496" s="156">
        <v>0.0</v>
      </c>
    </row>
    <row r="3497">
      <c r="A3497" s="154" t="s">
        <v>7893</v>
      </c>
      <c r="B3497" s="155"/>
      <c r="C3497" s="154" t="s">
        <v>7894</v>
      </c>
      <c r="D3497" s="155"/>
      <c r="E3497" s="155"/>
      <c r="F3497" s="154" t="s">
        <v>7895</v>
      </c>
      <c r="G3497" s="154">
        <v>0.0</v>
      </c>
      <c r="H3497" s="156">
        <v>0.0</v>
      </c>
      <c r="I3497" s="154">
        <v>5.07901253E8</v>
      </c>
      <c r="J3497" s="156">
        <v>0.0</v>
      </c>
      <c r="K3497" s="154" t="s">
        <v>361</v>
      </c>
    </row>
    <row r="3498">
      <c r="A3498" s="154" t="s">
        <v>7896</v>
      </c>
      <c r="B3498" s="154" t="s">
        <v>7897</v>
      </c>
      <c r="C3498" s="155"/>
      <c r="D3498" s="154">
        <v>2.0</v>
      </c>
      <c r="E3498" s="154" t="s">
        <v>1237</v>
      </c>
      <c r="F3498" s="154" t="s">
        <v>7898</v>
      </c>
      <c r="G3498" s="156">
        <v>0.0</v>
      </c>
      <c r="H3498" s="156">
        <v>0.0</v>
      </c>
      <c r="I3498" s="154" t="s">
        <v>7899</v>
      </c>
      <c r="J3498" s="154" t="s">
        <v>809</v>
      </c>
      <c r="K3498" s="154" t="s">
        <v>760</v>
      </c>
    </row>
    <row r="3499">
      <c r="A3499" s="154" t="s">
        <v>7896</v>
      </c>
      <c r="B3499" s="155"/>
      <c r="C3499" s="154" t="s">
        <v>7897</v>
      </c>
      <c r="D3499" s="155"/>
      <c r="E3499" s="155"/>
      <c r="F3499" s="154" t="s">
        <v>3703</v>
      </c>
      <c r="G3499" s="154">
        <v>5.0851975E8</v>
      </c>
      <c r="H3499" s="154" t="s">
        <v>3704</v>
      </c>
      <c r="I3499" s="156">
        <v>0.0</v>
      </c>
      <c r="J3499" s="156">
        <v>0.0</v>
      </c>
      <c r="K3499" s="156">
        <v>0.0</v>
      </c>
    </row>
    <row r="3500">
      <c r="A3500" s="154" t="s">
        <v>7900</v>
      </c>
      <c r="B3500" s="155"/>
      <c r="C3500" s="154" t="s">
        <v>7901</v>
      </c>
      <c r="D3500" s="155"/>
      <c r="E3500" s="155"/>
      <c r="F3500" s="154" t="s">
        <v>7902</v>
      </c>
      <c r="G3500" s="154">
        <v>4.8812222E7</v>
      </c>
      <c r="H3500" s="156">
        <v>0.0</v>
      </c>
      <c r="I3500" s="156">
        <v>0.0</v>
      </c>
      <c r="J3500" s="156">
        <v>0.0</v>
      </c>
      <c r="K3500" s="154" t="s">
        <v>240</v>
      </c>
    </row>
    <row r="3501">
      <c r="A3501" s="154" t="s">
        <v>7900</v>
      </c>
      <c r="B3501" s="154" t="s">
        <v>7901</v>
      </c>
      <c r="C3501" s="155"/>
      <c r="D3501" s="154">
        <v>2.0</v>
      </c>
      <c r="E3501" s="154" t="s">
        <v>1237</v>
      </c>
      <c r="F3501" s="154" t="s">
        <v>849</v>
      </c>
      <c r="G3501" s="154" t="s">
        <v>850</v>
      </c>
      <c r="H3501" s="154" t="s">
        <v>851</v>
      </c>
      <c r="I3501" s="156">
        <v>0.0</v>
      </c>
      <c r="J3501" s="156">
        <v>0.0</v>
      </c>
      <c r="K3501" s="156">
        <v>0.0</v>
      </c>
    </row>
    <row r="3502">
      <c r="A3502" s="154" t="s">
        <v>7903</v>
      </c>
      <c r="B3502" s="154" t="s">
        <v>7904</v>
      </c>
      <c r="C3502" s="155"/>
      <c r="D3502" s="154">
        <v>2.0</v>
      </c>
      <c r="E3502" s="154" t="s">
        <v>1237</v>
      </c>
      <c r="F3502" s="154" t="s">
        <v>7905</v>
      </c>
      <c r="G3502" s="154">
        <v>5.06510684E8</v>
      </c>
      <c r="H3502" s="156">
        <v>0.0</v>
      </c>
      <c r="I3502" s="154">
        <v>0.0</v>
      </c>
      <c r="J3502" s="156">
        <v>0.0</v>
      </c>
      <c r="K3502" s="154" t="s">
        <v>329</v>
      </c>
    </row>
    <row r="3503">
      <c r="A3503" s="154" t="s">
        <v>7903</v>
      </c>
      <c r="B3503" s="155"/>
      <c r="C3503" s="154" t="s">
        <v>7904</v>
      </c>
      <c r="D3503" s="155"/>
      <c r="E3503" s="155"/>
      <c r="F3503" s="154" t="s">
        <v>7905</v>
      </c>
      <c r="G3503" s="154">
        <v>5.06510684E8</v>
      </c>
      <c r="H3503" s="156">
        <v>0.0</v>
      </c>
      <c r="I3503" s="154">
        <v>0.0</v>
      </c>
      <c r="J3503" s="156">
        <v>0.0</v>
      </c>
      <c r="K3503" s="154" t="s">
        <v>329</v>
      </c>
    </row>
    <row r="3504">
      <c r="A3504" s="154" t="s">
        <v>7906</v>
      </c>
      <c r="B3504" s="155"/>
      <c r="C3504" s="154" t="s">
        <v>7907</v>
      </c>
      <c r="D3504" s="155"/>
      <c r="E3504" s="155"/>
      <c r="F3504" s="154" t="s">
        <v>7908</v>
      </c>
      <c r="G3504" s="156">
        <v>0.0</v>
      </c>
      <c r="H3504" s="154" t="s">
        <v>7909</v>
      </c>
      <c r="I3504" s="154" t="s">
        <v>7910</v>
      </c>
      <c r="J3504" s="156">
        <v>0.0</v>
      </c>
      <c r="K3504" s="154" t="s">
        <v>1731</v>
      </c>
    </row>
    <row r="3505">
      <c r="A3505" s="154" t="s">
        <v>7906</v>
      </c>
      <c r="B3505" s="154" t="s">
        <v>7907</v>
      </c>
      <c r="C3505" s="155"/>
      <c r="D3505" s="154">
        <v>2.0</v>
      </c>
      <c r="E3505" s="154" t="s">
        <v>1237</v>
      </c>
      <c r="F3505" s="154" t="s">
        <v>7908</v>
      </c>
      <c r="G3505" s="156">
        <v>0.0</v>
      </c>
      <c r="H3505" s="154" t="s">
        <v>7909</v>
      </c>
      <c r="I3505" s="154" t="s">
        <v>7910</v>
      </c>
      <c r="J3505" s="156">
        <v>0.0</v>
      </c>
      <c r="K3505" s="154" t="s">
        <v>1731</v>
      </c>
    </row>
    <row r="3506">
      <c r="A3506" s="154" t="s">
        <v>7911</v>
      </c>
      <c r="B3506" s="155"/>
      <c r="C3506" s="154" t="s">
        <v>7912</v>
      </c>
      <c r="D3506" s="155"/>
      <c r="E3506" s="155"/>
      <c r="F3506" s="154" t="s">
        <v>7913</v>
      </c>
      <c r="G3506" s="156">
        <v>0.0</v>
      </c>
      <c r="H3506" s="156">
        <v>0.0</v>
      </c>
      <c r="I3506" s="154" t="s">
        <v>7914</v>
      </c>
      <c r="J3506" s="154" t="s">
        <v>7915</v>
      </c>
      <c r="K3506" s="154" t="s">
        <v>846</v>
      </c>
    </row>
    <row r="3507">
      <c r="A3507" s="154" t="s">
        <v>7911</v>
      </c>
      <c r="B3507" s="154" t="s">
        <v>7912</v>
      </c>
      <c r="C3507" s="155"/>
      <c r="D3507" s="154">
        <v>2.0</v>
      </c>
      <c r="E3507" s="154" t="s">
        <v>1237</v>
      </c>
      <c r="F3507" s="154" t="s">
        <v>7913</v>
      </c>
      <c r="G3507" s="156">
        <v>0.0</v>
      </c>
      <c r="H3507" s="156">
        <v>0.0</v>
      </c>
      <c r="I3507" s="154" t="s">
        <v>7914</v>
      </c>
      <c r="J3507" s="154" t="s">
        <v>7915</v>
      </c>
      <c r="K3507" s="154" t="s">
        <v>846</v>
      </c>
    </row>
    <row r="3508">
      <c r="A3508" s="154" t="s">
        <v>7916</v>
      </c>
      <c r="B3508" s="155"/>
      <c r="C3508" s="154" t="s">
        <v>7917</v>
      </c>
      <c r="D3508" s="155"/>
      <c r="E3508" s="155"/>
      <c r="F3508" s="154" t="s">
        <v>7918</v>
      </c>
      <c r="G3508" s="154">
        <v>4.339405E7</v>
      </c>
      <c r="H3508" s="156">
        <v>0.0</v>
      </c>
      <c r="I3508" s="154">
        <v>9.71506253765E11</v>
      </c>
      <c r="J3508" s="156">
        <v>0.0</v>
      </c>
      <c r="K3508" s="154" t="s">
        <v>329</v>
      </c>
    </row>
    <row r="3509">
      <c r="A3509" s="154" t="s">
        <v>7916</v>
      </c>
      <c r="B3509" s="154" t="s">
        <v>7917</v>
      </c>
      <c r="C3509" s="155"/>
      <c r="D3509" s="154">
        <v>2.0</v>
      </c>
      <c r="E3509" s="154" t="s">
        <v>1237</v>
      </c>
      <c r="F3509" s="154" t="s">
        <v>7918</v>
      </c>
      <c r="G3509" s="154">
        <v>4.339405E7</v>
      </c>
      <c r="H3509" s="156">
        <v>0.0</v>
      </c>
      <c r="I3509" s="154">
        <v>9.71506253765E11</v>
      </c>
      <c r="J3509" s="156">
        <v>0.0</v>
      </c>
      <c r="K3509" s="154" t="s">
        <v>329</v>
      </c>
    </row>
    <row r="3510">
      <c r="A3510" s="154" t="s">
        <v>7919</v>
      </c>
      <c r="B3510" s="154" t="s">
        <v>7920</v>
      </c>
      <c r="C3510" s="155"/>
      <c r="D3510" s="154">
        <v>2.0</v>
      </c>
      <c r="E3510" s="154" t="s">
        <v>1237</v>
      </c>
      <c r="F3510" s="154" t="s">
        <v>7921</v>
      </c>
      <c r="G3510" s="156">
        <v>0.0</v>
      </c>
      <c r="H3510" s="154" t="s">
        <v>7922</v>
      </c>
      <c r="I3510" s="154" t="s">
        <v>7923</v>
      </c>
      <c r="J3510" s="156">
        <v>0.0</v>
      </c>
      <c r="K3510" s="154" t="s">
        <v>240</v>
      </c>
    </row>
    <row r="3511">
      <c r="A3511" s="154" t="s">
        <v>7919</v>
      </c>
      <c r="B3511" s="155"/>
      <c r="C3511" s="154" t="s">
        <v>7920</v>
      </c>
      <c r="D3511" s="155"/>
      <c r="E3511" s="155"/>
      <c r="F3511" s="154" t="s">
        <v>7921</v>
      </c>
      <c r="G3511" s="156">
        <v>0.0</v>
      </c>
      <c r="H3511" s="154" t="s">
        <v>7922</v>
      </c>
      <c r="I3511" s="154" t="s">
        <v>7923</v>
      </c>
      <c r="J3511" s="156">
        <v>0.0</v>
      </c>
      <c r="K3511" s="154" t="s">
        <v>240</v>
      </c>
    </row>
    <row r="3512">
      <c r="A3512" s="154" t="s">
        <v>7924</v>
      </c>
      <c r="B3512" s="154" t="s">
        <v>7925</v>
      </c>
      <c r="C3512" s="155"/>
      <c r="D3512" s="154">
        <v>2.0</v>
      </c>
      <c r="E3512" s="154" t="s">
        <v>1237</v>
      </c>
      <c r="F3512" s="154" t="s">
        <v>7926</v>
      </c>
      <c r="G3512" s="156">
        <v>0.0</v>
      </c>
      <c r="H3512" s="154" t="s">
        <v>7927</v>
      </c>
      <c r="I3512" s="154" t="s">
        <v>7928</v>
      </c>
      <c r="J3512" s="154" t="s">
        <v>7929</v>
      </c>
      <c r="K3512" s="154" t="s">
        <v>240</v>
      </c>
    </row>
    <row r="3513">
      <c r="A3513" s="154" t="s">
        <v>7924</v>
      </c>
      <c r="B3513" s="155"/>
      <c r="C3513" s="154" t="s">
        <v>7925</v>
      </c>
      <c r="D3513" s="155"/>
      <c r="E3513" s="155"/>
      <c r="F3513" s="154" t="s">
        <v>7926</v>
      </c>
      <c r="G3513" s="156">
        <v>0.0</v>
      </c>
      <c r="H3513" s="154" t="s">
        <v>7927</v>
      </c>
      <c r="I3513" s="154" t="s">
        <v>7928</v>
      </c>
      <c r="J3513" s="154" t="s">
        <v>7929</v>
      </c>
      <c r="K3513" s="154" t="s">
        <v>240</v>
      </c>
    </row>
    <row r="3514">
      <c r="A3514" s="154" t="s">
        <v>7930</v>
      </c>
      <c r="B3514" s="154" t="s">
        <v>7931</v>
      </c>
      <c r="C3514" s="155"/>
      <c r="D3514" s="154">
        <v>2.0</v>
      </c>
      <c r="E3514" s="154" t="s">
        <v>1237</v>
      </c>
      <c r="F3514" s="154" t="s">
        <v>7932</v>
      </c>
      <c r="G3514" s="156">
        <v>0.0</v>
      </c>
      <c r="H3514" s="156">
        <v>0.0</v>
      </c>
      <c r="I3514" s="154">
        <v>5.0388821E8</v>
      </c>
      <c r="J3514" s="156">
        <v>0.0</v>
      </c>
      <c r="K3514" s="154" t="s">
        <v>240</v>
      </c>
    </row>
    <row r="3515">
      <c r="A3515" s="154" t="s">
        <v>7930</v>
      </c>
      <c r="B3515" s="155"/>
      <c r="C3515" s="154" t="s">
        <v>7931</v>
      </c>
      <c r="D3515" s="155"/>
      <c r="E3515" s="155"/>
      <c r="F3515" s="154" t="s">
        <v>7932</v>
      </c>
      <c r="G3515" s="156">
        <v>0.0</v>
      </c>
      <c r="H3515" s="156">
        <v>0.0</v>
      </c>
      <c r="I3515" s="154">
        <v>5.0388821E8</v>
      </c>
      <c r="J3515" s="156">
        <v>0.0</v>
      </c>
      <c r="K3515" s="154" t="s">
        <v>240</v>
      </c>
    </row>
    <row r="3516">
      <c r="A3516" s="154" t="s">
        <v>7933</v>
      </c>
      <c r="B3516" s="154" t="s">
        <v>7934</v>
      </c>
      <c r="C3516" s="155"/>
      <c r="D3516" s="154">
        <v>2.0</v>
      </c>
      <c r="E3516" s="154" t="s">
        <v>1237</v>
      </c>
      <c r="F3516" s="154" t="s">
        <v>7935</v>
      </c>
      <c r="G3516" s="154">
        <v>971.0</v>
      </c>
      <c r="H3516" s="156">
        <v>0.0</v>
      </c>
      <c r="I3516" s="154" t="s">
        <v>7936</v>
      </c>
      <c r="J3516" s="154" t="s">
        <v>7937</v>
      </c>
      <c r="K3516" s="154" t="s">
        <v>846</v>
      </c>
    </row>
    <row r="3517">
      <c r="A3517" s="154" t="s">
        <v>7933</v>
      </c>
      <c r="B3517" s="155"/>
      <c r="C3517" s="154" t="s">
        <v>7934</v>
      </c>
      <c r="D3517" s="155"/>
      <c r="E3517" s="155"/>
      <c r="F3517" s="154" t="s">
        <v>7935</v>
      </c>
      <c r="G3517" s="154">
        <v>971.0</v>
      </c>
      <c r="H3517" s="156">
        <v>0.0</v>
      </c>
      <c r="I3517" s="154" t="s">
        <v>7936</v>
      </c>
      <c r="J3517" s="154" t="s">
        <v>7937</v>
      </c>
      <c r="K3517" s="154" t="s">
        <v>846</v>
      </c>
    </row>
    <row r="3518">
      <c r="A3518" s="154" t="s">
        <v>7938</v>
      </c>
      <c r="B3518" s="155"/>
      <c r="C3518" s="154" t="s">
        <v>7939</v>
      </c>
      <c r="D3518" s="155"/>
      <c r="E3518" s="155"/>
      <c r="F3518" s="154" t="s">
        <v>7940</v>
      </c>
      <c r="G3518" s="154">
        <v>5.06364962E8</v>
      </c>
      <c r="H3518" s="154" t="s">
        <v>7941</v>
      </c>
      <c r="I3518" s="154">
        <v>5.06364962E8</v>
      </c>
      <c r="J3518" s="156">
        <v>0.0</v>
      </c>
      <c r="K3518" s="154" t="s">
        <v>760</v>
      </c>
    </row>
    <row r="3519">
      <c r="A3519" s="154" t="s">
        <v>7938</v>
      </c>
      <c r="B3519" s="154" t="s">
        <v>7939</v>
      </c>
      <c r="C3519" s="155"/>
      <c r="D3519" s="154">
        <v>2.0</v>
      </c>
      <c r="E3519" s="154" t="s">
        <v>1237</v>
      </c>
      <c r="F3519" s="154" t="s">
        <v>7940</v>
      </c>
      <c r="G3519" s="154">
        <v>5.06364962E8</v>
      </c>
      <c r="H3519" s="154" t="s">
        <v>7941</v>
      </c>
      <c r="I3519" s="154">
        <v>5.06364962E8</v>
      </c>
      <c r="J3519" s="156">
        <v>0.0</v>
      </c>
      <c r="K3519" s="154" t="s">
        <v>760</v>
      </c>
    </row>
    <row r="3520">
      <c r="A3520" s="154" t="s">
        <v>7942</v>
      </c>
      <c r="B3520" s="154" t="s">
        <v>7943</v>
      </c>
      <c r="C3520" s="155"/>
      <c r="D3520" s="154">
        <v>2.0</v>
      </c>
      <c r="E3520" s="154" t="s">
        <v>1237</v>
      </c>
      <c r="F3520" s="154" t="s">
        <v>7944</v>
      </c>
      <c r="G3520" s="154">
        <v>5.088029E8</v>
      </c>
      <c r="H3520" s="154" t="s">
        <v>7945</v>
      </c>
      <c r="I3520" s="154">
        <v>5.28917777E8</v>
      </c>
      <c r="J3520" s="156">
        <v>0.0</v>
      </c>
      <c r="K3520" s="154" t="s">
        <v>1731</v>
      </c>
    </row>
    <row r="3521">
      <c r="A3521" s="154" t="s">
        <v>7942</v>
      </c>
      <c r="B3521" s="155"/>
      <c r="C3521" s="154" t="s">
        <v>7943</v>
      </c>
      <c r="D3521" s="155"/>
      <c r="E3521" s="155"/>
      <c r="F3521" s="154" t="s">
        <v>7944</v>
      </c>
      <c r="G3521" s="154">
        <v>5.088029E8</v>
      </c>
      <c r="H3521" s="154" t="s">
        <v>7945</v>
      </c>
      <c r="I3521" s="154">
        <v>5.28917777E8</v>
      </c>
      <c r="J3521" s="156">
        <v>0.0</v>
      </c>
      <c r="K3521" s="154" t="s">
        <v>1731</v>
      </c>
    </row>
    <row r="3522">
      <c r="A3522" s="154" t="s">
        <v>7946</v>
      </c>
      <c r="B3522" s="154" t="s">
        <v>7947</v>
      </c>
      <c r="D3522" s="154">
        <v>2.0</v>
      </c>
      <c r="E3522" s="154" t="s">
        <v>761</v>
      </c>
      <c r="F3522" s="154" t="s">
        <v>7948</v>
      </c>
      <c r="G3522" s="154">
        <v>4.3911111E7</v>
      </c>
      <c r="H3522" s="156">
        <v>0.0</v>
      </c>
      <c r="I3522" s="155" t="str">
        <f>+971 (50) 6161201</f>
        <v>#ERROR!</v>
      </c>
      <c r="J3522" s="156">
        <v>0.0</v>
      </c>
      <c r="K3522" s="154" t="s">
        <v>247</v>
      </c>
    </row>
    <row r="3523">
      <c r="A3523" s="154" t="s">
        <v>7946</v>
      </c>
      <c r="B3523" s="155"/>
      <c r="C3523" s="154" t="s">
        <v>7947</v>
      </c>
      <c r="D3523" s="155"/>
      <c r="E3523" s="155"/>
      <c r="F3523" s="154" t="s">
        <v>7948</v>
      </c>
      <c r="G3523" s="154">
        <v>4.3911111E7</v>
      </c>
      <c r="H3523" s="156">
        <v>0.0</v>
      </c>
      <c r="I3523" s="155" t="str">
        <f>+971 (50) 6161201</f>
        <v>#ERROR!</v>
      </c>
      <c r="J3523" s="156">
        <v>0.0</v>
      </c>
      <c r="K3523" s="154" t="s">
        <v>247</v>
      </c>
    </row>
    <row r="3524">
      <c r="A3524" s="154" t="s">
        <v>7949</v>
      </c>
      <c r="B3524" s="155"/>
      <c r="C3524" s="154" t="s">
        <v>7950</v>
      </c>
      <c r="D3524" s="155"/>
      <c r="E3524" s="155"/>
      <c r="F3524" s="154" t="s">
        <v>7951</v>
      </c>
      <c r="G3524" s="156">
        <v>0.0</v>
      </c>
      <c r="H3524" s="154" t="s">
        <v>7952</v>
      </c>
      <c r="I3524" s="154" t="s">
        <v>7953</v>
      </c>
      <c r="J3524" s="154" t="s">
        <v>7954</v>
      </c>
      <c r="K3524" s="154" t="s">
        <v>846</v>
      </c>
    </row>
    <row r="3525">
      <c r="A3525" s="154" t="s">
        <v>7949</v>
      </c>
      <c r="B3525" s="154" t="s">
        <v>7950</v>
      </c>
      <c r="D3525" s="154">
        <v>2.0</v>
      </c>
      <c r="E3525" s="154" t="s">
        <v>761</v>
      </c>
      <c r="F3525" s="154" t="s">
        <v>7951</v>
      </c>
      <c r="G3525" s="156">
        <v>0.0</v>
      </c>
      <c r="H3525" s="154" t="s">
        <v>7952</v>
      </c>
      <c r="I3525" s="154" t="s">
        <v>7953</v>
      </c>
      <c r="J3525" s="154" t="s">
        <v>7954</v>
      </c>
      <c r="K3525" s="154" t="s">
        <v>846</v>
      </c>
    </row>
    <row r="3526">
      <c r="A3526" s="154" t="s">
        <v>7955</v>
      </c>
      <c r="B3526" s="155"/>
      <c r="C3526" s="154" t="s">
        <v>7956</v>
      </c>
      <c r="D3526" s="155"/>
      <c r="E3526" s="155"/>
      <c r="F3526" s="154" t="s">
        <v>7957</v>
      </c>
      <c r="G3526" s="156">
        <v>0.0</v>
      </c>
      <c r="H3526" s="156">
        <v>0.0</v>
      </c>
      <c r="I3526" s="154">
        <v>5.06550476E8</v>
      </c>
      <c r="J3526" s="156">
        <v>0.0</v>
      </c>
      <c r="K3526" s="154" t="s">
        <v>259</v>
      </c>
    </row>
    <row r="3527">
      <c r="A3527" s="154" t="s">
        <v>7955</v>
      </c>
      <c r="B3527" s="154" t="s">
        <v>7956</v>
      </c>
      <c r="D3527" s="154">
        <v>2.0</v>
      </c>
      <c r="E3527" s="154" t="s">
        <v>761</v>
      </c>
      <c r="F3527" s="154" t="s">
        <v>7957</v>
      </c>
      <c r="G3527" s="156">
        <v>0.0</v>
      </c>
      <c r="H3527" s="156">
        <v>0.0</v>
      </c>
      <c r="I3527" s="154">
        <v>5.06550476E8</v>
      </c>
      <c r="J3527" s="156">
        <v>0.0</v>
      </c>
      <c r="K3527" s="154" t="s">
        <v>259</v>
      </c>
    </row>
    <row r="3528">
      <c r="A3528" s="154" t="s">
        <v>7958</v>
      </c>
      <c r="B3528" s="155"/>
      <c r="C3528" s="154" t="s">
        <v>7959</v>
      </c>
      <c r="D3528" s="155"/>
      <c r="E3528" s="155"/>
      <c r="F3528" s="154" t="s">
        <v>7960</v>
      </c>
      <c r="G3528" s="154">
        <v>4.3619606E7</v>
      </c>
      <c r="H3528" s="156">
        <v>0.0</v>
      </c>
      <c r="I3528" s="154">
        <v>5.04570395E8</v>
      </c>
      <c r="J3528" s="156">
        <v>0.0</v>
      </c>
      <c r="K3528" s="154" t="s">
        <v>361</v>
      </c>
    </row>
    <row r="3529">
      <c r="A3529" s="154" t="s">
        <v>7958</v>
      </c>
      <c r="B3529" s="154" t="s">
        <v>7959</v>
      </c>
      <c r="D3529" s="154">
        <v>2.0</v>
      </c>
      <c r="E3529" s="154" t="s">
        <v>761</v>
      </c>
      <c r="F3529" s="154" t="s">
        <v>7961</v>
      </c>
      <c r="G3529" s="155">
        <f>+97143619606</f>
        <v>97143619606</v>
      </c>
      <c r="H3529" s="154" t="s">
        <v>7962</v>
      </c>
      <c r="I3529" s="155">
        <f>+971504235435</f>
        <v>971504235435</v>
      </c>
      <c r="J3529" s="156">
        <v>0.0</v>
      </c>
      <c r="K3529" s="154" t="s">
        <v>361</v>
      </c>
    </row>
    <row r="3530">
      <c r="A3530" s="154" t="s">
        <v>7963</v>
      </c>
      <c r="B3530" s="155"/>
      <c r="C3530" s="154" t="s">
        <v>7964</v>
      </c>
      <c r="D3530" s="155"/>
      <c r="E3530" s="155"/>
      <c r="F3530" s="154" t="s">
        <v>7965</v>
      </c>
      <c r="G3530" s="154">
        <v>5.0258891E8</v>
      </c>
      <c r="H3530" s="156">
        <v>0.0</v>
      </c>
      <c r="I3530" s="154">
        <v>5.04579164E8</v>
      </c>
      <c r="J3530" s="156">
        <v>0.0</v>
      </c>
      <c r="K3530" s="154" t="s">
        <v>259</v>
      </c>
    </row>
    <row r="3531">
      <c r="A3531" s="154" t="s">
        <v>7963</v>
      </c>
      <c r="B3531" s="154" t="s">
        <v>7964</v>
      </c>
      <c r="D3531" s="154">
        <v>2.0</v>
      </c>
      <c r="E3531" s="154" t="s">
        <v>761</v>
      </c>
      <c r="F3531" s="154" t="s">
        <v>7965</v>
      </c>
      <c r="G3531" s="154">
        <v>5.0258891E8</v>
      </c>
      <c r="H3531" s="156">
        <v>0.0</v>
      </c>
      <c r="I3531" s="154">
        <v>5.04579164E8</v>
      </c>
      <c r="J3531" s="156">
        <v>0.0</v>
      </c>
      <c r="K3531" s="154" t="s">
        <v>259</v>
      </c>
    </row>
    <row r="3532">
      <c r="A3532" s="154" t="s">
        <v>7966</v>
      </c>
      <c r="B3532" s="155"/>
      <c r="C3532" s="154" t="s">
        <v>7967</v>
      </c>
      <c r="D3532" s="155"/>
      <c r="E3532" s="155"/>
      <c r="F3532" s="154" t="s">
        <v>7968</v>
      </c>
      <c r="G3532" s="154" t="s">
        <v>809</v>
      </c>
      <c r="H3532" s="154" t="s">
        <v>7969</v>
      </c>
      <c r="I3532" s="154" t="s">
        <v>7970</v>
      </c>
      <c r="J3532" s="154" t="s">
        <v>7971</v>
      </c>
      <c r="K3532" s="154" t="s">
        <v>914</v>
      </c>
    </row>
    <row r="3533">
      <c r="A3533" s="154" t="s">
        <v>7966</v>
      </c>
      <c r="B3533" s="154" t="s">
        <v>7967</v>
      </c>
      <c r="D3533" s="154">
        <v>2.0</v>
      </c>
      <c r="E3533" s="154" t="s">
        <v>761</v>
      </c>
      <c r="F3533" s="154" t="s">
        <v>7968</v>
      </c>
      <c r="G3533" s="154" t="s">
        <v>809</v>
      </c>
      <c r="H3533" s="154" t="s">
        <v>7969</v>
      </c>
      <c r="I3533" s="154" t="s">
        <v>7970</v>
      </c>
      <c r="J3533" s="154" t="s">
        <v>7971</v>
      </c>
      <c r="K3533" s="154" t="s">
        <v>914</v>
      </c>
    </row>
    <row r="3534">
      <c r="A3534" s="154" t="s">
        <v>7972</v>
      </c>
      <c r="B3534" s="155"/>
      <c r="C3534" s="154" t="s">
        <v>7973</v>
      </c>
      <c r="D3534" s="155"/>
      <c r="E3534" s="155"/>
      <c r="F3534" s="154" t="s">
        <v>2947</v>
      </c>
      <c r="G3534" s="154">
        <v>4.0</v>
      </c>
      <c r="H3534" s="154" t="s">
        <v>2948</v>
      </c>
      <c r="I3534" s="156">
        <v>0.0</v>
      </c>
      <c r="J3534" s="156">
        <v>0.0</v>
      </c>
      <c r="K3534" s="156">
        <v>0.0</v>
      </c>
    </row>
    <row r="3535">
      <c r="A3535" s="154" t="s">
        <v>7972</v>
      </c>
      <c r="B3535" s="154" t="s">
        <v>7973</v>
      </c>
      <c r="D3535" s="154">
        <v>2.0</v>
      </c>
      <c r="E3535" s="154" t="s">
        <v>761</v>
      </c>
      <c r="F3535" s="154" t="s">
        <v>2947</v>
      </c>
      <c r="G3535" s="154">
        <v>4.0</v>
      </c>
      <c r="H3535" s="154" t="s">
        <v>2948</v>
      </c>
      <c r="I3535" s="156">
        <v>0.0</v>
      </c>
      <c r="J3535" s="156">
        <v>0.0</v>
      </c>
      <c r="K3535" s="156">
        <v>0.0</v>
      </c>
    </row>
    <row r="3536">
      <c r="A3536" s="154" t="s">
        <v>7974</v>
      </c>
      <c r="B3536" s="154" t="s">
        <v>7975</v>
      </c>
      <c r="D3536" s="154">
        <v>2.0</v>
      </c>
      <c r="E3536" s="154" t="s">
        <v>761</v>
      </c>
      <c r="F3536" s="154" t="s">
        <v>7976</v>
      </c>
      <c r="G3536" s="156">
        <v>0.0</v>
      </c>
      <c r="H3536" s="156">
        <v>0.0</v>
      </c>
      <c r="I3536" s="154">
        <v>5.06256094E8</v>
      </c>
      <c r="J3536" s="156">
        <v>0.0</v>
      </c>
      <c r="K3536" s="154" t="s">
        <v>1891</v>
      </c>
    </row>
    <row r="3537">
      <c r="A3537" s="154" t="s">
        <v>7974</v>
      </c>
      <c r="B3537" s="155"/>
      <c r="C3537" s="154" t="s">
        <v>7975</v>
      </c>
      <c r="D3537" s="155"/>
      <c r="E3537" s="155"/>
      <c r="F3537" s="154" t="s">
        <v>7976</v>
      </c>
      <c r="G3537" s="156">
        <v>0.0</v>
      </c>
      <c r="H3537" s="156">
        <v>0.0</v>
      </c>
      <c r="I3537" s="154">
        <v>5.06256094E8</v>
      </c>
      <c r="J3537" s="156">
        <v>0.0</v>
      </c>
      <c r="K3537" s="154" t="s">
        <v>1891</v>
      </c>
    </row>
    <row r="3538">
      <c r="A3538" s="154" t="s">
        <v>7977</v>
      </c>
      <c r="B3538" s="154" t="s">
        <v>7978</v>
      </c>
      <c r="D3538" s="154">
        <v>2.0</v>
      </c>
      <c r="E3538" s="154" t="s">
        <v>761</v>
      </c>
      <c r="F3538" s="154" t="s">
        <v>7979</v>
      </c>
      <c r="G3538" s="154">
        <v>5757302.0</v>
      </c>
      <c r="H3538" s="156">
        <v>0.0</v>
      </c>
      <c r="I3538" s="154">
        <v>6163451.0</v>
      </c>
      <c r="J3538" s="156">
        <v>0.0</v>
      </c>
      <c r="K3538" s="154" t="s">
        <v>1069</v>
      </c>
    </row>
    <row r="3539">
      <c r="A3539" s="154" t="s">
        <v>7977</v>
      </c>
      <c r="B3539" s="155"/>
      <c r="C3539" s="154" t="s">
        <v>7978</v>
      </c>
      <c r="D3539" s="155"/>
      <c r="E3539" s="155"/>
      <c r="F3539" s="154" t="s">
        <v>7979</v>
      </c>
      <c r="G3539" s="154">
        <v>5757302.0</v>
      </c>
      <c r="H3539" s="156">
        <v>0.0</v>
      </c>
      <c r="I3539" s="154">
        <v>6163451.0</v>
      </c>
      <c r="J3539" s="156">
        <v>0.0</v>
      </c>
      <c r="K3539" s="154" t="s">
        <v>1069</v>
      </c>
    </row>
    <row r="3540">
      <c r="A3540" s="154" t="s">
        <v>7980</v>
      </c>
      <c r="B3540" s="154" t="s">
        <v>7981</v>
      </c>
      <c r="D3540" s="154">
        <v>2.0</v>
      </c>
      <c r="E3540" s="154" t="s">
        <v>761</v>
      </c>
      <c r="F3540" s="154" t="s">
        <v>2274</v>
      </c>
      <c r="G3540" s="154" t="s">
        <v>2275</v>
      </c>
      <c r="H3540" s="154" t="s">
        <v>1185</v>
      </c>
      <c r="I3540" s="154" t="s">
        <v>2276</v>
      </c>
      <c r="J3540" s="154" t="s">
        <v>2277</v>
      </c>
      <c r="K3540" s="154" t="s">
        <v>361</v>
      </c>
    </row>
    <row r="3541">
      <c r="A3541" s="154" t="s">
        <v>7980</v>
      </c>
      <c r="B3541" s="155"/>
      <c r="C3541" s="154" t="s">
        <v>7981</v>
      </c>
      <c r="D3541" s="155"/>
      <c r="E3541" s="155"/>
      <c r="F3541" s="154" t="s">
        <v>2274</v>
      </c>
      <c r="G3541" s="154" t="s">
        <v>2275</v>
      </c>
      <c r="H3541" s="154" t="s">
        <v>1185</v>
      </c>
      <c r="I3541" s="154" t="s">
        <v>2276</v>
      </c>
      <c r="J3541" s="154" t="s">
        <v>2277</v>
      </c>
      <c r="K3541" s="154" t="s">
        <v>361</v>
      </c>
    </row>
    <row r="3542">
      <c r="A3542" s="154" t="s">
        <v>7982</v>
      </c>
      <c r="B3542" s="154" t="s">
        <v>7983</v>
      </c>
      <c r="D3542" s="154">
        <v>2.0</v>
      </c>
      <c r="E3542" s="154" t="s">
        <v>761</v>
      </c>
      <c r="F3542" s="154" t="s">
        <v>2274</v>
      </c>
      <c r="G3542" s="154" t="s">
        <v>2275</v>
      </c>
      <c r="H3542" s="154" t="s">
        <v>1185</v>
      </c>
      <c r="I3542" s="154" t="s">
        <v>2276</v>
      </c>
      <c r="J3542" s="154" t="s">
        <v>2277</v>
      </c>
      <c r="K3542" s="154" t="s">
        <v>361</v>
      </c>
    </row>
    <row r="3543">
      <c r="A3543" s="154" t="s">
        <v>7982</v>
      </c>
      <c r="B3543" s="155"/>
      <c r="C3543" s="154" t="s">
        <v>7983</v>
      </c>
      <c r="D3543" s="155"/>
      <c r="E3543" s="155"/>
      <c r="F3543" s="154" t="s">
        <v>2274</v>
      </c>
      <c r="G3543" s="154" t="s">
        <v>2275</v>
      </c>
      <c r="H3543" s="154" t="s">
        <v>1185</v>
      </c>
      <c r="I3543" s="154" t="s">
        <v>2276</v>
      </c>
      <c r="J3543" s="154" t="s">
        <v>2277</v>
      </c>
      <c r="K3543" s="154" t="s">
        <v>361</v>
      </c>
    </row>
    <row r="3544">
      <c r="A3544" s="154" t="s">
        <v>7984</v>
      </c>
      <c r="B3544" s="154" t="s">
        <v>7985</v>
      </c>
      <c r="D3544" s="154">
        <v>2.0</v>
      </c>
      <c r="E3544" s="154" t="s">
        <v>761</v>
      </c>
      <c r="F3544" s="154" t="s">
        <v>7986</v>
      </c>
      <c r="G3544" s="154">
        <v>0.0</v>
      </c>
      <c r="H3544" s="156">
        <v>0.0</v>
      </c>
      <c r="I3544" s="156">
        <v>0.0</v>
      </c>
      <c r="J3544" s="156">
        <v>0.0</v>
      </c>
      <c r="K3544" s="154" t="s">
        <v>760</v>
      </c>
    </row>
    <row r="3545">
      <c r="A3545" s="154" t="s">
        <v>7984</v>
      </c>
      <c r="B3545" s="155"/>
      <c r="C3545" s="154" t="s">
        <v>7985</v>
      </c>
      <c r="D3545" s="155"/>
      <c r="E3545" s="155"/>
      <c r="F3545" s="154" t="s">
        <v>7986</v>
      </c>
      <c r="G3545" s="154">
        <v>0.0</v>
      </c>
      <c r="H3545" s="156">
        <v>0.0</v>
      </c>
      <c r="I3545" s="156">
        <v>0.0</v>
      </c>
      <c r="J3545" s="156">
        <v>0.0</v>
      </c>
      <c r="K3545" s="154" t="s">
        <v>760</v>
      </c>
    </row>
    <row r="3546">
      <c r="A3546" s="154" t="s">
        <v>7987</v>
      </c>
      <c r="B3546" s="154" t="s">
        <v>7988</v>
      </c>
      <c r="D3546" s="154">
        <v>2.0</v>
      </c>
      <c r="E3546" s="154" t="s">
        <v>761</v>
      </c>
      <c r="F3546" s="154" t="s">
        <v>7989</v>
      </c>
      <c r="G3546" s="154">
        <v>5.63611622E8</v>
      </c>
      <c r="H3546" s="156">
        <v>0.0</v>
      </c>
      <c r="I3546" s="154">
        <v>5.63611622E8</v>
      </c>
      <c r="J3546" s="156">
        <v>0.0</v>
      </c>
      <c r="K3546" s="154" t="s">
        <v>197</v>
      </c>
    </row>
    <row r="3547">
      <c r="A3547" s="154" t="s">
        <v>7987</v>
      </c>
      <c r="B3547" s="155"/>
      <c r="C3547" s="154" t="s">
        <v>7988</v>
      </c>
      <c r="D3547" s="155"/>
      <c r="E3547" s="155"/>
      <c r="F3547" s="154" t="s">
        <v>7989</v>
      </c>
      <c r="G3547" s="154">
        <v>5.63611622E8</v>
      </c>
      <c r="H3547" s="156">
        <v>0.0</v>
      </c>
      <c r="I3547" s="154">
        <v>5.63611622E8</v>
      </c>
      <c r="J3547" s="156">
        <v>0.0</v>
      </c>
      <c r="K3547" s="154" t="s">
        <v>197</v>
      </c>
    </row>
    <row r="3548">
      <c r="A3548" s="154" t="s">
        <v>7990</v>
      </c>
      <c r="B3548" s="154" t="s">
        <v>7991</v>
      </c>
      <c r="D3548" s="154">
        <v>2.0</v>
      </c>
      <c r="E3548" s="154" t="s">
        <v>761</v>
      </c>
      <c r="F3548" s="154" t="s">
        <v>7992</v>
      </c>
      <c r="G3548" s="156">
        <v>0.0</v>
      </c>
      <c r="H3548" s="156">
        <v>0.0</v>
      </c>
      <c r="I3548" s="154" t="s">
        <v>6964</v>
      </c>
      <c r="J3548" s="154" t="s">
        <v>7993</v>
      </c>
      <c r="K3548" s="154" t="s">
        <v>197</v>
      </c>
    </row>
    <row r="3549">
      <c r="A3549" s="154" t="s">
        <v>7990</v>
      </c>
      <c r="B3549" s="155"/>
      <c r="C3549" s="154" t="s">
        <v>7991</v>
      </c>
      <c r="D3549" s="155"/>
      <c r="E3549" s="155"/>
      <c r="F3549" s="154" t="s">
        <v>7992</v>
      </c>
      <c r="G3549" s="156">
        <v>0.0</v>
      </c>
      <c r="H3549" s="156">
        <v>0.0</v>
      </c>
      <c r="I3549" s="154" t="s">
        <v>6964</v>
      </c>
      <c r="J3549" s="154" t="s">
        <v>7993</v>
      </c>
      <c r="K3549" s="154" t="s">
        <v>197</v>
      </c>
    </row>
    <row r="3550">
      <c r="A3550" s="154" t="s">
        <v>7994</v>
      </c>
      <c r="B3550" s="154" t="s">
        <v>7995</v>
      </c>
      <c r="D3550" s="154">
        <v>2.0</v>
      </c>
      <c r="E3550" s="154" t="s">
        <v>761</v>
      </c>
      <c r="F3550" s="154" t="s">
        <v>4060</v>
      </c>
      <c r="G3550" s="154">
        <v>4.3688164E7</v>
      </c>
      <c r="H3550" s="154" t="s">
        <v>4061</v>
      </c>
      <c r="I3550" s="154">
        <v>9.71502131003E11</v>
      </c>
      <c r="J3550" s="156">
        <v>0.0</v>
      </c>
      <c r="K3550" s="154" t="s">
        <v>259</v>
      </c>
    </row>
    <row r="3551">
      <c r="A3551" s="154" t="s">
        <v>7994</v>
      </c>
      <c r="B3551" s="155"/>
      <c r="C3551" s="154" t="s">
        <v>7995</v>
      </c>
      <c r="D3551" s="155"/>
      <c r="E3551" s="155"/>
      <c r="F3551" s="154" t="s">
        <v>4060</v>
      </c>
      <c r="G3551" s="154">
        <v>4.3688164E7</v>
      </c>
      <c r="H3551" s="154" t="s">
        <v>4061</v>
      </c>
      <c r="I3551" s="154">
        <v>9.71502131003E11</v>
      </c>
      <c r="J3551" s="156">
        <v>0.0</v>
      </c>
      <c r="K3551" s="154" t="s">
        <v>259</v>
      </c>
    </row>
    <row r="3552">
      <c r="A3552" s="154" t="s">
        <v>7996</v>
      </c>
      <c r="B3552" s="155"/>
      <c r="C3552" s="154" t="s">
        <v>7997</v>
      </c>
      <c r="D3552" s="155"/>
      <c r="E3552" s="155"/>
      <c r="F3552" s="154" t="s">
        <v>7998</v>
      </c>
      <c r="G3552" s="154">
        <v>5.52246807E8</v>
      </c>
      <c r="H3552" s="156">
        <v>0.0</v>
      </c>
      <c r="I3552" s="156">
        <v>0.0</v>
      </c>
      <c r="J3552" s="156">
        <v>0.0</v>
      </c>
      <c r="K3552" s="154" t="s">
        <v>7999</v>
      </c>
    </row>
    <row r="3553">
      <c r="A3553" s="154" t="s">
        <v>7996</v>
      </c>
      <c r="B3553" s="154" t="s">
        <v>7997</v>
      </c>
      <c r="D3553" s="154">
        <v>2.0</v>
      </c>
      <c r="E3553" s="154" t="s">
        <v>761</v>
      </c>
      <c r="F3553" s="154" t="s">
        <v>7998</v>
      </c>
      <c r="G3553" s="154">
        <v>5.52246807E8</v>
      </c>
      <c r="H3553" s="156">
        <v>0.0</v>
      </c>
      <c r="I3553" s="156">
        <v>0.0</v>
      </c>
      <c r="J3553" s="156">
        <v>0.0</v>
      </c>
      <c r="K3553" s="154" t="s">
        <v>7999</v>
      </c>
    </row>
    <row r="3554">
      <c r="A3554" s="154" t="s">
        <v>8000</v>
      </c>
      <c r="B3554" s="154" t="s">
        <v>8001</v>
      </c>
      <c r="D3554" s="154">
        <v>2.0</v>
      </c>
      <c r="E3554" s="154" t="s">
        <v>761</v>
      </c>
      <c r="F3554" s="154" t="s">
        <v>8002</v>
      </c>
      <c r="G3554" s="154">
        <v>2.6670223E7</v>
      </c>
      <c r="H3554" s="156">
        <v>0.0</v>
      </c>
      <c r="I3554" s="154">
        <v>5.07600557E8</v>
      </c>
      <c r="J3554" s="156">
        <v>0.0</v>
      </c>
      <c r="K3554" s="154" t="s">
        <v>240</v>
      </c>
    </row>
    <row r="3555">
      <c r="A3555" s="154" t="s">
        <v>8000</v>
      </c>
      <c r="B3555" s="155"/>
      <c r="C3555" s="154" t="s">
        <v>8001</v>
      </c>
      <c r="D3555" s="155"/>
      <c r="E3555" s="155"/>
      <c r="F3555" s="154" t="s">
        <v>8002</v>
      </c>
      <c r="G3555" s="154">
        <v>2.6670223E7</v>
      </c>
      <c r="H3555" s="156">
        <v>0.0</v>
      </c>
      <c r="I3555" s="154">
        <v>5.07600557E8</v>
      </c>
      <c r="J3555" s="156">
        <v>0.0</v>
      </c>
      <c r="K3555" s="154" t="s">
        <v>240</v>
      </c>
    </row>
    <row r="3556">
      <c r="A3556" s="154" t="s">
        <v>8003</v>
      </c>
      <c r="B3556" s="155"/>
      <c r="C3556" s="154" t="s">
        <v>8004</v>
      </c>
      <c r="D3556" s="155"/>
      <c r="E3556" s="155"/>
      <c r="F3556" s="154" t="s">
        <v>8005</v>
      </c>
      <c r="G3556" s="154">
        <v>4.4210169E7</v>
      </c>
      <c r="H3556" s="156">
        <v>0.0</v>
      </c>
      <c r="I3556" s="154">
        <v>9.71502252401E11</v>
      </c>
      <c r="J3556" s="156">
        <v>0.0</v>
      </c>
      <c r="K3556" s="154" t="s">
        <v>776</v>
      </c>
    </row>
    <row r="3557">
      <c r="A3557" s="154" t="s">
        <v>8003</v>
      </c>
      <c r="B3557" s="154" t="s">
        <v>8004</v>
      </c>
      <c r="D3557" s="154">
        <v>2.0</v>
      </c>
      <c r="E3557" s="154" t="s">
        <v>761</v>
      </c>
      <c r="F3557" s="154" t="s">
        <v>8005</v>
      </c>
      <c r="G3557" s="154">
        <v>4.4210169E7</v>
      </c>
      <c r="H3557" s="156">
        <v>0.0</v>
      </c>
      <c r="I3557" s="154">
        <v>9.71502252401E11</v>
      </c>
      <c r="J3557" s="156">
        <v>0.0</v>
      </c>
      <c r="K3557" s="154" t="s">
        <v>776</v>
      </c>
    </row>
    <row r="3558">
      <c r="A3558" s="154" t="s">
        <v>8006</v>
      </c>
      <c r="B3558" s="154" t="s">
        <v>8007</v>
      </c>
      <c r="D3558" s="154">
        <v>2.0</v>
      </c>
      <c r="E3558" s="154" t="s">
        <v>761</v>
      </c>
      <c r="F3558" s="154" t="s">
        <v>7951</v>
      </c>
      <c r="G3558" s="156">
        <v>0.0</v>
      </c>
      <c r="H3558" s="154" t="s">
        <v>7952</v>
      </c>
      <c r="I3558" s="154" t="s">
        <v>7953</v>
      </c>
      <c r="J3558" s="154" t="s">
        <v>7954</v>
      </c>
      <c r="K3558" s="154" t="s">
        <v>846</v>
      </c>
    </row>
    <row r="3559">
      <c r="A3559" s="154" t="s">
        <v>8006</v>
      </c>
      <c r="B3559" s="155"/>
      <c r="C3559" s="154" t="s">
        <v>8007</v>
      </c>
      <c r="D3559" s="155"/>
      <c r="E3559" s="155"/>
      <c r="F3559" s="154" t="s">
        <v>7951</v>
      </c>
      <c r="G3559" s="156">
        <v>0.0</v>
      </c>
      <c r="H3559" s="154" t="s">
        <v>7952</v>
      </c>
      <c r="I3559" s="154" t="s">
        <v>7953</v>
      </c>
      <c r="J3559" s="154" t="s">
        <v>7954</v>
      </c>
      <c r="K3559" s="154" t="s">
        <v>846</v>
      </c>
    </row>
    <row r="3560">
      <c r="A3560" s="154" t="s">
        <v>8008</v>
      </c>
      <c r="B3560" s="155"/>
      <c r="C3560" s="154" t="s">
        <v>8009</v>
      </c>
      <c r="D3560" s="155"/>
      <c r="E3560" s="155"/>
      <c r="F3560" s="154" t="s">
        <v>7951</v>
      </c>
      <c r="G3560" s="156">
        <v>0.0</v>
      </c>
      <c r="H3560" s="154" t="s">
        <v>7952</v>
      </c>
      <c r="I3560" s="154" t="s">
        <v>7953</v>
      </c>
      <c r="J3560" s="154" t="s">
        <v>7954</v>
      </c>
      <c r="K3560" s="154" t="s">
        <v>846</v>
      </c>
    </row>
    <row r="3561">
      <c r="A3561" s="154" t="s">
        <v>8008</v>
      </c>
      <c r="B3561" s="154" t="s">
        <v>8009</v>
      </c>
      <c r="D3561" s="154">
        <v>2.0</v>
      </c>
      <c r="E3561" s="154" t="s">
        <v>761</v>
      </c>
      <c r="F3561" s="154" t="s">
        <v>7951</v>
      </c>
      <c r="G3561" s="156">
        <v>0.0</v>
      </c>
      <c r="H3561" s="154" t="s">
        <v>7952</v>
      </c>
      <c r="I3561" s="154" t="s">
        <v>7953</v>
      </c>
      <c r="J3561" s="154" t="s">
        <v>7954</v>
      </c>
      <c r="K3561" s="154" t="s">
        <v>846</v>
      </c>
    </row>
    <row r="3562">
      <c r="A3562" s="154" t="s">
        <v>8010</v>
      </c>
      <c r="B3562" s="154" t="s">
        <v>8011</v>
      </c>
      <c r="D3562" s="154">
        <v>2.0</v>
      </c>
      <c r="E3562" s="154" t="s">
        <v>761</v>
      </c>
      <c r="F3562" s="154" t="s">
        <v>7951</v>
      </c>
      <c r="G3562" s="156">
        <v>0.0</v>
      </c>
      <c r="H3562" s="154" t="s">
        <v>7952</v>
      </c>
      <c r="I3562" s="154" t="s">
        <v>7953</v>
      </c>
      <c r="J3562" s="154" t="s">
        <v>7954</v>
      </c>
      <c r="K3562" s="154" t="s">
        <v>846</v>
      </c>
    </row>
    <row r="3563">
      <c r="A3563" s="154" t="s">
        <v>8010</v>
      </c>
      <c r="B3563" s="155"/>
      <c r="C3563" s="154" t="s">
        <v>8011</v>
      </c>
      <c r="D3563" s="155"/>
      <c r="E3563" s="155"/>
      <c r="F3563" s="154" t="s">
        <v>7951</v>
      </c>
      <c r="G3563" s="156">
        <v>0.0</v>
      </c>
      <c r="H3563" s="154" t="s">
        <v>7952</v>
      </c>
      <c r="I3563" s="154" t="s">
        <v>7953</v>
      </c>
      <c r="J3563" s="154" t="s">
        <v>7954</v>
      </c>
      <c r="K3563" s="154" t="s">
        <v>846</v>
      </c>
    </row>
    <row r="3564">
      <c r="A3564" s="154" t="s">
        <v>8012</v>
      </c>
      <c r="B3564" s="154" t="s">
        <v>8013</v>
      </c>
      <c r="D3564" s="154">
        <v>2.0</v>
      </c>
      <c r="E3564" s="154" t="s">
        <v>761</v>
      </c>
      <c r="F3564" s="154" t="s">
        <v>7951</v>
      </c>
      <c r="G3564" s="156">
        <v>0.0</v>
      </c>
      <c r="H3564" s="154" t="s">
        <v>7952</v>
      </c>
      <c r="I3564" s="154" t="s">
        <v>7953</v>
      </c>
      <c r="J3564" s="154" t="s">
        <v>7954</v>
      </c>
      <c r="K3564" s="154" t="s">
        <v>846</v>
      </c>
    </row>
    <row r="3565">
      <c r="A3565" s="154" t="s">
        <v>8012</v>
      </c>
      <c r="B3565" s="155"/>
      <c r="C3565" s="154" t="s">
        <v>8013</v>
      </c>
      <c r="D3565" s="155"/>
      <c r="E3565" s="155"/>
      <c r="F3565" s="154" t="s">
        <v>7951</v>
      </c>
      <c r="G3565" s="156">
        <v>0.0</v>
      </c>
      <c r="H3565" s="154" t="s">
        <v>7952</v>
      </c>
      <c r="I3565" s="154" t="s">
        <v>7953</v>
      </c>
      <c r="J3565" s="154" t="s">
        <v>7954</v>
      </c>
      <c r="K3565" s="154" t="s">
        <v>846</v>
      </c>
    </row>
    <row r="3566">
      <c r="A3566" s="154" t="s">
        <v>8014</v>
      </c>
      <c r="B3566" s="155"/>
      <c r="C3566" s="154" t="s">
        <v>8015</v>
      </c>
      <c r="D3566" s="155"/>
      <c r="E3566" s="155"/>
      <c r="F3566" s="154" t="s">
        <v>8016</v>
      </c>
      <c r="G3566" s="156">
        <v>0.0</v>
      </c>
      <c r="H3566" s="156">
        <v>0.0</v>
      </c>
      <c r="I3566" s="154">
        <v>5.02722692E8</v>
      </c>
      <c r="J3566" s="156">
        <v>0.0</v>
      </c>
      <c r="K3566" s="154" t="s">
        <v>240</v>
      </c>
    </row>
    <row r="3567">
      <c r="A3567" s="154" t="s">
        <v>8014</v>
      </c>
      <c r="B3567" s="154" t="s">
        <v>8015</v>
      </c>
      <c r="D3567" s="154">
        <v>2.0</v>
      </c>
      <c r="E3567" s="154" t="s">
        <v>761</v>
      </c>
      <c r="F3567" s="154" t="s">
        <v>8016</v>
      </c>
      <c r="G3567" s="156">
        <v>0.0</v>
      </c>
      <c r="H3567" s="156">
        <v>0.0</v>
      </c>
      <c r="I3567" s="154">
        <v>5.02722692E8</v>
      </c>
      <c r="J3567" s="156">
        <v>0.0</v>
      </c>
      <c r="K3567" s="154" t="s">
        <v>240</v>
      </c>
    </row>
    <row r="3568">
      <c r="A3568" s="154" t="s">
        <v>8017</v>
      </c>
      <c r="B3568" s="154" t="s">
        <v>8018</v>
      </c>
      <c r="D3568" s="154">
        <v>2.0</v>
      </c>
      <c r="E3568" s="154" t="s">
        <v>761</v>
      </c>
      <c r="F3568" s="154" t="s">
        <v>8019</v>
      </c>
      <c r="G3568" s="154">
        <v>4.8135144E7</v>
      </c>
      <c r="H3568" s="156">
        <v>0.0</v>
      </c>
      <c r="I3568" s="154">
        <v>5.64608223E8</v>
      </c>
      <c r="J3568" s="156">
        <v>0.0</v>
      </c>
      <c r="K3568" s="154" t="s">
        <v>1059</v>
      </c>
    </row>
    <row r="3569">
      <c r="A3569" s="154" t="s">
        <v>8017</v>
      </c>
      <c r="B3569" s="155"/>
      <c r="C3569" s="154" t="s">
        <v>8018</v>
      </c>
      <c r="D3569" s="155"/>
      <c r="E3569" s="155"/>
      <c r="F3569" s="154" t="s">
        <v>8019</v>
      </c>
      <c r="G3569" s="154">
        <v>4.8135144E7</v>
      </c>
      <c r="H3569" s="156">
        <v>0.0</v>
      </c>
      <c r="I3569" s="154">
        <v>5.64608223E8</v>
      </c>
      <c r="J3569" s="156">
        <v>0.0</v>
      </c>
      <c r="K3569" s="154" t="s">
        <v>1059</v>
      </c>
    </row>
    <row r="3570">
      <c r="A3570" s="154" t="s">
        <v>8020</v>
      </c>
      <c r="B3570" s="155"/>
      <c r="C3570" s="154" t="s">
        <v>8021</v>
      </c>
      <c r="D3570" s="155"/>
      <c r="E3570" s="155"/>
      <c r="F3570" s="154" t="s">
        <v>8022</v>
      </c>
      <c r="G3570" s="154">
        <v>5.66865244E8</v>
      </c>
      <c r="H3570" s="156">
        <v>0.0</v>
      </c>
      <c r="I3570" s="154">
        <v>5.66865244E8</v>
      </c>
      <c r="J3570" s="156">
        <v>0.0</v>
      </c>
      <c r="K3570" s="154" t="s">
        <v>361</v>
      </c>
    </row>
    <row r="3571">
      <c r="A3571" s="154" t="s">
        <v>8020</v>
      </c>
      <c r="B3571" s="154" t="s">
        <v>8021</v>
      </c>
      <c r="D3571" s="154">
        <v>2.0</v>
      </c>
      <c r="E3571" s="154" t="s">
        <v>761</v>
      </c>
      <c r="F3571" s="154" t="s">
        <v>8022</v>
      </c>
      <c r="G3571" s="154">
        <v>5.66865244E8</v>
      </c>
      <c r="H3571" s="156">
        <v>0.0</v>
      </c>
      <c r="I3571" s="154">
        <v>5.66865244E8</v>
      </c>
      <c r="J3571" s="156">
        <v>0.0</v>
      </c>
      <c r="K3571" s="154" t="s">
        <v>361</v>
      </c>
    </row>
    <row r="3572">
      <c r="A3572" s="154" t="s">
        <v>8023</v>
      </c>
      <c r="B3572" s="155"/>
      <c r="C3572" s="154" t="s">
        <v>8024</v>
      </c>
      <c r="D3572" s="155"/>
      <c r="E3572" s="155"/>
      <c r="F3572" s="154" t="s">
        <v>8025</v>
      </c>
      <c r="G3572" s="154">
        <v>4.4310599E7</v>
      </c>
      <c r="H3572" s="156">
        <v>0.0</v>
      </c>
      <c r="I3572" s="154">
        <v>5.05954617E8</v>
      </c>
      <c r="J3572" s="156">
        <v>0.0</v>
      </c>
      <c r="K3572" s="154" t="s">
        <v>361</v>
      </c>
    </row>
    <row r="3573">
      <c r="A3573" s="154" t="s">
        <v>8023</v>
      </c>
      <c r="B3573" s="154" t="s">
        <v>8024</v>
      </c>
      <c r="D3573" s="154">
        <v>2.0</v>
      </c>
      <c r="E3573" s="154" t="s">
        <v>761</v>
      </c>
      <c r="F3573" s="154" t="s">
        <v>8025</v>
      </c>
      <c r="G3573" s="154">
        <v>4.4310599E7</v>
      </c>
      <c r="H3573" s="156">
        <v>0.0</v>
      </c>
      <c r="I3573" s="154">
        <v>5.05954617E8</v>
      </c>
      <c r="J3573" s="156">
        <v>0.0</v>
      </c>
      <c r="K3573" s="154" t="s">
        <v>361</v>
      </c>
    </row>
    <row r="3574">
      <c r="A3574" s="154" t="s">
        <v>8026</v>
      </c>
      <c r="B3574" s="154" t="s">
        <v>8027</v>
      </c>
      <c r="D3574" s="154">
        <v>2.0</v>
      </c>
      <c r="E3574" s="154" t="s">
        <v>761</v>
      </c>
      <c r="F3574" s="154" t="s">
        <v>8028</v>
      </c>
      <c r="G3574" s="156">
        <v>0.0</v>
      </c>
      <c r="H3574" s="156">
        <v>0.0</v>
      </c>
      <c r="I3574" s="156">
        <v>0.0</v>
      </c>
      <c r="J3574" s="154">
        <v>-5.00160511E8</v>
      </c>
      <c r="K3574" s="154" t="s">
        <v>3551</v>
      </c>
    </row>
    <row r="3575">
      <c r="A3575" s="154" t="s">
        <v>8026</v>
      </c>
      <c r="B3575" s="155"/>
      <c r="C3575" s="154" t="s">
        <v>8027</v>
      </c>
      <c r="D3575" s="155"/>
      <c r="E3575" s="155"/>
      <c r="F3575" s="154" t="s">
        <v>8028</v>
      </c>
      <c r="G3575" s="156">
        <v>0.0</v>
      </c>
      <c r="H3575" s="156">
        <v>0.0</v>
      </c>
      <c r="I3575" s="156">
        <v>0.0</v>
      </c>
      <c r="J3575" s="154">
        <v>-5.00160511E8</v>
      </c>
      <c r="K3575" s="154" t="s">
        <v>3551</v>
      </c>
    </row>
    <row r="3576">
      <c r="A3576" s="154" t="s">
        <v>8029</v>
      </c>
      <c r="B3576" s="155"/>
      <c r="C3576" s="154" t="s">
        <v>8030</v>
      </c>
      <c r="D3576" s="155"/>
      <c r="E3576" s="155"/>
      <c r="F3576" s="154" t="s">
        <v>8031</v>
      </c>
      <c r="G3576" s="156">
        <v>0.0</v>
      </c>
      <c r="H3576" s="156">
        <v>0.0</v>
      </c>
      <c r="I3576" s="154">
        <v>5.0654473E8</v>
      </c>
      <c r="J3576" s="156">
        <v>0.0</v>
      </c>
      <c r="K3576" s="154" t="s">
        <v>2581</v>
      </c>
    </row>
    <row r="3577">
      <c r="A3577" s="154" t="s">
        <v>8029</v>
      </c>
      <c r="B3577" s="154" t="s">
        <v>8030</v>
      </c>
      <c r="D3577" s="154">
        <v>2.0</v>
      </c>
      <c r="E3577" s="154" t="s">
        <v>761</v>
      </c>
      <c r="F3577" s="154" t="s">
        <v>8032</v>
      </c>
      <c r="G3577" s="156">
        <v>0.0</v>
      </c>
      <c r="H3577" s="156">
        <v>0.0</v>
      </c>
      <c r="I3577" s="154">
        <v>5.0654473E8</v>
      </c>
      <c r="J3577" s="156">
        <v>0.0</v>
      </c>
      <c r="K3577" s="154" t="s">
        <v>2581</v>
      </c>
    </row>
    <row r="3578">
      <c r="A3578" s="154" t="s">
        <v>8033</v>
      </c>
      <c r="B3578" s="154" t="s">
        <v>8034</v>
      </c>
      <c r="D3578" s="154">
        <v>2.0</v>
      </c>
      <c r="E3578" s="154" t="s">
        <v>761</v>
      </c>
      <c r="F3578" s="154" t="s">
        <v>8035</v>
      </c>
      <c r="G3578" s="156">
        <v>0.0</v>
      </c>
      <c r="H3578" s="156">
        <v>0.0</v>
      </c>
      <c r="I3578" s="154" t="s">
        <v>8036</v>
      </c>
      <c r="J3578" s="156">
        <v>0.0</v>
      </c>
      <c r="K3578" s="154" t="s">
        <v>206</v>
      </c>
    </row>
    <row r="3579">
      <c r="A3579" s="154" t="s">
        <v>8033</v>
      </c>
      <c r="B3579" s="155"/>
      <c r="C3579" s="154" t="s">
        <v>8034</v>
      </c>
      <c r="D3579" s="155"/>
      <c r="E3579" s="155"/>
      <c r="F3579" s="154" t="s">
        <v>8035</v>
      </c>
      <c r="G3579" s="156">
        <v>0.0</v>
      </c>
      <c r="H3579" s="156">
        <v>0.0</v>
      </c>
      <c r="I3579" s="154" t="s">
        <v>8036</v>
      </c>
      <c r="J3579" s="156">
        <v>0.0</v>
      </c>
      <c r="K3579" s="154" t="s">
        <v>206</v>
      </c>
    </row>
    <row r="3580">
      <c r="A3580" s="154" t="s">
        <v>8037</v>
      </c>
      <c r="B3580" s="154" t="s">
        <v>8038</v>
      </c>
      <c r="D3580" s="154">
        <v>2.0</v>
      </c>
      <c r="E3580" s="154" t="s">
        <v>761</v>
      </c>
      <c r="F3580" s="154" t="s">
        <v>1941</v>
      </c>
      <c r="G3580" s="156">
        <v>0.0</v>
      </c>
      <c r="H3580" s="154" t="s">
        <v>1942</v>
      </c>
      <c r="I3580" s="154" t="s">
        <v>1943</v>
      </c>
      <c r="J3580" s="154" t="s">
        <v>1944</v>
      </c>
      <c r="K3580" s="154" t="s">
        <v>1945</v>
      </c>
    </row>
    <row r="3581">
      <c r="A3581" s="154" t="s">
        <v>8037</v>
      </c>
      <c r="B3581" s="155"/>
      <c r="C3581" s="154" t="s">
        <v>8038</v>
      </c>
      <c r="D3581" s="155"/>
      <c r="E3581" s="155"/>
      <c r="F3581" s="154" t="s">
        <v>1941</v>
      </c>
      <c r="G3581" s="156">
        <v>0.0</v>
      </c>
      <c r="H3581" s="154" t="s">
        <v>1942</v>
      </c>
      <c r="I3581" s="154" t="s">
        <v>1943</v>
      </c>
      <c r="J3581" s="154" t="s">
        <v>1944</v>
      </c>
      <c r="K3581" s="154" t="s">
        <v>1945</v>
      </c>
    </row>
    <row r="3582">
      <c r="A3582" s="154" t="s">
        <v>8039</v>
      </c>
      <c r="B3582" s="154" t="s">
        <v>8040</v>
      </c>
      <c r="D3582" s="154">
        <v>2.0</v>
      </c>
      <c r="E3582" s="154" t="s">
        <v>761</v>
      </c>
      <c r="F3582" s="154" t="s">
        <v>1941</v>
      </c>
      <c r="G3582" s="156">
        <v>0.0</v>
      </c>
      <c r="H3582" s="154" t="s">
        <v>1942</v>
      </c>
      <c r="I3582" s="154" t="s">
        <v>1943</v>
      </c>
      <c r="J3582" s="154" t="s">
        <v>1944</v>
      </c>
      <c r="K3582" s="154" t="s">
        <v>1945</v>
      </c>
    </row>
    <row r="3583">
      <c r="A3583" s="154" t="s">
        <v>8039</v>
      </c>
      <c r="B3583" s="155"/>
      <c r="C3583" s="154" t="s">
        <v>8040</v>
      </c>
      <c r="D3583" s="155"/>
      <c r="E3583" s="155"/>
      <c r="F3583" s="154" t="s">
        <v>1941</v>
      </c>
      <c r="G3583" s="156">
        <v>0.0</v>
      </c>
      <c r="H3583" s="154" t="s">
        <v>1942</v>
      </c>
      <c r="I3583" s="154" t="s">
        <v>1943</v>
      </c>
      <c r="J3583" s="154" t="s">
        <v>1944</v>
      </c>
      <c r="K3583" s="154" t="s">
        <v>1945</v>
      </c>
    </row>
    <row r="3584">
      <c r="A3584" s="154" t="s">
        <v>8041</v>
      </c>
      <c r="B3584" s="154" t="s">
        <v>8042</v>
      </c>
      <c r="D3584" s="154">
        <v>2.0</v>
      </c>
      <c r="E3584" s="154" t="s">
        <v>761</v>
      </c>
      <c r="F3584" s="154" t="s">
        <v>8043</v>
      </c>
      <c r="G3584" s="154">
        <v>5.66564943E8</v>
      </c>
      <c r="H3584" s="156">
        <v>0.0</v>
      </c>
      <c r="I3584" s="156">
        <v>0.0</v>
      </c>
      <c r="J3584" s="156">
        <v>0.0</v>
      </c>
      <c r="K3584" s="154" t="s">
        <v>1461</v>
      </c>
    </row>
    <row r="3585">
      <c r="A3585" s="154" t="s">
        <v>8041</v>
      </c>
      <c r="B3585" s="155"/>
      <c r="C3585" s="154" t="s">
        <v>8042</v>
      </c>
      <c r="D3585" s="155"/>
      <c r="E3585" s="155"/>
      <c r="F3585" s="154" t="s">
        <v>8043</v>
      </c>
      <c r="G3585" s="154">
        <v>5.66564943E8</v>
      </c>
      <c r="H3585" s="156">
        <v>0.0</v>
      </c>
      <c r="I3585" s="156">
        <v>0.0</v>
      </c>
      <c r="J3585" s="156">
        <v>0.0</v>
      </c>
      <c r="K3585" s="154" t="s">
        <v>1461</v>
      </c>
    </row>
    <row r="3586">
      <c r="A3586" s="154" t="s">
        <v>8044</v>
      </c>
      <c r="B3586" s="155"/>
      <c r="C3586" s="154" t="s">
        <v>8045</v>
      </c>
      <c r="D3586" s="155"/>
      <c r="E3586" s="155"/>
      <c r="F3586" s="154" t="s">
        <v>2861</v>
      </c>
      <c r="G3586" s="156">
        <v>0.0</v>
      </c>
      <c r="H3586" s="154" t="s">
        <v>2862</v>
      </c>
      <c r="I3586" s="154" t="s">
        <v>2863</v>
      </c>
      <c r="J3586" s="156">
        <v>0.0</v>
      </c>
      <c r="K3586" s="154" t="s">
        <v>846</v>
      </c>
    </row>
    <row r="3587">
      <c r="A3587" s="154" t="s">
        <v>8044</v>
      </c>
      <c r="B3587" s="154" t="s">
        <v>8045</v>
      </c>
      <c r="D3587" s="154">
        <v>2.0</v>
      </c>
      <c r="E3587" s="154" t="s">
        <v>761</v>
      </c>
      <c r="F3587" s="154" t="s">
        <v>8046</v>
      </c>
      <c r="G3587" s="156">
        <v>0.0</v>
      </c>
      <c r="H3587" s="156">
        <v>0.0</v>
      </c>
      <c r="I3587" s="154" t="s">
        <v>2863</v>
      </c>
      <c r="J3587" s="156">
        <v>0.0</v>
      </c>
      <c r="K3587" s="154" t="s">
        <v>846</v>
      </c>
    </row>
    <row r="3588">
      <c r="A3588" s="154" t="s">
        <v>8047</v>
      </c>
      <c r="B3588" s="154" t="s">
        <v>8048</v>
      </c>
      <c r="D3588" s="154">
        <v>2.0</v>
      </c>
      <c r="E3588" s="154" t="s">
        <v>761</v>
      </c>
      <c r="F3588" s="154" t="s">
        <v>8049</v>
      </c>
      <c r="G3588" s="156">
        <v>0.0</v>
      </c>
      <c r="H3588" s="156">
        <v>0.0</v>
      </c>
      <c r="I3588" s="154">
        <v>2.54720419999E11</v>
      </c>
      <c r="J3588" s="156">
        <v>0.0</v>
      </c>
      <c r="K3588" s="154" t="s">
        <v>2581</v>
      </c>
    </row>
    <row r="3589">
      <c r="A3589" s="154" t="s">
        <v>8047</v>
      </c>
      <c r="B3589" s="155"/>
      <c r="C3589" s="154" t="s">
        <v>8048</v>
      </c>
      <c r="D3589" s="155"/>
      <c r="E3589" s="155"/>
      <c r="F3589" s="154" t="s">
        <v>8049</v>
      </c>
      <c r="G3589" s="156">
        <v>0.0</v>
      </c>
      <c r="H3589" s="156">
        <v>0.0</v>
      </c>
      <c r="I3589" s="154">
        <v>2.54720419999E11</v>
      </c>
      <c r="J3589" s="156">
        <v>0.0</v>
      </c>
      <c r="K3589" s="154" t="s">
        <v>2581</v>
      </c>
    </row>
    <row r="3590">
      <c r="A3590" s="154" t="s">
        <v>8050</v>
      </c>
      <c r="B3590" s="155"/>
      <c r="C3590" s="154" t="s">
        <v>8051</v>
      </c>
      <c r="D3590" s="155"/>
      <c r="E3590" s="155"/>
      <c r="F3590" s="154" t="s">
        <v>1547</v>
      </c>
      <c r="G3590" s="154">
        <v>0.0</v>
      </c>
      <c r="H3590" s="156">
        <v>0.0</v>
      </c>
      <c r="I3590" s="156">
        <v>0.0</v>
      </c>
      <c r="J3590" s="156">
        <v>0.0</v>
      </c>
      <c r="K3590" s="156">
        <v>0.0</v>
      </c>
    </row>
    <row r="3591">
      <c r="A3591" s="154" t="s">
        <v>8050</v>
      </c>
      <c r="B3591" s="154" t="s">
        <v>8051</v>
      </c>
      <c r="D3591" s="154">
        <v>2.0</v>
      </c>
      <c r="E3591" s="154" t="s">
        <v>761</v>
      </c>
      <c r="F3591" s="154" t="s">
        <v>1547</v>
      </c>
      <c r="G3591" s="154">
        <v>0.0</v>
      </c>
      <c r="H3591" s="156">
        <v>0.0</v>
      </c>
      <c r="I3591" s="156">
        <v>0.0</v>
      </c>
      <c r="J3591" s="156">
        <v>0.0</v>
      </c>
      <c r="K3591" s="156">
        <v>0.0</v>
      </c>
    </row>
    <row r="3592">
      <c r="A3592" s="154" t="s">
        <v>8052</v>
      </c>
      <c r="B3592" s="155"/>
      <c r="C3592" s="154" t="s">
        <v>8053</v>
      </c>
      <c r="D3592" s="155"/>
      <c r="E3592" s="155"/>
      <c r="F3592" s="154" t="s">
        <v>1547</v>
      </c>
      <c r="G3592" s="154">
        <v>0.0</v>
      </c>
      <c r="H3592" s="156">
        <v>0.0</v>
      </c>
      <c r="I3592" s="156">
        <v>0.0</v>
      </c>
      <c r="J3592" s="156">
        <v>0.0</v>
      </c>
      <c r="K3592" s="156">
        <v>0.0</v>
      </c>
    </row>
    <row r="3593">
      <c r="A3593" s="154" t="s">
        <v>8052</v>
      </c>
      <c r="B3593" s="154" t="s">
        <v>8053</v>
      </c>
      <c r="D3593" s="154">
        <v>2.0</v>
      </c>
      <c r="E3593" s="154" t="s">
        <v>761</v>
      </c>
      <c r="F3593" s="154" t="s">
        <v>1547</v>
      </c>
      <c r="G3593" s="154">
        <v>0.0</v>
      </c>
      <c r="H3593" s="156">
        <v>0.0</v>
      </c>
      <c r="I3593" s="156">
        <v>0.0</v>
      </c>
      <c r="J3593" s="156">
        <v>0.0</v>
      </c>
      <c r="K3593" s="156">
        <v>0.0</v>
      </c>
    </row>
    <row r="3594">
      <c r="A3594" s="154" t="s">
        <v>8054</v>
      </c>
      <c r="B3594" s="154" t="s">
        <v>8055</v>
      </c>
      <c r="D3594" s="154">
        <v>2.0</v>
      </c>
      <c r="E3594" s="154" t="s">
        <v>761</v>
      </c>
      <c r="F3594" s="154" t="s">
        <v>1547</v>
      </c>
      <c r="G3594" s="154">
        <v>0.0</v>
      </c>
      <c r="H3594" s="156">
        <v>0.0</v>
      </c>
      <c r="I3594" s="156">
        <v>0.0</v>
      </c>
      <c r="J3594" s="156">
        <v>0.0</v>
      </c>
      <c r="K3594" s="156">
        <v>0.0</v>
      </c>
    </row>
    <row r="3595">
      <c r="A3595" s="154" t="s">
        <v>8054</v>
      </c>
      <c r="B3595" s="155"/>
      <c r="C3595" s="154" t="s">
        <v>8055</v>
      </c>
      <c r="D3595" s="155"/>
      <c r="E3595" s="155"/>
      <c r="F3595" s="154" t="s">
        <v>1547</v>
      </c>
      <c r="G3595" s="154">
        <v>0.0</v>
      </c>
      <c r="H3595" s="156">
        <v>0.0</v>
      </c>
      <c r="I3595" s="156">
        <v>0.0</v>
      </c>
      <c r="J3595" s="156">
        <v>0.0</v>
      </c>
      <c r="K3595" s="156">
        <v>0.0</v>
      </c>
    </row>
    <row r="3596">
      <c r="A3596" s="154" t="s">
        <v>8056</v>
      </c>
      <c r="B3596" s="155"/>
      <c r="C3596" s="154" t="s">
        <v>8057</v>
      </c>
      <c r="D3596" s="155"/>
      <c r="E3596" s="155"/>
      <c r="F3596" s="154" t="s">
        <v>1547</v>
      </c>
      <c r="G3596" s="154">
        <v>0.0</v>
      </c>
      <c r="H3596" s="156">
        <v>0.0</v>
      </c>
      <c r="I3596" s="156">
        <v>0.0</v>
      </c>
      <c r="J3596" s="156">
        <v>0.0</v>
      </c>
      <c r="K3596" s="156">
        <v>0.0</v>
      </c>
    </row>
    <row r="3597">
      <c r="A3597" s="154" t="s">
        <v>8056</v>
      </c>
      <c r="B3597" s="154" t="s">
        <v>8057</v>
      </c>
      <c r="D3597" s="154">
        <v>2.0</v>
      </c>
      <c r="E3597" s="154" t="s">
        <v>761</v>
      </c>
      <c r="F3597" s="154" t="s">
        <v>1547</v>
      </c>
      <c r="G3597" s="154">
        <v>0.0</v>
      </c>
      <c r="H3597" s="156">
        <v>0.0</v>
      </c>
      <c r="I3597" s="156">
        <v>0.0</v>
      </c>
      <c r="J3597" s="156">
        <v>0.0</v>
      </c>
      <c r="K3597" s="156">
        <v>0.0</v>
      </c>
    </row>
    <row r="3598">
      <c r="A3598" s="154" t="s">
        <v>8058</v>
      </c>
      <c r="B3598" s="154" t="s">
        <v>8059</v>
      </c>
      <c r="D3598" s="154">
        <v>2.0</v>
      </c>
      <c r="E3598" s="154" t="s">
        <v>761</v>
      </c>
      <c r="F3598" s="154" t="s">
        <v>1547</v>
      </c>
      <c r="G3598" s="154">
        <v>0.0</v>
      </c>
      <c r="H3598" s="156">
        <v>0.0</v>
      </c>
      <c r="I3598" s="156">
        <v>0.0</v>
      </c>
      <c r="J3598" s="156">
        <v>0.0</v>
      </c>
      <c r="K3598" s="156">
        <v>0.0</v>
      </c>
    </row>
    <row r="3599">
      <c r="A3599" s="154" t="s">
        <v>8058</v>
      </c>
      <c r="B3599" s="155"/>
      <c r="C3599" s="154" t="s">
        <v>8059</v>
      </c>
      <c r="D3599" s="155"/>
      <c r="E3599" s="155"/>
      <c r="F3599" s="154" t="s">
        <v>1547</v>
      </c>
      <c r="G3599" s="154">
        <v>0.0</v>
      </c>
      <c r="H3599" s="156">
        <v>0.0</v>
      </c>
      <c r="I3599" s="156">
        <v>0.0</v>
      </c>
      <c r="J3599" s="156">
        <v>0.0</v>
      </c>
      <c r="K3599" s="156">
        <v>0.0</v>
      </c>
    </row>
    <row r="3600">
      <c r="A3600" s="154" t="s">
        <v>8060</v>
      </c>
      <c r="B3600" s="154" t="s">
        <v>8061</v>
      </c>
      <c r="D3600" s="154">
        <v>2.0</v>
      </c>
      <c r="E3600" s="154" t="s">
        <v>761</v>
      </c>
      <c r="F3600" s="154" t="s">
        <v>1619</v>
      </c>
      <c r="G3600" s="154">
        <v>4.3903333E7</v>
      </c>
      <c r="H3600" s="154" t="s">
        <v>1620</v>
      </c>
      <c r="I3600" s="156">
        <v>0.0</v>
      </c>
      <c r="J3600" s="156">
        <v>0.0</v>
      </c>
      <c r="K3600" s="156">
        <v>0.0</v>
      </c>
    </row>
    <row r="3601">
      <c r="A3601" s="154" t="s">
        <v>8060</v>
      </c>
      <c r="B3601" s="155"/>
      <c r="C3601" s="154" t="s">
        <v>8061</v>
      </c>
      <c r="D3601" s="155"/>
      <c r="E3601" s="155"/>
      <c r="F3601" s="154" t="s">
        <v>8062</v>
      </c>
      <c r="G3601" s="156">
        <v>0.0</v>
      </c>
      <c r="H3601" s="156">
        <v>0.0</v>
      </c>
      <c r="I3601" s="154">
        <v>9.71552187624E11</v>
      </c>
      <c r="J3601" s="156">
        <v>0.0</v>
      </c>
      <c r="K3601" s="154" t="s">
        <v>914</v>
      </c>
    </row>
    <row r="3602">
      <c r="A3602" s="154" t="s">
        <v>8063</v>
      </c>
      <c r="B3602" s="154" t="s">
        <v>8064</v>
      </c>
      <c r="D3602" s="154">
        <v>2.0</v>
      </c>
      <c r="E3602" s="154" t="s">
        <v>761</v>
      </c>
      <c r="F3602" s="154" t="s">
        <v>8065</v>
      </c>
      <c r="G3602" s="154" t="s">
        <v>8066</v>
      </c>
      <c r="H3602" s="154" t="s">
        <v>8067</v>
      </c>
      <c r="I3602" s="154" t="s">
        <v>8068</v>
      </c>
      <c r="J3602" s="154" t="s">
        <v>8066</v>
      </c>
      <c r="K3602" s="154" t="s">
        <v>240</v>
      </c>
    </row>
    <row r="3603">
      <c r="A3603" s="154" t="s">
        <v>8063</v>
      </c>
      <c r="B3603" s="155"/>
      <c r="C3603" s="154" t="s">
        <v>8064</v>
      </c>
      <c r="D3603" s="155"/>
      <c r="E3603" s="155"/>
      <c r="F3603" s="154" t="s">
        <v>8065</v>
      </c>
      <c r="G3603" s="154" t="s">
        <v>8066</v>
      </c>
      <c r="H3603" s="154" t="s">
        <v>8067</v>
      </c>
      <c r="I3603" s="154" t="s">
        <v>8068</v>
      </c>
      <c r="J3603" s="154" t="s">
        <v>8066</v>
      </c>
      <c r="K3603" s="154" t="s">
        <v>240</v>
      </c>
    </row>
    <row r="3604">
      <c r="A3604" s="154" t="s">
        <v>8069</v>
      </c>
      <c r="B3604" s="154" t="s">
        <v>8070</v>
      </c>
      <c r="D3604" s="154">
        <v>2.0</v>
      </c>
      <c r="E3604" s="154" t="s">
        <v>761</v>
      </c>
      <c r="F3604" s="154" t="s">
        <v>8071</v>
      </c>
      <c r="G3604" s="154" t="s">
        <v>8072</v>
      </c>
      <c r="H3604" s="154" t="s">
        <v>8073</v>
      </c>
      <c r="I3604" s="154">
        <v>5.02206612E8</v>
      </c>
      <c r="J3604" s="156">
        <v>0.0</v>
      </c>
      <c r="K3604" s="154" t="s">
        <v>2195</v>
      </c>
    </row>
    <row r="3605">
      <c r="A3605" s="154" t="s">
        <v>8069</v>
      </c>
      <c r="B3605" s="155"/>
      <c r="C3605" s="154" t="s">
        <v>8070</v>
      </c>
      <c r="D3605" s="155"/>
      <c r="E3605" s="155"/>
      <c r="F3605" s="154" t="s">
        <v>8071</v>
      </c>
      <c r="G3605" s="154" t="s">
        <v>8072</v>
      </c>
      <c r="H3605" s="154" t="s">
        <v>8073</v>
      </c>
      <c r="I3605" s="154">
        <v>5.02206612E8</v>
      </c>
      <c r="J3605" s="156">
        <v>0.0</v>
      </c>
      <c r="K3605" s="154" t="s">
        <v>2195</v>
      </c>
    </row>
    <row r="3606">
      <c r="A3606" s="154" t="s">
        <v>8074</v>
      </c>
      <c r="B3606" s="154" t="s">
        <v>8075</v>
      </c>
      <c r="D3606" s="154">
        <v>2.0</v>
      </c>
      <c r="E3606" s="154" t="s">
        <v>761</v>
      </c>
      <c r="F3606" s="154" t="s">
        <v>8076</v>
      </c>
      <c r="G3606" s="156">
        <v>0.0</v>
      </c>
      <c r="H3606" s="156">
        <v>0.0</v>
      </c>
      <c r="I3606" s="154" t="s">
        <v>8077</v>
      </c>
      <c r="J3606" s="154" t="s">
        <v>809</v>
      </c>
      <c r="K3606" s="154" t="s">
        <v>846</v>
      </c>
    </row>
    <row r="3607">
      <c r="A3607" s="154" t="s">
        <v>8074</v>
      </c>
      <c r="B3607" s="155"/>
      <c r="C3607" s="154" t="s">
        <v>8075</v>
      </c>
      <c r="D3607" s="155"/>
      <c r="E3607" s="155"/>
      <c r="F3607" s="154" t="s">
        <v>8076</v>
      </c>
      <c r="G3607" s="156">
        <v>0.0</v>
      </c>
      <c r="H3607" s="156">
        <v>0.0</v>
      </c>
      <c r="I3607" s="154" t="s">
        <v>8077</v>
      </c>
      <c r="J3607" s="154" t="s">
        <v>809</v>
      </c>
      <c r="K3607" s="154" t="s">
        <v>846</v>
      </c>
    </row>
    <row r="3608">
      <c r="A3608" s="154" t="s">
        <v>8078</v>
      </c>
      <c r="B3608" s="154" t="s">
        <v>8079</v>
      </c>
      <c r="D3608" s="154">
        <v>2.0</v>
      </c>
      <c r="E3608" s="154" t="s">
        <v>761</v>
      </c>
      <c r="F3608" s="154" t="s">
        <v>8080</v>
      </c>
      <c r="G3608" s="156">
        <v>0.0</v>
      </c>
      <c r="H3608" s="156">
        <v>0.0</v>
      </c>
      <c r="I3608" s="154">
        <v>5.04543292E8</v>
      </c>
      <c r="J3608" s="156">
        <v>0.0</v>
      </c>
      <c r="K3608" s="154" t="s">
        <v>361</v>
      </c>
    </row>
    <row r="3609">
      <c r="A3609" s="154" t="s">
        <v>8078</v>
      </c>
      <c r="B3609" s="155"/>
      <c r="C3609" s="154" t="s">
        <v>8079</v>
      </c>
      <c r="D3609" s="155"/>
      <c r="E3609" s="155"/>
      <c r="F3609" s="154" t="s">
        <v>8081</v>
      </c>
      <c r="G3609" s="156">
        <v>0.0</v>
      </c>
      <c r="H3609" s="156">
        <v>0.0</v>
      </c>
      <c r="I3609" s="154">
        <v>5.04543292E8</v>
      </c>
      <c r="J3609" s="156">
        <v>0.0</v>
      </c>
      <c r="K3609" s="154" t="s">
        <v>361</v>
      </c>
    </row>
    <row r="3610">
      <c r="A3610" s="154" t="s">
        <v>8082</v>
      </c>
      <c r="B3610" s="154" t="s">
        <v>8083</v>
      </c>
      <c r="D3610" s="154">
        <v>2.0</v>
      </c>
      <c r="E3610" s="154" t="s">
        <v>761</v>
      </c>
      <c r="F3610" s="154" t="s">
        <v>8084</v>
      </c>
      <c r="G3610" s="154">
        <v>4.3432537E7</v>
      </c>
      <c r="H3610" s="154" t="s">
        <v>8085</v>
      </c>
      <c r="I3610" s="154">
        <v>5.06598748E8</v>
      </c>
      <c r="J3610" s="156">
        <v>0.0</v>
      </c>
      <c r="K3610" s="154" t="s">
        <v>361</v>
      </c>
    </row>
    <row r="3611">
      <c r="A3611" s="154" t="s">
        <v>8082</v>
      </c>
      <c r="B3611" s="155"/>
      <c r="C3611" s="154" t="s">
        <v>8083</v>
      </c>
      <c r="D3611" s="155"/>
      <c r="E3611" s="155"/>
      <c r="F3611" s="154" t="s">
        <v>8086</v>
      </c>
      <c r="G3611" s="154">
        <v>1.0</v>
      </c>
      <c r="H3611" s="154" t="s">
        <v>8087</v>
      </c>
      <c r="I3611" s="154">
        <v>5.06598748E8</v>
      </c>
      <c r="J3611" s="156">
        <v>0.0</v>
      </c>
      <c r="K3611" s="154" t="s">
        <v>361</v>
      </c>
    </row>
    <row r="3612">
      <c r="A3612" s="154" t="s">
        <v>8088</v>
      </c>
      <c r="B3612" s="154" t="s">
        <v>8089</v>
      </c>
      <c r="D3612" s="154">
        <v>2.0</v>
      </c>
      <c r="E3612" s="154" t="s">
        <v>761</v>
      </c>
      <c r="F3612" s="154" t="s">
        <v>1672</v>
      </c>
      <c r="G3612" s="157" t="s">
        <v>1673</v>
      </c>
      <c r="H3612" s="156">
        <v>0.0</v>
      </c>
      <c r="I3612" s="156">
        <v>0.0</v>
      </c>
      <c r="J3612" s="156">
        <v>0.0</v>
      </c>
      <c r="K3612" s="156">
        <v>0.0</v>
      </c>
    </row>
    <row r="3613">
      <c r="A3613" s="154" t="s">
        <v>8088</v>
      </c>
      <c r="B3613" s="155"/>
      <c r="C3613" s="154" t="s">
        <v>8089</v>
      </c>
      <c r="D3613" s="155"/>
      <c r="E3613" s="155"/>
      <c r="F3613" s="154" t="s">
        <v>1672</v>
      </c>
      <c r="G3613" s="157" t="s">
        <v>1673</v>
      </c>
      <c r="H3613" s="156">
        <v>0.0</v>
      </c>
      <c r="I3613" s="156">
        <v>0.0</v>
      </c>
      <c r="J3613" s="156">
        <v>0.0</v>
      </c>
      <c r="K3613" s="156">
        <v>0.0</v>
      </c>
    </row>
    <row r="3614">
      <c r="A3614" s="154" t="s">
        <v>8090</v>
      </c>
      <c r="B3614" s="155"/>
      <c r="C3614" s="154" t="s">
        <v>8091</v>
      </c>
      <c r="D3614" s="155"/>
      <c r="E3614" s="155"/>
      <c r="F3614" s="154" t="s">
        <v>1672</v>
      </c>
      <c r="G3614" s="157" t="s">
        <v>1673</v>
      </c>
      <c r="H3614" s="156">
        <v>0.0</v>
      </c>
      <c r="I3614" s="156">
        <v>0.0</v>
      </c>
      <c r="J3614" s="156">
        <v>0.0</v>
      </c>
      <c r="K3614" s="156">
        <v>0.0</v>
      </c>
    </row>
    <row r="3615">
      <c r="A3615" s="154" t="s">
        <v>8090</v>
      </c>
      <c r="B3615" s="154" t="s">
        <v>8091</v>
      </c>
      <c r="D3615" s="154">
        <v>2.0</v>
      </c>
      <c r="E3615" s="154" t="s">
        <v>761</v>
      </c>
      <c r="F3615" s="154" t="s">
        <v>1672</v>
      </c>
      <c r="G3615" s="157" t="s">
        <v>1673</v>
      </c>
      <c r="H3615" s="156">
        <v>0.0</v>
      </c>
      <c r="I3615" s="156">
        <v>0.0</v>
      </c>
      <c r="J3615" s="156">
        <v>0.0</v>
      </c>
      <c r="K3615" s="156">
        <v>0.0</v>
      </c>
    </row>
    <row r="3616">
      <c r="A3616" s="154" t="s">
        <v>8092</v>
      </c>
      <c r="B3616" s="155"/>
      <c r="C3616" s="154" t="s">
        <v>8093</v>
      </c>
      <c r="D3616" s="155"/>
      <c r="E3616" s="155"/>
      <c r="F3616" s="154" t="s">
        <v>8094</v>
      </c>
      <c r="G3616" s="156">
        <v>0.0</v>
      </c>
      <c r="H3616" s="156">
        <v>0.0</v>
      </c>
      <c r="I3616" s="154" t="s">
        <v>8095</v>
      </c>
      <c r="J3616" s="156">
        <v>0.0</v>
      </c>
      <c r="K3616" s="154" t="s">
        <v>1408</v>
      </c>
    </row>
    <row r="3617">
      <c r="A3617" s="154" t="s">
        <v>8092</v>
      </c>
      <c r="B3617" s="154" t="s">
        <v>8093</v>
      </c>
      <c r="D3617" s="154">
        <v>2.0</v>
      </c>
      <c r="E3617" s="154" t="s">
        <v>761</v>
      </c>
      <c r="F3617" s="154" t="s">
        <v>8096</v>
      </c>
      <c r="G3617" s="156">
        <v>0.0</v>
      </c>
      <c r="H3617" s="156">
        <v>0.0</v>
      </c>
      <c r="I3617" s="154" t="s">
        <v>8097</v>
      </c>
      <c r="J3617" s="156">
        <v>0.0</v>
      </c>
      <c r="K3617" s="154" t="s">
        <v>259</v>
      </c>
    </row>
    <row r="3618">
      <c r="A3618" s="154" t="s">
        <v>8098</v>
      </c>
      <c r="B3618" s="154" t="s">
        <v>8099</v>
      </c>
      <c r="D3618" s="154">
        <v>2.0</v>
      </c>
      <c r="E3618" s="154" t="s">
        <v>761</v>
      </c>
      <c r="F3618" s="154" t="s">
        <v>1317</v>
      </c>
      <c r="G3618" s="156">
        <v>0.0</v>
      </c>
      <c r="H3618" s="156">
        <v>0.0</v>
      </c>
      <c r="I3618" s="154" t="s">
        <v>1318</v>
      </c>
      <c r="J3618" s="156">
        <v>0.0</v>
      </c>
      <c r="K3618" s="154" t="s">
        <v>361</v>
      </c>
    </row>
    <row r="3619">
      <c r="A3619" s="154" t="s">
        <v>8098</v>
      </c>
      <c r="B3619" s="155"/>
      <c r="C3619" s="154" t="s">
        <v>8099</v>
      </c>
      <c r="D3619" s="155"/>
      <c r="E3619" s="155"/>
      <c r="F3619" s="154" t="s">
        <v>1317</v>
      </c>
      <c r="G3619" s="156">
        <v>0.0</v>
      </c>
      <c r="H3619" s="156">
        <v>0.0</v>
      </c>
      <c r="I3619" s="154" t="s">
        <v>1318</v>
      </c>
      <c r="J3619" s="156">
        <v>0.0</v>
      </c>
      <c r="K3619" s="154" t="s">
        <v>361</v>
      </c>
    </row>
    <row r="3620">
      <c r="A3620" s="154" t="s">
        <v>8100</v>
      </c>
      <c r="B3620" s="154" t="s">
        <v>8101</v>
      </c>
      <c r="D3620" s="154">
        <v>2.0</v>
      </c>
      <c r="E3620" s="154" t="s">
        <v>761</v>
      </c>
      <c r="F3620" s="154" t="s">
        <v>8102</v>
      </c>
      <c r="G3620" s="156">
        <v>0.0</v>
      </c>
      <c r="H3620" s="156">
        <v>0.0</v>
      </c>
      <c r="I3620" s="154">
        <v>5.06409373E8</v>
      </c>
      <c r="J3620" s="156">
        <v>0.0</v>
      </c>
      <c r="K3620" s="154" t="s">
        <v>259</v>
      </c>
    </row>
    <row r="3621">
      <c r="A3621" s="154" t="s">
        <v>8100</v>
      </c>
      <c r="B3621" s="155"/>
      <c r="C3621" s="154" t="s">
        <v>8101</v>
      </c>
      <c r="D3621" s="155"/>
      <c r="E3621" s="155"/>
      <c r="F3621" s="154" t="s">
        <v>8103</v>
      </c>
      <c r="G3621" s="156">
        <v>0.0</v>
      </c>
      <c r="H3621" s="156">
        <v>0.0</v>
      </c>
      <c r="I3621" s="154">
        <v>5.06409373E8</v>
      </c>
      <c r="J3621" s="156">
        <v>0.0</v>
      </c>
      <c r="K3621" s="154" t="s">
        <v>259</v>
      </c>
    </row>
    <row r="3622">
      <c r="A3622" s="154" t="s">
        <v>8104</v>
      </c>
      <c r="B3622" s="154" t="s">
        <v>8105</v>
      </c>
      <c r="D3622" s="154">
        <v>2.0</v>
      </c>
      <c r="E3622" s="154" t="s">
        <v>761</v>
      </c>
      <c r="F3622" s="154" t="s">
        <v>8106</v>
      </c>
      <c r="G3622" s="154" t="s">
        <v>8107</v>
      </c>
      <c r="H3622" s="156">
        <v>0.0</v>
      </c>
      <c r="I3622" s="154">
        <v>9.71508133153E11</v>
      </c>
      <c r="J3622" s="156">
        <v>0.0</v>
      </c>
      <c r="K3622" s="154" t="s">
        <v>1891</v>
      </c>
    </row>
    <row r="3623">
      <c r="A3623" s="154" t="s">
        <v>8104</v>
      </c>
      <c r="B3623" s="155"/>
      <c r="C3623" s="154" t="s">
        <v>8105</v>
      </c>
      <c r="D3623" s="155"/>
      <c r="E3623" s="155"/>
      <c r="F3623" s="154" t="s">
        <v>8108</v>
      </c>
      <c r="G3623" s="154" t="s">
        <v>8107</v>
      </c>
      <c r="H3623" s="156">
        <v>0.0</v>
      </c>
      <c r="I3623" s="154">
        <v>9.71504553237E11</v>
      </c>
      <c r="J3623" s="156">
        <v>0.0</v>
      </c>
      <c r="K3623" s="154" t="s">
        <v>240</v>
      </c>
    </row>
    <row r="3624">
      <c r="A3624" s="154" t="s">
        <v>8109</v>
      </c>
      <c r="B3624" s="155"/>
      <c r="C3624" s="154" t="s">
        <v>8110</v>
      </c>
      <c r="D3624" s="155"/>
      <c r="E3624" s="155"/>
      <c r="F3624" s="154" t="s">
        <v>4430</v>
      </c>
      <c r="G3624" s="154" t="s">
        <v>4431</v>
      </c>
      <c r="H3624" s="154" t="s">
        <v>4432</v>
      </c>
      <c r="I3624" s="154" t="s">
        <v>4433</v>
      </c>
      <c r="J3624" s="154" t="s">
        <v>4434</v>
      </c>
      <c r="K3624" s="154" t="s">
        <v>240</v>
      </c>
    </row>
    <row r="3625">
      <c r="A3625" s="154" t="s">
        <v>8109</v>
      </c>
      <c r="B3625" s="154" t="s">
        <v>8110</v>
      </c>
      <c r="D3625" s="154">
        <v>2.0</v>
      </c>
      <c r="E3625" s="154" t="s">
        <v>761</v>
      </c>
      <c r="F3625" s="154" t="s">
        <v>4430</v>
      </c>
      <c r="G3625" s="154" t="s">
        <v>4431</v>
      </c>
      <c r="H3625" s="154" t="s">
        <v>4432</v>
      </c>
      <c r="I3625" s="154" t="s">
        <v>4433</v>
      </c>
      <c r="J3625" s="154" t="s">
        <v>4434</v>
      </c>
      <c r="K3625" s="154" t="s">
        <v>240</v>
      </c>
    </row>
    <row r="3626">
      <c r="A3626" s="154" t="s">
        <v>8111</v>
      </c>
      <c r="B3626" s="155"/>
      <c r="C3626" s="154" t="s">
        <v>8112</v>
      </c>
      <c r="D3626" s="155"/>
      <c r="E3626" s="155"/>
      <c r="F3626" s="154" t="s">
        <v>8113</v>
      </c>
      <c r="G3626" s="154">
        <v>4.3053661E7</v>
      </c>
      <c r="H3626" s="156">
        <v>0.0</v>
      </c>
      <c r="I3626" s="154">
        <v>5.07492481E8</v>
      </c>
      <c r="J3626" s="156">
        <v>0.0</v>
      </c>
      <c r="K3626" s="154" t="s">
        <v>1465</v>
      </c>
    </row>
    <row r="3627">
      <c r="A3627" s="154" t="s">
        <v>8111</v>
      </c>
      <c r="B3627" s="154" t="s">
        <v>8112</v>
      </c>
      <c r="D3627" s="154">
        <v>2.0</v>
      </c>
      <c r="E3627" s="154" t="s">
        <v>761</v>
      </c>
      <c r="F3627" s="154" t="s">
        <v>8114</v>
      </c>
      <c r="G3627" s="154">
        <v>5.06513826E9</v>
      </c>
      <c r="H3627" s="156">
        <v>0.0</v>
      </c>
      <c r="I3627" s="154">
        <v>5.06513826E9</v>
      </c>
      <c r="J3627" s="156">
        <v>0.0</v>
      </c>
      <c r="K3627" s="154" t="s">
        <v>1465</v>
      </c>
    </row>
    <row r="3628">
      <c r="A3628" s="154" t="s">
        <v>8115</v>
      </c>
      <c r="B3628" s="155"/>
      <c r="C3628" s="154" t="s">
        <v>8116</v>
      </c>
      <c r="D3628" s="155"/>
      <c r="E3628" s="155"/>
      <c r="F3628" s="154" t="s">
        <v>1547</v>
      </c>
      <c r="G3628" s="154">
        <v>0.0</v>
      </c>
      <c r="H3628" s="156">
        <v>0.0</v>
      </c>
      <c r="I3628" s="156">
        <v>0.0</v>
      </c>
      <c r="J3628" s="156">
        <v>0.0</v>
      </c>
      <c r="K3628" s="156">
        <v>0.0</v>
      </c>
    </row>
    <row r="3629">
      <c r="A3629" s="154" t="s">
        <v>8115</v>
      </c>
      <c r="B3629" s="154" t="s">
        <v>8116</v>
      </c>
      <c r="D3629" s="154">
        <v>2.0</v>
      </c>
      <c r="E3629" s="154" t="s">
        <v>761</v>
      </c>
      <c r="F3629" s="154" t="s">
        <v>1547</v>
      </c>
      <c r="G3629" s="154">
        <v>0.0</v>
      </c>
      <c r="H3629" s="156">
        <v>0.0</v>
      </c>
      <c r="I3629" s="156">
        <v>0.0</v>
      </c>
      <c r="J3629" s="156">
        <v>0.0</v>
      </c>
      <c r="K3629" s="156">
        <v>0.0</v>
      </c>
    </row>
    <row r="3630">
      <c r="A3630" s="154" t="s">
        <v>8117</v>
      </c>
      <c r="B3630" s="155"/>
      <c r="C3630" s="154" t="s">
        <v>8118</v>
      </c>
      <c r="D3630" s="155"/>
      <c r="E3630" s="155"/>
      <c r="F3630" s="154" t="s">
        <v>1547</v>
      </c>
      <c r="G3630" s="154">
        <v>0.0</v>
      </c>
      <c r="H3630" s="156">
        <v>0.0</v>
      </c>
      <c r="I3630" s="156">
        <v>0.0</v>
      </c>
      <c r="J3630" s="156">
        <v>0.0</v>
      </c>
      <c r="K3630" s="156">
        <v>0.0</v>
      </c>
    </row>
    <row r="3631">
      <c r="A3631" s="154" t="s">
        <v>8117</v>
      </c>
      <c r="B3631" s="154" t="s">
        <v>8118</v>
      </c>
      <c r="D3631" s="154">
        <v>2.0</v>
      </c>
      <c r="E3631" s="154" t="s">
        <v>761</v>
      </c>
      <c r="F3631" s="154" t="s">
        <v>1547</v>
      </c>
      <c r="G3631" s="154">
        <v>0.0</v>
      </c>
      <c r="H3631" s="156">
        <v>0.0</v>
      </c>
      <c r="I3631" s="156">
        <v>0.0</v>
      </c>
      <c r="J3631" s="156">
        <v>0.0</v>
      </c>
      <c r="K3631" s="156">
        <v>0.0</v>
      </c>
    </row>
    <row r="3632">
      <c r="A3632" s="154" t="s">
        <v>8119</v>
      </c>
      <c r="B3632" s="154" t="s">
        <v>8120</v>
      </c>
      <c r="D3632" s="154">
        <v>2.0</v>
      </c>
      <c r="E3632" s="154" t="s">
        <v>761</v>
      </c>
      <c r="F3632" s="154" t="s">
        <v>1547</v>
      </c>
      <c r="G3632" s="154">
        <v>0.0</v>
      </c>
      <c r="H3632" s="156">
        <v>0.0</v>
      </c>
      <c r="I3632" s="156">
        <v>0.0</v>
      </c>
      <c r="J3632" s="156">
        <v>0.0</v>
      </c>
      <c r="K3632" s="156">
        <v>0.0</v>
      </c>
    </row>
    <row r="3633">
      <c r="A3633" s="154" t="s">
        <v>8119</v>
      </c>
      <c r="B3633" s="155"/>
      <c r="C3633" s="154" t="s">
        <v>8120</v>
      </c>
      <c r="D3633" s="155"/>
      <c r="E3633" s="155"/>
      <c r="F3633" s="154" t="s">
        <v>1547</v>
      </c>
      <c r="G3633" s="154">
        <v>0.0</v>
      </c>
      <c r="H3633" s="156">
        <v>0.0</v>
      </c>
      <c r="I3633" s="156">
        <v>0.0</v>
      </c>
      <c r="J3633" s="156">
        <v>0.0</v>
      </c>
      <c r="K3633" s="156">
        <v>0.0</v>
      </c>
    </row>
    <row r="3634">
      <c r="A3634" s="154" t="s">
        <v>8121</v>
      </c>
      <c r="B3634" s="155"/>
      <c r="C3634" s="154" t="s">
        <v>8122</v>
      </c>
      <c r="D3634" s="155"/>
      <c r="E3634" s="155"/>
      <c r="F3634" s="154" t="s">
        <v>1547</v>
      </c>
      <c r="G3634" s="154">
        <v>0.0</v>
      </c>
      <c r="H3634" s="156">
        <v>0.0</v>
      </c>
      <c r="I3634" s="156">
        <v>0.0</v>
      </c>
      <c r="J3634" s="156">
        <v>0.0</v>
      </c>
      <c r="K3634" s="156">
        <v>0.0</v>
      </c>
    </row>
    <row r="3635">
      <c r="A3635" s="154" t="s">
        <v>8121</v>
      </c>
      <c r="B3635" s="154" t="s">
        <v>8122</v>
      </c>
      <c r="D3635" s="154">
        <v>2.0</v>
      </c>
      <c r="E3635" s="154" t="s">
        <v>761</v>
      </c>
      <c r="F3635" s="154" t="s">
        <v>1547</v>
      </c>
      <c r="G3635" s="154">
        <v>0.0</v>
      </c>
      <c r="H3635" s="156">
        <v>0.0</v>
      </c>
      <c r="I3635" s="156">
        <v>0.0</v>
      </c>
      <c r="J3635" s="156">
        <v>0.0</v>
      </c>
      <c r="K3635" s="156">
        <v>0.0</v>
      </c>
    </row>
    <row r="3636">
      <c r="A3636" s="154" t="s">
        <v>8123</v>
      </c>
      <c r="B3636" s="154" t="s">
        <v>8124</v>
      </c>
      <c r="D3636" s="154">
        <v>2.0</v>
      </c>
      <c r="E3636" s="154" t="s">
        <v>761</v>
      </c>
      <c r="F3636" s="154" t="s">
        <v>1547</v>
      </c>
      <c r="G3636" s="154">
        <v>0.0</v>
      </c>
      <c r="H3636" s="156">
        <v>0.0</v>
      </c>
      <c r="I3636" s="156">
        <v>0.0</v>
      </c>
      <c r="J3636" s="156">
        <v>0.0</v>
      </c>
      <c r="K3636" s="156">
        <v>0.0</v>
      </c>
    </row>
    <row r="3637">
      <c r="A3637" s="154" t="s">
        <v>8123</v>
      </c>
      <c r="B3637" s="155"/>
      <c r="C3637" s="154" t="s">
        <v>8124</v>
      </c>
      <c r="D3637" s="155"/>
      <c r="E3637" s="155"/>
      <c r="F3637" s="154" t="s">
        <v>1547</v>
      </c>
      <c r="G3637" s="154">
        <v>0.0</v>
      </c>
      <c r="H3637" s="156">
        <v>0.0</v>
      </c>
      <c r="I3637" s="156">
        <v>0.0</v>
      </c>
      <c r="J3637" s="156">
        <v>0.0</v>
      </c>
      <c r="K3637" s="156">
        <v>0.0</v>
      </c>
    </row>
    <row r="3638">
      <c r="A3638" s="154" t="s">
        <v>8125</v>
      </c>
      <c r="B3638" s="154" t="s">
        <v>8126</v>
      </c>
      <c r="D3638" s="154">
        <v>2.0</v>
      </c>
      <c r="E3638" s="154" t="s">
        <v>761</v>
      </c>
      <c r="F3638" s="154" t="s">
        <v>1547</v>
      </c>
      <c r="G3638" s="154">
        <v>0.0</v>
      </c>
      <c r="H3638" s="156">
        <v>0.0</v>
      </c>
      <c r="I3638" s="156">
        <v>0.0</v>
      </c>
      <c r="J3638" s="156">
        <v>0.0</v>
      </c>
      <c r="K3638" s="156">
        <v>0.0</v>
      </c>
    </row>
    <row r="3639">
      <c r="A3639" s="154" t="s">
        <v>8125</v>
      </c>
      <c r="B3639" s="155"/>
      <c r="C3639" s="154" t="s">
        <v>8126</v>
      </c>
      <c r="D3639" s="155"/>
      <c r="E3639" s="155"/>
      <c r="F3639" s="154" t="s">
        <v>1547</v>
      </c>
      <c r="G3639" s="154">
        <v>0.0</v>
      </c>
      <c r="H3639" s="156">
        <v>0.0</v>
      </c>
      <c r="I3639" s="156">
        <v>0.0</v>
      </c>
      <c r="J3639" s="156">
        <v>0.0</v>
      </c>
      <c r="K3639" s="156">
        <v>0.0</v>
      </c>
    </row>
    <row r="3640">
      <c r="A3640" s="154" t="s">
        <v>8127</v>
      </c>
      <c r="B3640" s="154" t="s">
        <v>8128</v>
      </c>
      <c r="D3640" s="154">
        <v>2.0</v>
      </c>
      <c r="E3640" s="154" t="s">
        <v>761</v>
      </c>
      <c r="F3640" s="154" t="s">
        <v>1547</v>
      </c>
      <c r="G3640" s="154">
        <v>0.0</v>
      </c>
      <c r="H3640" s="156">
        <v>0.0</v>
      </c>
      <c r="I3640" s="156">
        <v>0.0</v>
      </c>
      <c r="J3640" s="156">
        <v>0.0</v>
      </c>
      <c r="K3640" s="156">
        <v>0.0</v>
      </c>
    </row>
    <row r="3641">
      <c r="A3641" s="154" t="s">
        <v>8127</v>
      </c>
      <c r="B3641" s="155"/>
      <c r="C3641" s="154" t="s">
        <v>8128</v>
      </c>
      <c r="D3641" s="155"/>
      <c r="E3641" s="155"/>
      <c r="F3641" s="154" t="s">
        <v>1547</v>
      </c>
      <c r="G3641" s="154">
        <v>0.0</v>
      </c>
      <c r="H3641" s="156">
        <v>0.0</v>
      </c>
      <c r="I3641" s="156">
        <v>0.0</v>
      </c>
      <c r="J3641" s="156">
        <v>0.0</v>
      </c>
      <c r="K3641" s="156">
        <v>0.0</v>
      </c>
    </row>
    <row r="3642">
      <c r="A3642" s="154" t="s">
        <v>8129</v>
      </c>
      <c r="B3642" s="154" t="s">
        <v>8130</v>
      </c>
      <c r="D3642" s="154">
        <v>2.0</v>
      </c>
      <c r="E3642" s="154" t="s">
        <v>761</v>
      </c>
      <c r="F3642" s="154" t="s">
        <v>8131</v>
      </c>
      <c r="G3642" s="154">
        <v>4471804.0</v>
      </c>
      <c r="H3642" s="154" t="s">
        <v>8132</v>
      </c>
      <c r="I3642" s="156">
        <v>0.0</v>
      </c>
      <c r="J3642" s="156">
        <v>0.0</v>
      </c>
      <c r="K3642" s="156">
        <v>0.0</v>
      </c>
    </row>
    <row r="3643">
      <c r="A3643" s="154" t="s">
        <v>8129</v>
      </c>
      <c r="B3643" s="155"/>
      <c r="C3643" s="154" t="s">
        <v>8130</v>
      </c>
      <c r="D3643" s="155"/>
      <c r="E3643" s="155"/>
      <c r="F3643" s="154" t="s">
        <v>8131</v>
      </c>
      <c r="G3643" s="154">
        <v>4471804.0</v>
      </c>
      <c r="H3643" s="154" t="s">
        <v>8132</v>
      </c>
      <c r="I3643" s="156">
        <v>0.0</v>
      </c>
      <c r="J3643" s="156">
        <v>0.0</v>
      </c>
      <c r="K3643" s="156">
        <v>0.0</v>
      </c>
    </row>
    <row r="3644">
      <c r="A3644" s="154" t="s">
        <v>8133</v>
      </c>
      <c r="B3644" s="154" t="s">
        <v>8134</v>
      </c>
      <c r="D3644" s="154">
        <v>2.0</v>
      </c>
      <c r="E3644" s="154" t="s">
        <v>761</v>
      </c>
      <c r="F3644" s="154" t="s">
        <v>8135</v>
      </c>
      <c r="G3644" s="156">
        <v>0.0</v>
      </c>
      <c r="H3644" s="154" t="s">
        <v>8136</v>
      </c>
      <c r="I3644" s="154" t="s">
        <v>8137</v>
      </c>
      <c r="J3644" s="156">
        <v>0.0</v>
      </c>
      <c r="K3644" s="154" t="s">
        <v>301</v>
      </c>
    </row>
    <row r="3645">
      <c r="A3645" s="154" t="s">
        <v>8133</v>
      </c>
      <c r="B3645" s="155"/>
      <c r="C3645" s="154" t="s">
        <v>8134</v>
      </c>
      <c r="D3645" s="155"/>
      <c r="E3645" s="155"/>
      <c r="F3645" s="154" t="s">
        <v>8138</v>
      </c>
      <c r="G3645" s="154">
        <v>0.0</v>
      </c>
      <c r="H3645" s="156">
        <v>0.0</v>
      </c>
      <c r="I3645" s="154">
        <v>0.0</v>
      </c>
      <c r="J3645" s="156">
        <v>0.0</v>
      </c>
      <c r="K3645" s="154" t="s">
        <v>301</v>
      </c>
    </row>
    <row r="3646">
      <c r="A3646" s="154" t="s">
        <v>8139</v>
      </c>
      <c r="B3646" s="155"/>
      <c r="C3646" s="154" t="s">
        <v>8140</v>
      </c>
      <c r="D3646" s="155"/>
      <c r="E3646" s="155"/>
      <c r="F3646" s="154" t="s">
        <v>8141</v>
      </c>
      <c r="G3646" s="154" t="s">
        <v>8142</v>
      </c>
      <c r="H3646" s="156">
        <v>0.0</v>
      </c>
      <c r="I3646" s="154">
        <v>5.07950432E8</v>
      </c>
      <c r="J3646" s="156">
        <v>0.0</v>
      </c>
      <c r="K3646" s="154" t="s">
        <v>206</v>
      </c>
    </row>
    <row r="3647">
      <c r="A3647" s="154" t="s">
        <v>8139</v>
      </c>
      <c r="B3647" s="154" t="s">
        <v>8140</v>
      </c>
      <c r="D3647" s="154">
        <v>2.0</v>
      </c>
      <c r="E3647" s="154" t="s">
        <v>761</v>
      </c>
      <c r="F3647" s="154" t="s">
        <v>8141</v>
      </c>
      <c r="G3647" s="154" t="s">
        <v>8142</v>
      </c>
      <c r="H3647" s="156">
        <v>0.0</v>
      </c>
      <c r="I3647" s="154">
        <v>5.07950432E8</v>
      </c>
      <c r="J3647" s="156">
        <v>0.0</v>
      </c>
      <c r="K3647" s="154" t="s">
        <v>206</v>
      </c>
    </row>
    <row r="3648">
      <c r="A3648" s="154" t="s">
        <v>8143</v>
      </c>
      <c r="B3648" s="154" t="s">
        <v>8144</v>
      </c>
      <c r="D3648" s="154">
        <v>2.0</v>
      </c>
      <c r="E3648" s="154" t="s">
        <v>761</v>
      </c>
      <c r="F3648" s="154" t="s">
        <v>8145</v>
      </c>
      <c r="G3648" s="154">
        <v>5.05596579E8</v>
      </c>
      <c r="H3648" s="156">
        <v>0.0</v>
      </c>
      <c r="I3648" s="156">
        <v>0.0</v>
      </c>
      <c r="J3648" s="156">
        <v>0.0</v>
      </c>
      <c r="K3648" s="154" t="s">
        <v>361</v>
      </c>
    </row>
    <row r="3649">
      <c r="A3649" s="154" t="s">
        <v>8143</v>
      </c>
      <c r="B3649" s="155"/>
      <c r="C3649" s="154" t="s">
        <v>8144</v>
      </c>
      <c r="D3649" s="155"/>
      <c r="E3649" s="155"/>
      <c r="F3649" s="154" t="s">
        <v>8146</v>
      </c>
      <c r="G3649" s="156">
        <v>0.0</v>
      </c>
      <c r="H3649" s="156">
        <v>0.0</v>
      </c>
      <c r="I3649" s="154">
        <v>5.05596579E8</v>
      </c>
      <c r="J3649" s="156">
        <v>0.0</v>
      </c>
      <c r="K3649" s="154" t="s">
        <v>361</v>
      </c>
    </row>
    <row r="3650">
      <c r="A3650" s="154" t="s">
        <v>8147</v>
      </c>
      <c r="B3650" s="155"/>
      <c r="C3650" s="154" t="s">
        <v>8148</v>
      </c>
      <c r="D3650" s="155"/>
      <c r="E3650" s="155"/>
      <c r="F3650" s="154" t="s">
        <v>792</v>
      </c>
      <c r="G3650" s="154" t="s">
        <v>793</v>
      </c>
      <c r="H3650" s="154" t="s">
        <v>794</v>
      </c>
      <c r="I3650" s="156">
        <v>0.0</v>
      </c>
      <c r="J3650" s="156">
        <v>0.0</v>
      </c>
      <c r="K3650" s="156">
        <v>0.0</v>
      </c>
    </row>
    <row r="3651">
      <c r="A3651" s="154" t="s">
        <v>8147</v>
      </c>
      <c r="B3651" s="154" t="s">
        <v>8148</v>
      </c>
      <c r="D3651" s="154">
        <v>2.0</v>
      </c>
      <c r="E3651" s="154" t="s">
        <v>761</v>
      </c>
      <c r="F3651" s="154" t="s">
        <v>792</v>
      </c>
      <c r="G3651" s="154" t="s">
        <v>793</v>
      </c>
      <c r="H3651" s="154" t="s">
        <v>794</v>
      </c>
      <c r="I3651" s="156">
        <v>0.0</v>
      </c>
      <c r="J3651" s="156">
        <v>0.0</v>
      </c>
      <c r="K3651" s="156">
        <v>0.0</v>
      </c>
    </row>
    <row r="3652">
      <c r="A3652" s="154" t="s">
        <v>8149</v>
      </c>
      <c r="B3652" s="155"/>
      <c r="C3652" s="154" t="s">
        <v>8150</v>
      </c>
      <c r="D3652" s="155"/>
      <c r="E3652" s="155"/>
      <c r="F3652" s="154" t="s">
        <v>8151</v>
      </c>
      <c r="G3652" s="156">
        <v>0.0</v>
      </c>
      <c r="H3652" s="156">
        <v>0.0</v>
      </c>
      <c r="I3652" s="154">
        <v>0.0</v>
      </c>
      <c r="J3652" s="156">
        <v>0.0</v>
      </c>
      <c r="K3652" s="154" t="s">
        <v>207</v>
      </c>
    </row>
    <row r="3653">
      <c r="A3653" s="154" t="s">
        <v>8149</v>
      </c>
      <c r="B3653" s="154" t="s">
        <v>8150</v>
      </c>
      <c r="D3653" s="154">
        <v>2.0</v>
      </c>
      <c r="E3653" s="154" t="s">
        <v>761</v>
      </c>
      <c r="F3653" s="154" t="s">
        <v>8151</v>
      </c>
      <c r="G3653" s="156">
        <v>0.0</v>
      </c>
      <c r="H3653" s="156">
        <v>0.0</v>
      </c>
      <c r="I3653" s="154">
        <v>0.0</v>
      </c>
      <c r="J3653" s="156">
        <v>0.0</v>
      </c>
      <c r="K3653" s="154" t="s">
        <v>207</v>
      </c>
    </row>
    <row r="3654">
      <c r="A3654" s="154" t="s">
        <v>8152</v>
      </c>
      <c r="B3654" s="154" t="s">
        <v>8153</v>
      </c>
      <c r="D3654" s="154">
        <v>2.0</v>
      </c>
      <c r="E3654" s="154" t="s">
        <v>761</v>
      </c>
      <c r="F3654" s="154" t="s">
        <v>1837</v>
      </c>
      <c r="G3654" s="156">
        <v>0.0</v>
      </c>
      <c r="H3654" s="154" t="s">
        <v>1838</v>
      </c>
      <c r="I3654" s="154" t="s">
        <v>1839</v>
      </c>
      <c r="J3654" s="154" t="s">
        <v>1840</v>
      </c>
      <c r="K3654" s="154" t="s">
        <v>846</v>
      </c>
    </row>
    <row r="3655">
      <c r="A3655" s="154" t="s">
        <v>8152</v>
      </c>
      <c r="B3655" s="155"/>
      <c r="C3655" s="154" t="s">
        <v>8153</v>
      </c>
      <c r="D3655" s="155"/>
      <c r="E3655" s="155"/>
      <c r="F3655" s="154" t="s">
        <v>1837</v>
      </c>
      <c r="G3655" s="156">
        <v>0.0</v>
      </c>
      <c r="H3655" s="154" t="s">
        <v>1838</v>
      </c>
      <c r="I3655" s="154" t="s">
        <v>1839</v>
      </c>
      <c r="J3655" s="154" t="s">
        <v>1840</v>
      </c>
      <c r="K3655" s="154" t="s">
        <v>846</v>
      </c>
    </row>
    <row r="3656">
      <c r="A3656" s="154" t="s">
        <v>8154</v>
      </c>
      <c r="B3656" s="155"/>
      <c r="C3656" s="154" t="s">
        <v>8155</v>
      </c>
      <c r="D3656" s="155"/>
      <c r="E3656" s="155"/>
      <c r="F3656" s="154" t="s">
        <v>8156</v>
      </c>
      <c r="G3656" s="154" t="s">
        <v>8157</v>
      </c>
      <c r="H3656" s="154" t="s">
        <v>8158</v>
      </c>
      <c r="I3656" s="154" t="s">
        <v>8159</v>
      </c>
      <c r="J3656" s="154" t="s">
        <v>8157</v>
      </c>
      <c r="K3656" s="154" t="s">
        <v>320</v>
      </c>
    </row>
    <row r="3657">
      <c r="A3657" s="154" t="s">
        <v>8154</v>
      </c>
      <c r="B3657" s="154" t="s">
        <v>8155</v>
      </c>
      <c r="C3657" s="155"/>
      <c r="D3657" s="154">
        <v>2.0</v>
      </c>
      <c r="E3657" s="154" t="s">
        <v>897</v>
      </c>
      <c r="F3657" s="154" t="s">
        <v>8156</v>
      </c>
      <c r="G3657" s="154" t="s">
        <v>8157</v>
      </c>
      <c r="H3657" s="154" t="s">
        <v>8158</v>
      </c>
      <c r="I3657" s="154" t="s">
        <v>8159</v>
      </c>
      <c r="J3657" s="154" t="s">
        <v>8157</v>
      </c>
      <c r="K3657" s="154" t="s">
        <v>320</v>
      </c>
    </row>
    <row r="3658">
      <c r="A3658" s="154" t="s">
        <v>8160</v>
      </c>
      <c r="B3658" s="154" t="s">
        <v>8161</v>
      </c>
      <c r="C3658" s="155"/>
      <c r="D3658" s="154">
        <v>2.0</v>
      </c>
      <c r="E3658" s="154" t="s">
        <v>897</v>
      </c>
      <c r="F3658" s="154" t="s">
        <v>8162</v>
      </c>
      <c r="G3658" s="154">
        <v>5.0537986E8</v>
      </c>
      <c r="H3658" s="156">
        <v>0.0</v>
      </c>
      <c r="I3658" s="154" t="s">
        <v>8163</v>
      </c>
      <c r="J3658" s="154" t="s">
        <v>8164</v>
      </c>
      <c r="K3658" s="154" t="s">
        <v>259</v>
      </c>
    </row>
    <row r="3659">
      <c r="A3659" s="154" t="s">
        <v>8160</v>
      </c>
      <c r="B3659" s="155"/>
      <c r="C3659" s="154" t="s">
        <v>8161</v>
      </c>
      <c r="D3659" s="155"/>
      <c r="E3659" s="155"/>
      <c r="F3659" s="154" t="s">
        <v>8162</v>
      </c>
      <c r="G3659" s="154">
        <v>5.0537986E8</v>
      </c>
      <c r="H3659" s="156">
        <v>0.0</v>
      </c>
      <c r="I3659" s="154" t="s">
        <v>8163</v>
      </c>
      <c r="J3659" s="154" t="s">
        <v>8164</v>
      </c>
      <c r="K3659" s="154" t="s">
        <v>259</v>
      </c>
    </row>
    <row r="3660">
      <c r="A3660" s="154" t="s">
        <v>8165</v>
      </c>
      <c r="B3660" s="154" t="s">
        <v>8166</v>
      </c>
      <c r="C3660" s="155"/>
      <c r="D3660" s="154">
        <v>2.0</v>
      </c>
      <c r="E3660" s="154" t="s">
        <v>897</v>
      </c>
      <c r="F3660" s="154" t="s">
        <v>8167</v>
      </c>
      <c r="G3660" s="156">
        <v>0.0</v>
      </c>
      <c r="H3660" s="154" t="s">
        <v>1185</v>
      </c>
      <c r="I3660" s="154" t="s">
        <v>8168</v>
      </c>
      <c r="J3660" s="154" t="s">
        <v>8169</v>
      </c>
      <c r="K3660" s="154" t="s">
        <v>1059</v>
      </c>
    </row>
    <row r="3661">
      <c r="A3661" s="154" t="s">
        <v>8165</v>
      </c>
      <c r="B3661" s="155"/>
      <c r="C3661" s="154" t="s">
        <v>8166</v>
      </c>
      <c r="D3661" s="155"/>
      <c r="E3661" s="155"/>
      <c r="F3661" s="154" t="s">
        <v>8170</v>
      </c>
      <c r="G3661" s="156">
        <v>0.0</v>
      </c>
      <c r="H3661" s="154" t="s">
        <v>1185</v>
      </c>
      <c r="I3661" s="154" t="s">
        <v>8171</v>
      </c>
      <c r="J3661" s="154" t="s">
        <v>8172</v>
      </c>
      <c r="K3661" s="154" t="s">
        <v>361</v>
      </c>
    </row>
    <row r="3662">
      <c r="A3662" s="154" t="s">
        <v>8173</v>
      </c>
      <c r="B3662" s="154" t="s">
        <v>8174</v>
      </c>
      <c r="C3662" s="155"/>
      <c r="D3662" s="154">
        <v>2.0</v>
      </c>
      <c r="E3662" s="154" t="s">
        <v>897</v>
      </c>
      <c r="F3662" s="154" t="s">
        <v>1652</v>
      </c>
      <c r="G3662" s="156">
        <v>0.0</v>
      </c>
      <c r="H3662" s="154" t="s">
        <v>1649</v>
      </c>
      <c r="I3662" s="154" t="s">
        <v>1650</v>
      </c>
      <c r="J3662" s="154" t="s">
        <v>1651</v>
      </c>
      <c r="K3662" s="154" t="s">
        <v>361</v>
      </c>
    </row>
    <row r="3663">
      <c r="A3663" s="154" t="s">
        <v>8173</v>
      </c>
      <c r="B3663" s="155"/>
      <c r="C3663" s="154" t="s">
        <v>8174</v>
      </c>
      <c r="D3663" s="155"/>
      <c r="E3663" s="155"/>
      <c r="F3663" s="154" t="s">
        <v>1648</v>
      </c>
      <c r="G3663" s="156">
        <v>0.0</v>
      </c>
      <c r="H3663" s="154" t="s">
        <v>1649</v>
      </c>
      <c r="I3663" s="154" t="s">
        <v>1650</v>
      </c>
      <c r="J3663" s="154" t="s">
        <v>1651</v>
      </c>
      <c r="K3663" s="154" t="s">
        <v>361</v>
      </c>
    </row>
    <row r="3664">
      <c r="A3664" s="154" t="s">
        <v>8175</v>
      </c>
      <c r="B3664" s="154" t="s">
        <v>8176</v>
      </c>
      <c r="C3664" s="155"/>
      <c r="D3664" s="154">
        <v>2.0</v>
      </c>
      <c r="E3664" s="154" t="s">
        <v>897</v>
      </c>
      <c r="F3664" s="154" t="s">
        <v>8177</v>
      </c>
      <c r="G3664" s="156">
        <v>0.0</v>
      </c>
      <c r="H3664" s="156">
        <v>0.0</v>
      </c>
      <c r="I3664" s="154" t="s">
        <v>8178</v>
      </c>
      <c r="J3664" s="154" t="s">
        <v>8179</v>
      </c>
      <c r="K3664" s="154" t="s">
        <v>197</v>
      </c>
    </row>
    <row r="3665">
      <c r="A3665" s="154" t="s">
        <v>8175</v>
      </c>
      <c r="B3665" s="155"/>
      <c r="C3665" s="154" t="s">
        <v>8176</v>
      </c>
      <c r="D3665" s="155"/>
      <c r="E3665" s="155"/>
      <c r="F3665" s="154" t="s">
        <v>8177</v>
      </c>
      <c r="G3665" s="156">
        <v>0.0</v>
      </c>
      <c r="H3665" s="156">
        <v>0.0</v>
      </c>
      <c r="I3665" s="154" t="s">
        <v>8178</v>
      </c>
      <c r="J3665" s="154" t="s">
        <v>8179</v>
      </c>
      <c r="K3665" s="154" t="s">
        <v>197</v>
      </c>
    </row>
    <row r="3666">
      <c r="A3666" s="154" t="s">
        <v>8180</v>
      </c>
      <c r="B3666" s="155"/>
      <c r="C3666" s="154" t="s">
        <v>8181</v>
      </c>
      <c r="D3666" s="155"/>
      <c r="E3666" s="155"/>
      <c r="F3666" s="154" t="s">
        <v>8182</v>
      </c>
      <c r="G3666" s="156">
        <v>0.0</v>
      </c>
      <c r="H3666" s="154" t="s">
        <v>8183</v>
      </c>
      <c r="I3666" s="154" t="s">
        <v>8184</v>
      </c>
      <c r="J3666" s="154" t="s">
        <v>8185</v>
      </c>
      <c r="K3666" s="154" t="s">
        <v>365</v>
      </c>
    </row>
    <row r="3667">
      <c r="A3667" s="154" t="s">
        <v>8180</v>
      </c>
      <c r="B3667" s="154" t="s">
        <v>8181</v>
      </c>
      <c r="C3667" s="155"/>
      <c r="D3667" s="154">
        <v>2.0</v>
      </c>
      <c r="E3667" s="154" t="s">
        <v>897</v>
      </c>
      <c r="F3667" s="154" t="s">
        <v>8182</v>
      </c>
      <c r="G3667" s="156">
        <v>0.0</v>
      </c>
      <c r="H3667" s="154" t="s">
        <v>8183</v>
      </c>
      <c r="I3667" s="154" t="s">
        <v>8184</v>
      </c>
      <c r="J3667" s="154" t="s">
        <v>8185</v>
      </c>
      <c r="K3667" s="154" t="s">
        <v>365</v>
      </c>
    </row>
    <row r="3668">
      <c r="A3668" s="154" t="s">
        <v>8186</v>
      </c>
      <c r="B3668" s="155"/>
      <c r="C3668" s="154" t="s">
        <v>8187</v>
      </c>
      <c r="D3668" s="155"/>
      <c r="E3668" s="155"/>
      <c r="F3668" s="154" t="s">
        <v>8188</v>
      </c>
      <c r="G3668" s="154">
        <v>4.3605799E7</v>
      </c>
      <c r="H3668" s="156">
        <v>0.0</v>
      </c>
      <c r="I3668" s="154">
        <v>9.71506256067E11</v>
      </c>
      <c r="J3668" s="156">
        <v>0.0</v>
      </c>
      <c r="K3668" s="154" t="s">
        <v>1446</v>
      </c>
    </row>
    <row r="3669">
      <c r="A3669" s="154" t="s">
        <v>8186</v>
      </c>
      <c r="B3669" s="154" t="s">
        <v>8187</v>
      </c>
      <c r="C3669" s="155"/>
      <c r="D3669" s="154">
        <v>2.0</v>
      </c>
      <c r="E3669" s="154" t="s">
        <v>897</v>
      </c>
      <c r="F3669" s="154" t="s">
        <v>8188</v>
      </c>
      <c r="G3669" s="154">
        <v>4.3605799E7</v>
      </c>
      <c r="H3669" s="156">
        <v>0.0</v>
      </c>
      <c r="I3669" s="154">
        <v>9.71506256067E11</v>
      </c>
      <c r="J3669" s="156">
        <v>0.0</v>
      </c>
      <c r="K3669" s="154" t="s">
        <v>1446</v>
      </c>
    </row>
    <row r="3670">
      <c r="A3670" s="154" t="s">
        <v>8189</v>
      </c>
      <c r="B3670" s="154" t="s">
        <v>8190</v>
      </c>
      <c r="C3670" s="155"/>
      <c r="D3670" s="154">
        <v>2.0</v>
      </c>
      <c r="E3670" s="154" t="s">
        <v>897</v>
      </c>
      <c r="F3670" s="154" t="s">
        <v>8191</v>
      </c>
      <c r="G3670" s="156">
        <v>0.0</v>
      </c>
      <c r="H3670" s="154" t="s">
        <v>8192</v>
      </c>
      <c r="I3670" s="154" t="s">
        <v>8193</v>
      </c>
      <c r="J3670" s="154" t="s">
        <v>8194</v>
      </c>
      <c r="K3670" s="154" t="s">
        <v>259</v>
      </c>
    </row>
    <row r="3671">
      <c r="A3671" s="154" t="s">
        <v>8189</v>
      </c>
      <c r="B3671" s="155"/>
      <c r="C3671" s="154" t="s">
        <v>8190</v>
      </c>
      <c r="D3671" s="155"/>
      <c r="E3671" s="155"/>
      <c r="F3671" s="154" t="s">
        <v>8195</v>
      </c>
      <c r="G3671" s="156">
        <v>0.0</v>
      </c>
      <c r="H3671" s="154" t="s">
        <v>8192</v>
      </c>
      <c r="I3671" s="154" t="s">
        <v>853</v>
      </c>
      <c r="J3671" s="156">
        <v>0.0</v>
      </c>
      <c r="K3671" s="154" t="s">
        <v>197</v>
      </c>
    </row>
    <row r="3672">
      <c r="A3672" s="154" t="s">
        <v>8196</v>
      </c>
      <c r="B3672" s="155"/>
      <c r="C3672" s="154" t="s">
        <v>8197</v>
      </c>
      <c r="D3672" s="155"/>
      <c r="E3672" s="155"/>
      <c r="F3672" s="154" t="s">
        <v>8198</v>
      </c>
      <c r="G3672" s="154" t="s">
        <v>8199</v>
      </c>
      <c r="H3672" s="156">
        <v>0.0</v>
      </c>
      <c r="I3672" s="154" t="s">
        <v>8200</v>
      </c>
      <c r="J3672" s="154" t="s">
        <v>8199</v>
      </c>
      <c r="K3672" s="154" t="s">
        <v>361</v>
      </c>
    </row>
    <row r="3673">
      <c r="A3673" s="154" t="s">
        <v>8196</v>
      </c>
      <c r="B3673" s="154" t="s">
        <v>8197</v>
      </c>
      <c r="C3673" s="155"/>
      <c r="D3673" s="154">
        <v>2.0</v>
      </c>
      <c r="E3673" s="154" t="s">
        <v>897</v>
      </c>
      <c r="F3673" s="154" t="s">
        <v>8198</v>
      </c>
      <c r="G3673" s="154" t="s">
        <v>8199</v>
      </c>
      <c r="H3673" s="156">
        <v>0.0</v>
      </c>
      <c r="I3673" s="154" t="s">
        <v>8200</v>
      </c>
      <c r="J3673" s="154" t="s">
        <v>8199</v>
      </c>
      <c r="K3673" s="154" t="s">
        <v>361</v>
      </c>
    </row>
    <row r="3674">
      <c r="A3674" s="154" t="s">
        <v>8201</v>
      </c>
      <c r="B3674" s="154" t="s">
        <v>8202</v>
      </c>
      <c r="C3674" s="155"/>
      <c r="D3674" s="154">
        <v>2.0</v>
      </c>
      <c r="E3674" s="154" t="s">
        <v>897</v>
      </c>
      <c r="F3674" s="154" t="s">
        <v>8203</v>
      </c>
      <c r="G3674" s="154">
        <v>5.52111675E8</v>
      </c>
      <c r="H3674" s="156">
        <v>0.0</v>
      </c>
      <c r="I3674" s="154">
        <v>5.52111675E8</v>
      </c>
      <c r="J3674" s="156">
        <v>0.0</v>
      </c>
      <c r="K3674" s="154" t="s">
        <v>760</v>
      </c>
    </row>
    <row r="3675">
      <c r="A3675" s="154" t="s">
        <v>8201</v>
      </c>
      <c r="B3675" s="155"/>
      <c r="C3675" s="154" t="s">
        <v>8202</v>
      </c>
      <c r="D3675" s="155"/>
      <c r="E3675" s="155"/>
      <c r="F3675" s="154" t="s">
        <v>8203</v>
      </c>
      <c r="G3675" s="154">
        <v>5.52111675E8</v>
      </c>
      <c r="H3675" s="156">
        <v>0.0</v>
      </c>
      <c r="I3675" s="154">
        <v>5.52111675E8</v>
      </c>
      <c r="J3675" s="156">
        <v>0.0</v>
      </c>
      <c r="K3675" s="154" t="s">
        <v>760</v>
      </c>
    </row>
    <row r="3676">
      <c r="A3676" s="154" t="s">
        <v>8204</v>
      </c>
      <c r="B3676" s="154" t="s">
        <v>8205</v>
      </c>
      <c r="C3676" s="155"/>
      <c r="D3676" s="154">
        <v>2.0</v>
      </c>
      <c r="E3676" s="154" t="s">
        <v>897</v>
      </c>
      <c r="F3676" s="154" t="s">
        <v>8206</v>
      </c>
      <c r="G3676" s="156">
        <v>0.0</v>
      </c>
      <c r="H3676" s="156">
        <v>0.0</v>
      </c>
      <c r="I3676" s="154">
        <v>5.06534864E8</v>
      </c>
      <c r="J3676" s="156">
        <v>0.0</v>
      </c>
      <c r="K3676" s="154" t="s">
        <v>361</v>
      </c>
    </row>
    <row r="3677">
      <c r="A3677" s="154" t="s">
        <v>8204</v>
      </c>
      <c r="B3677" s="155"/>
      <c r="C3677" s="154" t="s">
        <v>8205</v>
      </c>
      <c r="D3677" s="155"/>
      <c r="E3677" s="155"/>
      <c r="F3677" s="154" t="s">
        <v>8206</v>
      </c>
      <c r="G3677" s="156">
        <v>0.0</v>
      </c>
      <c r="H3677" s="156">
        <v>0.0</v>
      </c>
      <c r="I3677" s="154">
        <v>5.06534864E8</v>
      </c>
      <c r="J3677" s="156">
        <v>0.0</v>
      </c>
      <c r="K3677" s="154" t="s">
        <v>361</v>
      </c>
    </row>
    <row r="3678">
      <c r="A3678" s="154" t="s">
        <v>8207</v>
      </c>
      <c r="B3678" s="154" t="s">
        <v>8208</v>
      </c>
      <c r="C3678" s="155"/>
      <c r="D3678" s="154">
        <v>2.0</v>
      </c>
      <c r="E3678" s="154" t="s">
        <v>897</v>
      </c>
      <c r="F3678" s="154" t="s">
        <v>8209</v>
      </c>
      <c r="G3678" s="154" t="s">
        <v>8210</v>
      </c>
      <c r="H3678" s="156">
        <v>0.0</v>
      </c>
      <c r="I3678" s="154">
        <v>9.71504503164E11</v>
      </c>
      <c r="J3678" s="156">
        <v>0.0</v>
      </c>
      <c r="K3678" s="154" t="s">
        <v>760</v>
      </c>
    </row>
    <row r="3679">
      <c r="A3679" s="154" t="s">
        <v>8207</v>
      </c>
      <c r="B3679" s="155"/>
      <c r="C3679" s="154" t="s">
        <v>8208</v>
      </c>
      <c r="D3679" s="155"/>
      <c r="E3679" s="155"/>
      <c r="F3679" s="154" t="s">
        <v>8209</v>
      </c>
      <c r="G3679" s="154" t="s">
        <v>8210</v>
      </c>
      <c r="H3679" s="156">
        <v>0.0</v>
      </c>
      <c r="I3679" s="154">
        <v>9.71504503164E11</v>
      </c>
      <c r="J3679" s="156">
        <v>0.0</v>
      </c>
      <c r="K3679" s="154" t="s">
        <v>760</v>
      </c>
    </row>
    <row r="3680">
      <c r="A3680" s="154" t="s">
        <v>8211</v>
      </c>
      <c r="B3680" s="154" t="s">
        <v>8212</v>
      </c>
      <c r="C3680" s="155"/>
      <c r="D3680" s="154">
        <v>2.0</v>
      </c>
      <c r="E3680" s="154" t="s">
        <v>897</v>
      </c>
      <c r="F3680" s="154" t="s">
        <v>8213</v>
      </c>
      <c r="G3680" s="156">
        <v>0.0</v>
      </c>
      <c r="H3680" s="156">
        <v>0.0</v>
      </c>
      <c r="I3680" s="154" t="s">
        <v>8214</v>
      </c>
      <c r="J3680" s="154" t="s">
        <v>8215</v>
      </c>
      <c r="K3680" s="154" t="s">
        <v>240</v>
      </c>
    </row>
    <row r="3681">
      <c r="A3681" s="154" t="s">
        <v>8211</v>
      </c>
      <c r="B3681" s="155"/>
      <c r="C3681" s="154" t="s">
        <v>8212</v>
      </c>
      <c r="D3681" s="155"/>
      <c r="E3681" s="155"/>
      <c r="F3681" s="154" t="s">
        <v>8213</v>
      </c>
      <c r="G3681" s="156">
        <v>0.0</v>
      </c>
      <c r="H3681" s="156">
        <v>0.0</v>
      </c>
      <c r="I3681" s="154" t="s">
        <v>8214</v>
      </c>
      <c r="J3681" s="154" t="s">
        <v>8215</v>
      </c>
      <c r="K3681" s="154" t="s">
        <v>240</v>
      </c>
    </row>
    <row r="3682">
      <c r="A3682" s="154" t="s">
        <v>8216</v>
      </c>
      <c r="B3682" s="154" t="s">
        <v>8217</v>
      </c>
      <c r="C3682" s="155"/>
      <c r="D3682" s="154">
        <v>2.0</v>
      </c>
      <c r="E3682" s="154" t="s">
        <v>897</v>
      </c>
      <c r="F3682" s="154" t="s">
        <v>8218</v>
      </c>
      <c r="G3682" s="154">
        <v>0.0</v>
      </c>
      <c r="H3682" s="156">
        <v>0.0</v>
      </c>
      <c r="I3682" s="154">
        <v>0.0</v>
      </c>
      <c r="J3682" s="156">
        <v>0.0</v>
      </c>
      <c r="K3682" s="154" t="s">
        <v>207</v>
      </c>
    </row>
    <row r="3683">
      <c r="A3683" s="154" t="s">
        <v>8216</v>
      </c>
      <c r="B3683" s="155"/>
      <c r="C3683" s="154" t="s">
        <v>8217</v>
      </c>
      <c r="D3683" s="155"/>
      <c r="E3683" s="155"/>
      <c r="F3683" s="154" t="s">
        <v>8218</v>
      </c>
      <c r="G3683" s="154">
        <v>0.0</v>
      </c>
      <c r="H3683" s="156">
        <v>0.0</v>
      </c>
      <c r="I3683" s="154">
        <v>0.0</v>
      </c>
      <c r="J3683" s="156">
        <v>0.0</v>
      </c>
      <c r="K3683" s="154" t="s">
        <v>207</v>
      </c>
    </row>
    <row r="3684">
      <c r="A3684" s="154" t="s">
        <v>8219</v>
      </c>
      <c r="B3684" s="155"/>
      <c r="C3684" s="154" t="s">
        <v>8220</v>
      </c>
      <c r="D3684" s="155"/>
      <c r="E3684" s="155"/>
      <c r="F3684" s="154" t="s">
        <v>8221</v>
      </c>
      <c r="G3684" s="154">
        <v>5.06467241E8</v>
      </c>
      <c r="H3684" s="156">
        <v>0.0</v>
      </c>
      <c r="I3684" s="154">
        <v>9.71506467241E11</v>
      </c>
      <c r="J3684" s="156">
        <v>0.0</v>
      </c>
      <c r="K3684" s="154" t="s">
        <v>760</v>
      </c>
    </row>
    <row r="3685">
      <c r="A3685" s="154" t="s">
        <v>8219</v>
      </c>
      <c r="B3685" s="154" t="s">
        <v>8220</v>
      </c>
      <c r="C3685" s="155"/>
      <c r="D3685" s="154">
        <v>2.0</v>
      </c>
      <c r="E3685" s="154" t="s">
        <v>897</v>
      </c>
      <c r="F3685" s="154" t="s">
        <v>8221</v>
      </c>
      <c r="G3685" s="154">
        <v>5.06467241E8</v>
      </c>
      <c r="H3685" s="156">
        <v>0.0</v>
      </c>
      <c r="I3685" s="154">
        <v>9.71506467241E11</v>
      </c>
      <c r="J3685" s="156">
        <v>0.0</v>
      </c>
      <c r="K3685" s="154" t="s">
        <v>760</v>
      </c>
    </row>
    <row r="3686">
      <c r="A3686" s="154" t="s">
        <v>8222</v>
      </c>
      <c r="B3686" s="155"/>
      <c r="C3686" s="154" t="s">
        <v>8223</v>
      </c>
      <c r="D3686" s="155"/>
      <c r="E3686" s="155"/>
      <c r="F3686" s="154" t="s">
        <v>8224</v>
      </c>
      <c r="G3686" s="156">
        <v>0.0</v>
      </c>
      <c r="H3686" s="156">
        <v>0.0</v>
      </c>
      <c r="I3686" s="154">
        <v>9.7150811641E11</v>
      </c>
      <c r="J3686" s="156">
        <v>0.0</v>
      </c>
      <c r="K3686" s="154" t="s">
        <v>240</v>
      </c>
    </row>
    <row r="3687">
      <c r="A3687" s="154" t="s">
        <v>8222</v>
      </c>
      <c r="B3687" s="154" t="s">
        <v>8223</v>
      </c>
      <c r="C3687" s="155"/>
      <c r="D3687" s="154">
        <v>2.0</v>
      </c>
      <c r="E3687" s="154" t="s">
        <v>897</v>
      </c>
      <c r="F3687" s="154" t="s">
        <v>8224</v>
      </c>
      <c r="G3687" s="156">
        <v>0.0</v>
      </c>
      <c r="H3687" s="156">
        <v>0.0</v>
      </c>
      <c r="I3687" s="154">
        <v>9.7150811641E11</v>
      </c>
      <c r="J3687" s="156">
        <v>0.0</v>
      </c>
      <c r="K3687" s="154" t="s">
        <v>240</v>
      </c>
    </row>
    <row r="3688">
      <c r="A3688" s="154" t="s">
        <v>8225</v>
      </c>
      <c r="B3688" s="155"/>
      <c r="C3688" s="154" t="s">
        <v>8226</v>
      </c>
      <c r="D3688" s="155"/>
      <c r="E3688" s="155"/>
      <c r="F3688" s="154" t="s">
        <v>2245</v>
      </c>
      <c r="G3688" s="156">
        <v>0.0</v>
      </c>
      <c r="H3688" s="156">
        <v>0.0</v>
      </c>
      <c r="I3688" s="154" t="s">
        <v>2246</v>
      </c>
      <c r="J3688" s="154" t="s">
        <v>2247</v>
      </c>
      <c r="K3688" s="154" t="s">
        <v>259</v>
      </c>
    </row>
    <row r="3689">
      <c r="A3689" s="154" t="s">
        <v>8225</v>
      </c>
      <c r="B3689" s="154" t="s">
        <v>8226</v>
      </c>
      <c r="C3689" s="155"/>
      <c r="D3689" s="154">
        <v>2.0</v>
      </c>
      <c r="E3689" s="154" t="s">
        <v>897</v>
      </c>
      <c r="F3689" s="154" t="s">
        <v>2245</v>
      </c>
      <c r="G3689" s="156">
        <v>0.0</v>
      </c>
      <c r="H3689" s="156">
        <v>0.0</v>
      </c>
      <c r="I3689" s="154" t="s">
        <v>2246</v>
      </c>
      <c r="J3689" s="154" t="s">
        <v>2247</v>
      </c>
      <c r="K3689" s="154" t="s">
        <v>259</v>
      </c>
    </row>
    <row r="3690">
      <c r="A3690" s="154" t="s">
        <v>8227</v>
      </c>
      <c r="B3690" s="155"/>
      <c r="C3690" s="154" t="s">
        <v>8228</v>
      </c>
      <c r="D3690" s="155"/>
      <c r="E3690" s="155"/>
      <c r="F3690" s="154" t="s">
        <v>8229</v>
      </c>
      <c r="G3690" s="156">
        <v>0.0</v>
      </c>
      <c r="H3690" s="156">
        <v>0.0</v>
      </c>
      <c r="I3690" s="154">
        <v>9.71508877948E11</v>
      </c>
      <c r="J3690" s="156">
        <v>0.0</v>
      </c>
      <c r="K3690" s="154" t="s">
        <v>776</v>
      </c>
    </row>
    <row r="3691">
      <c r="A3691" s="154" t="s">
        <v>8227</v>
      </c>
      <c r="B3691" s="154" t="s">
        <v>8228</v>
      </c>
      <c r="C3691" s="155"/>
      <c r="D3691" s="154">
        <v>2.0</v>
      </c>
      <c r="E3691" s="154" t="s">
        <v>897</v>
      </c>
      <c r="F3691" s="154" t="s">
        <v>8229</v>
      </c>
      <c r="G3691" s="156">
        <v>0.0</v>
      </c>
      <c r="H3691" s="156">
        <v>0.0</v>
      </c>
      <c r="I3691" s="154">
        <v>9.71508877948E11</v>
      </c>
      <c r="J3691" s="156">
        <v>0.0</v>
      </c>
      <c r="K3691" s="154" t="s">
        <v>776</v>
      </c>
    </row>
    <row r="3692">
      <c r="A3692" s="154" t="s">
        <v>8230</v>
      </c>
      <c r="B3692" s="154" t="s">
        <v>8231</v>
      </c>
      <c r="C3692" s="155"/>
      <c r="D3692" s="154">
        <v>2.0</v>
      </c>
      <c r="E3692" s="154" t="s">
        <v>897</v>
      </c>
      <c r="F3692" s="154" t="s">
        <v>8232</v>
      </c>
      <c r="G3692" s="154">
        <v>9.66505421441E11</v>
      </c>
      <c r="H3692" s="156">
        <v>0.0</v>
      </c>
      <c r="I3692" s="154">
        <v>9.71504218891E11</v>
      </c>
      <c r="J3692" s="156">
        <v>0.0</v>
      </c>
      <c r="K3692" s="154" t="s">
        <v>914</v>
      </c>
    </row>
    <row r="3693">
      <c r="A3693" s="154" t="s">
        <v>8230</v>
      </c>
      <c r="B3693" s="155"/>
      <c r="C3693" s="154" t="s">
        <v>8231</v>
      </c>
      <c r="D3693" s="155"/>
      <c r="E3693" s="155"/>
      <c r="F3693" s="154" t="s">
        <v>8232</v>
      </c>
      <c r="G3693" s="154">
        <v>9.66505421441E11</v>
      </c>
      <c r="H3693" s="156">
        <v>0.0</v>
      </c>
      <c r="I3693" s="154">
        <v>9.71504218891E11</v>
      </c>
      <c r="J3693" s="156">
        <v>0.0</v>
      </c>
      <c r="K3693" s="154" t="s">
        <v>914</v>
      </c>
    </row>
    <row r="3694">
      <c r="A3694" s="154" t="s">
        <v>8233</v>
      </c>
      <c r="B3694" s="155"/>
      <c r="C3694" s="154" t="s">
        <v>8234</v>
      </c>
      <c r="D3694" s="155"/>
      <c r="E3694" s="155"/>
      <c r="F3694" s="154" t="s">
        <v>8232</v>
      </c>
      <c r="G3694" s="154">
        <v>9.66505421441E11</v>
      </c>
      <c r="H3694" s="156">
        <v>0.0</v>
      </c>
      <c r="I3694" s="154">
        <v>9.71504218891E11</v>
      </c>
      <c r="J3694" s="156">
        <v>0.0</v>
      </c>
      <c r="K3694" s="154" t="s">
        <v>914</v>
      </c>
    </row>
    <row r="3695">
      <c r="A3695" s="154" t="s">
        <v>8233</v>
      </c>
      <c r="B3695" s="154" t="s">
        <v>8234</v>
      </c>
      <c r="C3695" s="155"/>
      <c r="D3695" s="154">
        <v>2.0</v>
      </c>
      <c r="E3695" s="154" t="s">
        <v>897</v>
      </c>
      <c r="F3695" s="154" t="s">
        <v>8232</v>
      </c>
      <c r="G3695" s="154">
        <v>9.66505421441E11</v>
      </c>
      <c r="H3695" s="156">
        <v>0.0</v>
      </c>
      <c r="I3695" s="154">
        <v>9.71504218891E11</v>
      </c>
      <c r="J3695" s="156">
        <v>0.0</v>
      </c>
      <c r="K3695" s="154" t="s">
        <v>914</v>
      </c>
    </row>
    <row r="3696">
      <c r="A3696" s="154" t="s">
        <v>8235</v>
      </c>
      <c r="B3696" s="154" t="s">
        <v>8236</v>
      </c>
      <c r="C3696" s="155"/>
      <c r="D3696" s="154">
        <v>2.0</v>
      </c>
      <c r="E3696" s="154" t="s">
        <v>897</v>
      </c>
      <c r="F3696" s="154" t="s">
        <v>8237</v>
      </c>
      <c r="G3696" s="156">
        <v>0.0</v>
      </c>
      <c r="H3696" s="154" t="s">
        <v>8238</v>
      </c>
      <c r="I3696" s="154" t="s">
        <v>8239</v>
      </c>
      <c r="J3696" s="154" t="s">
        <v>8240</v>
      </c>
      <c r="K3696" s="154" t="s">
        <v>361</v>
      </c>
    </row>
    <row r="3697">
      <c r="A3697" s="154" t="s">
        <v>8235</v>
      </c>
      <c r="B3697" s="155"/>
      <c r="C3697" s="154" t="s">
        <v>8236</v>
      </c>
      <c r="D3697" s="155"/>
      <c r="E3697" s="155"/>
      <c r="F3697" s="154" t="s">
        <v>8237</v>
      </c>
      <c r="G3697" s="156">
        <v>0.0</v>
      </c>
      <c r="H3697" s="154" t="s">
        <v>8238</v>
      </c>
      <c r="I3697" s="154" t="s">
        <v>8239</v>
      </c>
      <c r="J3697" s="154" t="s">
        <v>8240</v>
      </c>
      <c r="K3697" s="154" t="s">
        <v>361</v>
      </c>
    </row>
    <row r="3698">
      <c r="A3698" s="154" t="s">
        <v>8241</v>
      </c>
      <c r="B3698" s="154" t="s">
        <v>8242</v>
      </c>
      <c r="C3698" s="155"/>
      <c r="D3698" s="154">
        <v>2.0</v>
      </c>
      <c r="E3698" s="154" t="s">
        <v>897</v>
      </c>
      <c r="F3698" s="154" t="s">
        <v>8243</v>
      </c>
      <c r="G3698" s="154">
        <v>9.671224146E9</v>
      </c>
      <c r="H3698" s="156">
        <v>0.0</v>
      </c>
      <c r="I3698" s="154">
        <v>9.6773374E11</v>
      </c>
      <c r="J3698" s="156">
        <v>0.0</v>
      </c>
      <c r="K3698" s="154" t="s">
        <v>197</v>
      </c>
    </row>
    <row r="3699">
      <c r="A3699" s="154" t="s">
        <v>8241</v>
      </c>
      <c r="B3699" s="155"/>
      <c r="C3699" s="154" t="s">
        <v>8242</v>
      </c>
      <c r="D3699" s="155"/>
      <c r="E3699" s="155"/>
      <c r="F3699" s="154" t="s">
        <v>8243</v>
      </c>
      <c r="G3699" s="154">
        <v>9.671224146E9</v>
      </c>
      <c r="H3699" s="156">
        <v>0.0</v>
      </c>
      <c r="I3699" s="154">
        <v>9.6773374E11</v>
      </c>
      <c r="J3699" s="156">
        <v>0.0</v>
      </c>
      <c r="K3699" s="154" t="s">
        <v>197</v>
      </c>
    </row>
    <row r="3700">
      <c r="A3700" s="154" t="s">
        <v>8244</v>
      </c>
      <c r="B3700" s="155"/>
      <c r="C3700" s="154" t="s">
        <v>8245</v>
      </c>
      <c r="D3700" s="155"/>
      <c r="E3700" s="155"/>
      <c r="F3700" s="154" t="s">
        <v>8246</v>
      </c>
      <c r="G3700" s="154" t="s">
        <v>8247</v>
      </c>
      <c r="H3700" s="156">
        <v>0.0</v>
      </c>
      <c r="I3700" s="154" t="s">
        <v>8248</v>
      </c>
      <c r="J3700" s="154" t="s">
        <v>8247</v>
      </c>
      <c r="K3700" s="154" t="s">
        <v>760</v>
      </c>
    </row>
    <row r="3701">
      <c r="A3701" s="154" t="s">
        <v>8244</v>
      </c>
      <c r="B3701" s="154" t="s">
        <v>8245</v>
      </c>
      <c r="C3701" s="155"/>
      <c r="D3701" s="154">
        <v>2.0</v>
      </c>
      <c r="E3701" s="154" t="s">
        <v>897</v>
      </c>
      <c r="F3701" s="154" t="s">
        <v>8246</v>
      </c>
      <c r="G3701" s="154" t="s">
        <v>8247</v>
      </c>
      <c r="H3701" s="156">
        <v>0.0</v>
      </c>
      <c r="I3701" s="154" t="s">
        <v>8248</v>
      </c>
      <c r="J3701" s="154" t="s">
        <v>8247</v>
      </c>
      <c r="K3701" s="154" t="s">
        <v>760</v>
      </c>
    </row>
    <row r="3702">
      <c r="A3702" s="154" t="s">
        <v>8249</v>
      </c>
      <c r="B3702" s="154" t="s">
        <v>8250</v>
      </c>
      <c r="C3702" s="155"/>
      <c r="D3702" s="154">
        <v>2.0</v>
      </c>
      <c r="E3702" s="154" t="s">
        <v>897</v>
      </c>
      <c r="F3702" s="154" t="s">
        <v>8251</v>
      </c>
      <c r="G3702" s="154" t="s">
        <v>809</v>
      </c>
      <c r="H3702" s="154" t="s">
        <v>8252</v>
      </c>
      <c r="I3702" s="154" t="s">
        <v>8253</v>
      </c>
      <c r="J3702" s="156">
        <v>0.0</v>
      </c>
      <c r="K3702" s="154" t="s">
        <v>1461</v>
      </c>
    </row>
    <row r="3703">
      <c r="A3703" s="154" t="s">
        <v>8249</v>
      </c>
      <c r="B3703" s="155"/>
      <c r="C3703" s="154" t="s">
        <v>8250</v>
      </c>
      <c r="D3703" s="155"/>
      <c r="E3703" s="155"/>
      <c r="F3703" s="154" t="s">
        <v>8251</v>
      </c>
      <c r="G3703" s="154" t="s">
        <v>809</v>
      </c>
      <c r="H3703" s="154" t="s">
        <v>8252</v>
      </c>
      <c r="I3703" s="154" t="s">
        <v>8253</v>
      </c>
      <c r="J3703" s="156">
        <v>0.0</v>
      </c>
      <c r="K3703" s="154" t="s">
        <v>1461</v>
      </c>
    </row>
    <row r="3704">
      <c r="A3704" s="154" t="s">
        <v>8254</v>
      </c>
      <c r="B3704" s="155"/>
      <c r="C3704" s="154" t="s">
        <v>8255</v>
      </c>
      <c r="D3704" s="155"/>
      <c r="E3704" s="155"/>
      <c r="F3704" s="154" t="s">
        <v>8256</v>
      </c>
      <c r="G3704" s="156">
        <v>0.0</v>
      </c>
      <c r="H3704" s="156">
        <v>0.0</v>
      </c>
      <c r="I3704" s="154">
        <v>5.62341686E8</v>
      </c>
      <c r="J3704" s="156">
        <v>0.0</v>
      </c>
      <c r="K3704" s="154" t="s">
        <v>197</v>
      </c>
    </row>
    <row r="3705">
      <c r="A3705" s="154" t="s">
        <v>8254</v>
      </c>
      <c r="B3705" s="154" t="s">
        <v>8255</v>
      </c>
      <c r="C3705" s="155"/>
      <c r="D3705" s="154">
        <v>2.0</v>
      </c>
      <c r="E3705" s="154" t="s">
        <v>897</v>
      </c>
      <c r="F3705" s="154" t="s">
        <v>8257</v>
      </c>
      <c r="G3705" s="156">
        <v>0.0</v>
      </c>
      <c r="H3705" s="156">
        <v>0.0</v>
      </c>
      <c r="I3705" s="154" t="s">
        <v>8258</v>
      </c>
      <c r="J3705" s="154" t="s">
        <v>809</v>
      </c>
      <c r="K3705" s="154" t="s">
        <v>191</v>
      </c>
    </row>
    <row r="3706">
      <c r="A3706" s="154" t="s">
        <v>8259</v>
      </c>
      <c r="B3706" s="155"/>
      <c r="C3706" s="154" t="s">
        <v>8260</v>
      </c>
      <c r="D3706" s="155"/>
      <c r="E3706" s="155"/>
      <c r="F3706" s="154" t="s">
        <v>8261</v>
      </c>
      <c r="G3706" s="156">
        <v>0.0</v>
      </c>
      <c r="H3706" s="154" t="s">
        <v>8262</v>
      </c>
      <c r="I3706" s="154" t="s">
        <v>8263</v>
      </c>
      <c r="J3706" s="156">
        <v>0.0</v>
      </c>
      <c r="K3706" s="154" t="s">
        <v>301</v>
      </c>
    </row>
    <row r="3707">
      <c r="A3707" s="154" t="s">
        <v>8259</v>
      </c>
      <c r="B3707" s="154" t="s">
        <v>8260</v>
      </c>
      <c r="C3707" s="155"/>
      <c r="D3707" s="154">
        <v>2.0</v>
      </c>
      <c r="E3707" s="154" t="s">
        <v>897</v>
      </c>
      <c r="F3707" s="154" t="s">
        <v>8261</v>
      </c>
      <c r="G3707" s="156">
        <v>0.0</v>
      </c>
      <c r="H3707" s="154" t="s">
        <v>8262</v>
      </c>
      <c r="I3707" s="154" t="s">
        <v>8263</v>
      </c>
      <c r="J3707" s="156">
        <v>0.0</v>
      </c>
      <c r="K3707" s="154" t="s">
        <v>301</v>
      </c>
    </row>
    <row r="3708">
      <c r="A3708" s="154" t="s">
        <v>8264</v>
      </c>
      <c r="B3708" s="155"/>
      <c r="C3708" s="154" t="s">
        <v>8265</v>
      </c>
      <c r="D3708" s="155"/>
      <c r="E3708" s="155"/>
      <c r="F3708" s="154" t="s">
        <v>6032</v>
      </c>
      <c r="G3708" s="154">
        <v>5.05038903E8</v>
      </c>
      <c r="H3708" s="156">
        <v>0.0</v>
      </c>
      <c r="I3708" s="154">
        <v>5.05038903E8</v>
      </c>
      <c r="J3708" s="156">
        <v>0.0</v>
      </c>
      <c r="K3708" s="154" t="s">
        <v>1059</v>
      </c>
    </row>
    <row r="3709">
      <c r="A3709" s="154" t="s">
        <v>8264</v>
      </c>
      <c r="B3709" s="154" t="s">
        <v>8265</v>
      </c>
      <c r="C3709" s="155"/>
      <c r="D3709" s="154">
        <v>2.0</v>
      </c>
      <c r="E3709" s="154" t="s">
        <v>897</v>
      </c>
      <c r="F3709" s="154" t="s">
        <v>8266</v>
      </c>
      <c r="G3709" s="154">
        <v>0.0</v>
      </c>
      <c r="H3709" s="156">
        <v>0.0</v>
      </c>
      <c r="I3709" s="154">
        <v>5.09891517E8</v>
      </c>
      <c r="J3709" s="156">
        <v>0.0</v>
      </c>
      <c r="K3709" s="154" t="s">
        <v>1426</v>
      </c>
    </row>
    <row r="3710">
      <c r="A3710" s="154" t="s">
        <v>8267</v>
      </c>
      <c r="B3710" s="154" t="s">
        <v>8268</v>
      </c>
      <c r="C3710" s="155"/>
      <c r="D3710" s="154">
        <v>2.0</v>
      </c>
      <c r="E3710" s="154" t="s">
        <v>897</v>
      </c>
      <c r="F3710" s="154" t="s">
        <v>8269</v>
      </c>
      <c r="G3710" s="154">
        <v>971.0</v>
      </c>
      <c r="H3710" s="154" t="s">
        <v>8270</v>
      </c>
      <c r="I3710" s="154" t="s">
        <v>8271</v>
      </c>
      <c r="J3710" s="154" t="s">
        <v>8272</v>
      </c>
      <c r="K3710" s="154" t="s">
        <v>361</v>
      </c>
    </row>
    <row r="3711">
      <c r="A3711" s="154" t="s">
        <v>8267</v>
      </c>
      <c r="B3711" s="155"/>
      <c r="C3711" s="154" t="s">
        <v>8268</v>
      </c>
      <c r="D3711" s="155"/>
      <c r="E3711" s="155"/>
      <c r="F3711" s="154" t="s">
        <v>8269</v>
      </c>
      <c r="G3711" s="154">
        <v>971.0</v>
      </c>
      <c r="H3711" s="154" t="s">
        <v>8270</v>
      </c>
      <c r="I3711" s="154" t="s">
        <v>8271</v>
      </c>
      <c r="J3711" s="154" t="s">
        <v>8272</v>
      </c>
      <c r="K3711" s="154" t="s">
        <v>361</v>
      </c>
    </row>
    <row r="3712">
      <c r="A3712" s="154" t="s">
        <v>8273</v>
      </c>
      <c r="B3712" s="155"/>
      <c r="C3712" s="154" t="s">
        <v>8274</v>
      </c>
      <c r="D3712" s="155"/>
      <c r="E3712" s="155"/>
      <c r="F3712" s="154" t="s">
        <v>8275</v>
      </c>
      <c r="G3712" s="156">
        <v>0.0</v>
      </c>
      <c r="H3712" s="154" t="s">
        <v>8276</v>
      </c>
      <c r="I3712" s="154">
        <v>9.71504765054E11</v>
      </c>
      <c r="J3712" s="156">
        <v>0.0</v>
      </c>
      <c r="K3712" s="154" t="s">
        <v>3814</v>
      </c>
    </row>
    <row r="3713">
      <c r="A3713" s="154" t="s">
        <v>8273</v>
      </c>
      <c r="B3713" s="154" t="s">
        <v>8274</v>
      </c>
      <c r="C3713" s="155"/>
      <c r="D3713" s="154">
        <v>2.0</v>
      </c>
      <c r="E3713" s="154" t="s">
        <v>897</v>
      </c>
      <c r="F3713" s="154" t="s">
        <v>8275</v>
      </c>
      <c r="G3713" s="156">
        <v>0.0</v>
      </c>
      <c r="H3713" s="154" t="s">
        <v>8276</v>
      </c>
      <c r="I3713" s="154">
        <v>9.71504765054E11</v>
      </c>
      <c r="J3713" s="156">
        <v>0.0</v>
      </c>
      <c r="K3713" s="154" t="s">
        <v>3814</v>
      </c>
    </row>
    <row r="3714">
      <c r="A3714" s="154" t="s">
        <v>8277</v>
      </c>
      <c r="B3714" s="154" t="s">
        <v>8278</v>
      </c>
      <c r="C3714" s="155"/>
      <c r="D3714" s="154">
        <v>2.0</v>
      </c>
      <c r="E3714" s="154" t="s">
        <v>897</v>
      </c>
      <c r="F3714" s="154" t="s">
        <v>8279</v>
      </c>
      <c r="G3714" s="156">
        <v>0.0</v>
      </c>
      <c r="H3714" s="156">
        <v>0.0</v>
      </c>
      <c r="I3714" s="154">
        <v>9.71502260815E11</v>
      </c>
      <c r="J3714" s="156">
        <v>0.0</v>
      </c>
      <c r="K3714" s="154" t="s">
        <v>2581</v>
      </c>
    </row>
    <row r="3715">
      <c r="A3715" s="154" t="s">
        <v>8277</v>
      </c>
      <c r="B3715" s="155"/>
      <c r="C3715" s="154" t="s">
        <v>8278</v>
      </c>
      <c r="D3715" s="155"/>
      <c r="E3715" s="155"/>
      <c r="F3715" s="154" t="s">
        <v>8279</v>
      </c>
      <c r="G3715" s="156">
        <v>0.0</v>
      </c>
      <c r="H3715" s="156">
        <v>0.0</v>
      </c>
      <c r="I3715" s="154">
        <v>9.71502260815E11</v>
      </c>
      <c r="J3715" s="156">
        <v>0.0</v>
      </c>
      <c r="K3715" s="154" t="s">
        <v>2581</v>
      </c>
    </row>
    <row r="3716">
      <c r="A3716" s="154" t="s">
        <v>8280</v>
      </c>
      <c r="B3716" s="154" t="s">
        <v>8281</v>
      </c>
      <c r="C3716" s="155"/>
      <c r="D3716" s="154">
        <v>2.0</v>
      </c>
      <c r="E3716" s="154" t="s">
        <v>897</v>
      </c>
      <c r="F3716" s="154" t="s">
        <v>8282</v>
      </c>
      <c r="G3716" s="154" t="s">
        <v>8283</v>
      </c>
      <c r="H3716" s="156">
        <v>0.0</v>
      </c>
      <c r="I3716" s="154" t="s">
        <v>8284</v>
      </c>
      <c r="J3716" s="156">
        <v>0.0</v>
      </c>
      <c r="K3716" s="154" t="s">
        <v>8285</v>
      </c>
    </row>
    <row r="3717">
      <c r="A3717" s="154" t="s">
        <v>8280</v>
      </c>
      <c r="B3717" s="155"/>
      <c r="C3717" s="154" t="s">
        <v>8281</v>
      </c>
      <c r="D3717" s="155"/>
      <c r="E3717" s="155"/>
      <c r="F3717" s="154" t="s">
        <v>8282</v>
      </c>
      <c r="G3717" s="154" t="s">
        <v>8283</v>
      </c>
      <c r="H3717" s="156">
        <v>0.0</v>
      </c>
      <c r="I3717" s="154" t="s">
        <v>8284</v>
      </c>
      <c r="J3717" s="156">
        <v>0.0</v>
      </c>
      <c r="K3717" s="154" t="s">
        <v>8285</v>
      </c>
    </row>
    <row r="3718">
      <c r="A3718" s="154" t="s">
        <v>8286</v>
      </c>
      <c r="B3718" s="155"/>
      <c r="C3718" s="154" t="s">
        <v>8287</v>
      </c>
      <c r="D3718" s="155"/>
      <c r="E3718" s="155"/>
      <c r="F3718" s="154" t="s">
        <v>7584</v>
      </c>
      <c r="G3718" s="156">
        <v>0.0</v>
      </c>
      <c r="H3718" s="156">
        <v>0.0</v>
      </c>
      <c r="I3718" s="154" t="s">
        <v>7585</v>
      </c>
      <c r="J3718" s="154" t="s">
        <v>7586</v>
      </c>
      <c r="K3718" s="154" t="s">
        <v>361</v>
      </c>
    </row>
    <row r="3719">
      <c r="A3719" s="154" t="s">
        <v>8286</v>
      </c>
      <c r="B3719" s="154" t="s">
        <v>8287</v>
      </c>
      <c r="C3719" s="155"/>
      <c r="D3719" s="154">
        <v>2.0</v>
      </c>
      <c r="E3719" s="154" t="s">
        <v>897</v>
      </c>
      <c r="F3719" s="154" t="s">
        <v>8288</v>
      </c>
      <c r="G3719" s="154">
        <v>4.3674339E7</v>
      </c>
      <c r="H3719" s="156">
        <v>0.0</v>
      </c>
      <c r="I3719" s="154">
        <v>9.71508790929E11</v>
      </c>
      <c r="J3719" s="156">
        <v>0.0</v>
      </c>
      <c r="K3719" s="154" t="s">
        <v>197</v>
      </c>
    </row>
    <row r="3720">
      <c r="A3720" s="154" t="s">
        <v>8289</v>
      </c>
      <c r="B3720" s="155"/>
      <c r="C3720" s="154" t="s">
        <v>8290</v>
      </c>
      <c r="D3720" s="155"/>
      <c r="E3720" s="155"/>
      <c r="F3720" s="154" t="s">
        <v>8291</v>
      </c>
      <c r="G3720" s="156">
        <v>0.0</v>
      </c>
      <c r="H3720" s="156">
        <v>0.0</v>
      </c>
      <c r="I3720" s="154">
        <v>9.71566035283E11</v>
      </c>
      <c r="J3720" s="156">
        <v>0.0</v>
      </c>
      <c r="K3720" s="154" t="s">
        <v>197</v>
      </c>
    </row>
    <row r="3721">
      <c r="A3721" s="154" t="s">
        <v>8289</v>
      </c>
      <c r="B3721" s="154" t="s">
        <v>8290</v>
      </c>
      <c r="C3721" s="155"/>
      <c r="D3721" s="154">
        <v>2.0</v>
      </c>
      <c r="E3721" s="154" t="s">
        <v>897</v>
      </c>
      <c r="F3721" s="154" t="s">
        <v>8291</v>
      </c>
      <c r="G3721" s="156">
        <v>0.0</v>
      </c>
      <c r="H3721" s="156">
        <v>0.0</v>
      </c>
      <c r="I3721" s="154">
        <v>9.71566035283E11</v>
      </c>
      <c r="J3721" s="156">
        <v>0.0</v>
      </c>
      <c r="K3721" s="154" t="s">
        <v>197</v>
      </c>
    </row>
    <row r="3722">
      <c r="A3722" s="154" t="s">
        <v>8292</v>
      </c>
      <c r="B3722" s="155"/>
      <c r="C3722" s="154" t="s">
        <v>8293</v>
      </c>
      <c r="D3722" s="155"/>
      <c r="E3722" s="155"/>
      <c r="F3722" s="154" t="s">
        <v>8294</v>
      </c>
      <c r="G3722" s="154">
        <v>4.3688808E7</v>
      </c>
      <c r="H3722" s="156">
        <v>0.0</v>
      </c>
      <c r="I3722" s="156">
        <v>0.0</v>
      </c>
      <c r="J3722" s="156">
        <v>0.0</v>
      </c>
      <c r="K3722" s="154" t="s">
        <v>259</v>
      </c>
    </row>
    <row r="3723">
      <c r="A3723" s="154" t="s">
        <v>8292</v>
      </c>
      <c r="B3723" s="154" t="s">
        <v>8293</v>
      </c>
      <c r="C3723" s="155"/>
      <c r="D3723" s="154">
        <v>2.0</v>
      </c>
      <c r="E3723" s="154" t="s">
        <v>897</v>
      </c>
      <c r="F3723" s="154" t="s">
        <v>849</v>
      </c>
      <c r="G3723" s="154" t="s">
        <v>850</v>
      </c>
      <c r="H3723" s="154" t="s">
        <v>851</v>
      </c>
      <c r="I3723" s="156">
        <v>0.0</v>
      </c>
      <c r="J3723" s="156">
        <v>0.0</v>
      </c>
      <c r="K3723" s="156">
        <v>0.0</v>
      </c>
    </row>
    <row r="3724">
      <c r="A3724" s="154" t="s">
        <v>8295</v>
      </c>
      <c r="B3724" s="155"/>
      <c r="C3724" s="154" t="s">
        <v>8296</v>
      </c>
      <c r="D3724" s="155"/>
      <c r="E3724" s="155"/>
      <c r="F3724" s="154" t="s">
        <v>8297</v>
      </c>
      <c r="G3724" s="156">
        <v>0.0</v>
      </c>
      <c r="H3724" s="154" t="s">
        <v>8298</v>
      </c>
      <c r="I3724" s="154" t="s">
        <v>8299</v>
      </c>
      <c r="J3724" s="156">
        <v>0.0</v>
      </c>
      <c r="K3724" s="154" t="s">
        <v>776</v>
      </c>
    </row>
    <row r="3725">
      <c r="A3725" s="154" t="s">
        <v>8295</v>
      </c>
      <c r="B3725" s="154" t="s">
        <v>8296</v>
      </c>
      <c r="C3725" s="155"/>
      <c r="D3725" s="154">
        <v>2.0</v>
      </c>
      <c r="E3725" s="154" t="s">
        <v>897</v>
      </c>
      <c r="F3725" s="154" t="s">
        <v>8297</v>
      </c>
      <c r="G3725" s="156">
        <v>0.0</v>
      </c>
      <c r="H3725" s="154" t="s">
        <v>8298</v>
      </c>
      <c r="I3725" s="154" t="s">
        <v>8299</v>
      </c>
      <c r="J3725" s="156">
        <v>0.0</v>
      </c>
      <c r="K3725" s="154" t="s">
        <v>776</v>
      </c>
    </row>
    <row r="3726">
      <c r="A3726" s="154" t="s">
        <v>8300</v>
      </c>
      <c r="B3726" s="154" t="s">
        <v>8301</v>
      </c>
      <c r="C3726" s="155"/>
      <c r="D3726" s="154">
        <v>2.0</v>
      </c>
      <c r="E3726" s="154" t="s">
        <v>897</v>
      </c>
      <c r="F3726" s="154" t="s">
        <v>8302</v>
      </c>
      <c r="G3726" s="154" t="s">
        <v>8303</v>
      </c>
      <c r="H3726" s="156">
        <v>0.0</v>
      </c>
      <c r="I3726" s="154" t="s">
        <v>8304</v>
      </c>
      <c r="J3726" s="154" t="s">
        <v>8303</v>
      </c>
      <c r="K3726" s="154" t="s">
        <v>361</v>
      </c>
    </row>
    <row r="3727">
      <c r="A3727" s="154" t="s">
        <v>8300</v>
      </c>
      <c r="B3727" s="155"/>
      <c r="C3727" s="154" t="s">
        <v>8301</v>
      </c>
      <c r="D3727" s="155"/>
      <c r="E3727" s="155"/>
      <c r="F3727" s="154" t="s">
        <v>8302</v>
      </c>
      <c r="G3727" s="154" t="s">
        <v>8303</v>
      </c>
      <c r="H3727" s="156">
        <v>0.0</v>
      </c>
      <c r="I3727" s="154" t="s">
        <v>8304</v>
      </c>
      <c r="J3727" s="154" t="s">
        <v>8303</v>
      </c>
      <c r="K3727" s="154" t="s">
        <v>361</v>
      </c>
    </row>
    <row r="3728">
      <c r="A3728" s="154" t="s">
        <v>8305</v>
      </c>
      <c r="B3728" s="154" t="s">
        <v>8306</v>
      </c>
      <c r="C3728" s="155"/>
      <c r="D3728" s="154">
        <v>2.0</v>
      </c>
      <c r="E3728" s="154" t="s">
        <v>897</v>
      </c>
      <c r="F3728" s="154" t="s">
        <v>7132</v>
      </c>
      <c r="G3728" s="154">
        <v>2214535.0</v>
      </c>
      <c r="H3728" s="156">
        <v>0.0</v>
      </c>
      <c r="I3728" s="154">
        <v>5.00122012E8</v>
      </c>
      <c r="J3728" s="156">
        <v>0.0</v>
      </c>
      <c r="K3728" s="154" t="s">
        <v>197</v>
      </c>
    </row>
    <row r="3729">
      <c r="A3729" s="154" t="s">
        <v>8305</v>
      </c>
      <c r="B3729" s="155"/>
      <c r="C3729" s="154" t="s">
        <v>8306</v>
      </c>
      <c r="D3729" s="155"/>
      <c r="E3729" s="155"/>
      <c r="F3729" s="154" t="s">
        <v>7132</v>
      </c>
      <c r="G3729" s="154">
        <v>2214535.0</v>
      </c>
      <c r="H3729" s="156">
        <v>0.0</v>
      </c>
      <c r="I3729" s="154">
        <v>5.00122012E8</v>
      </c>
      <c r="J3729" s="156">
        <v>0.0</v>
      </c>
      <c r="K3729" s="154" t="s">
        <v>197</v>
      </c>
    </row>
    <row r="3730">
      <c r="A3730" s="154" t="s">
        <v>8307</v>
      </c>
      <c r="B3730" s="155"/>
      <c r="C3730" s="154" t="s">
        <v>8308</v>
      </c>
      <c r="D3730" s="155"/>
      <c r="E3730" s="155"/>
      <c r="F3730" s="154" t="s">
        <v>8309</v>
      </c>
      <c r="G3730" s="155" t="str">
        <f>+971 4 4232897</f>
        <v>#ERROR!</v>
      </c>
      <c r="H3730" s="154" t="s">
        <v>8310</v>
      </c>
      <c r="I3730" s="154">
        <v>5.06556048E8</v>
      </c>
      <c r="J3730" s="156">
        <v>0.0</v>
      </c>
      <c r="K3730" s="154" t="s">
        <v>259</v>
      </c>
    </row>
    <row r="3731">
      <c r="A3731" s="154" t="s">
        <v>8307</v>
      </c>
      <c r="B3731" s="154" t="s">
        <v>8308</v>
      </c>
      <c r="C3731" s="155"/>
      <c r="D3731" s="154">
        <v>2.0</v>
      </c>
      <c r="E3731" s="154" t="s">
        <v>897</v>
      </c>
      <c r="F3731" s="154" t="s">
        <v>8309</v>
      </c>
      <c r="G3731" s="155" t="str">
        <f>+971 4 4232897</f>
        <v>#ERROR!</v>
      </c>
      <c r="H3731" s="154" t="s">
        <v>8310</v>
      </c>
      <c r="I3731" s="154">
        <v>5.06556048E8</v>
      </c>
      <c r="J3731" s="156">
        <v>0.0</v>
      </c>
      <c r="K3731" s="154" t="s">
        <v>259</v>
      </c>
    </row>
    <row r="3732">
      <c r="A3732" s="154" t="s">
        <v>8311</v>
      </c>
      <c r="B3732" s="155"/>
      <c r="C3732" s="154" t="s">
        <v>8312</v>
      </c>
      <c r="D3732" s="155"/>
      <c r="E3732" s="155"/>
      <c r="F3732" s="154" t="s">
        <v>1619</v>
      </c>
      <c r="G3732" s="154">
        <v>4.3903333E7</v>
      </c>
      <c r="H3732" s="154" t="s">
        <v>1620</v>
      </c>
      <c r="I3732" s="156">
        <v>0.0</v>
      </c>
      <c r="J3732" s="156">
        <v>0.0</v>
      </c>
      <c r="K3732" s="156">
        <v>0.0</v>
      </c>
    </row>
    <row r="3733">
      <c r="A3733" s="154" t="s">
        <v>8311</v>
      </c>
      <c r="B3733" s="154" t="s">
        <v>8312</v>
      </c>
      <c r="C3733" s="155"/>
      <c r="D3733" s="154">
        <v>2.0</v>
      </c>
      <c r="E3733" s="154" t="s">
        <v>897</v>
      </c>
      <c r="F3733" s="154" t="s">
        <v>4194</v>
      </c>
      <c r="G3733" s="156">
        <v>0.0</v>
      </c>
      <c r="H3733" s="154" t="s">
        <v>4195</v>
      </c>
      <c r="I3733" s="154" t="s">
        <v>4196</v>
      </c>
      <c r="J3733" s="154" t="s">
        <v>4197</v>
      </c>
      <c r="K3733" s="154" t="s">
        <v>259</v>
      </c>
    </row>
    <row r="3734">
      <c r="A3734" s="154" t="s">
        <v>8313</v>
      </c>
      <c r="B3734" s="154" t="s">
        <v>8314</v>
      </c>
      <c r="C3734" s="155"/>
      <c r="D3734" s="154">
        <v>2.0</v>
      </c>
      <c r="E3734" s="154" t="s">
        <v>897</v>
      </c>
      <c r="F3734" s="154" t="s">
        <v>7940</v>
      </c>
      <c r="G3734" s="154">
        <v>5.06364962E8</v>
      </c>
      <c r="H3734" s="154" t="s">
        <v>7941</v>
      </c>
      <c r="I3734" s="154">
        <v>5.06364962E8</v>
      </c>
      <c r="J3734" s="156">
        <v>0.0</v>
      </c>
      <c r="K3734" s="154" t="s">
        <v>760</v>
      </c>
    </row>
    <row r="3735">
      <c r="A3735" s="154" t="s">
        <v>8313</v>
      </c>
      <c r="B3735" s="155"/>
      <c r="C3735" s="154" t="s">
        <v>8314</v>
      </c>
      <c r="D3735" s="155"/>
      <c r="E3735" s="155"/>
      <c r="F3735" s="154" t="s">
        <v>7940</v>
      </c>
      <c r="G3735" s="154">
        <v>5.06364962E8</v>
      </c>
      <c r="H3735" s="154" t="s">
        <v>7941</v>
      </c>
      <c r="I3735" s="154">
        <v>5.06364962E8</v>
      </c>
      <c r="J3735" s="156">
        <v>0.0</v>
      </c>
      <c r="K3735" s="154" t="s">
        <v>760</v>
      </c>
    </row>
    <row r="3736">
      <c r="A3736" s="154" t="s">
        <v>8315</v>
      </c>
      <c r="B3736" s="155"/>
      <c r="C3736" s="154" t="s">
        <v>8316</v>
      </c>
      <c r="D3736" s="155"/>
      <c r="E3736" s="155"/>
      <c r="F3736" s="154" t="s">
        <v>8317</v>
      </c>
      <c r="G3736" s="154" t="s">
        <v>4915</v>
      </c>
      <c r="H3736" s="156">
        <v>0.0</v>
      </c>
      <c r="I3736" s="156">
        <v>0.0</v>
      </c>
      <c r="J3736" s="156">
        <v>0.0</v>
      </c>
      <c r="K3736" s="156">
        <v>0.0</v>
      </c>
    </row>
    <row r="3737">
      <c r="A3737" s="154" t="s">
        <v>8315</v>
      </c>
      <c r="B3737" s="154" t="s">
        <v>8316</v>
      </c>
      <c r="C3737" s="155"/>
      <c r="D3737" s="154">
        <v>2.0</v>
      </c>
      <c r="E3737" s="154" t="s">
        <v>897</v>
      </c>
      <c r="F3737" s="154" t="s">
        <v>8318</v>
      </c>
      <c r="G3737" s="154">
        <v>8811112.0</v>
      </c>
      <c r="H3737" s="156">
        <v>0.0</v>
      </c>
      <c r="I3737" s="154">
        <v>5.04529988E8</v>
      </c>
      <c r="J3737" s="156">
        <v>0.0</v>
      </c>
      <c r="K3737" s="154" t="s">
        <v>846</v>
      </c>
    </row>
    <row r="3738">
      <c r="A3738" s="154" t="s">
        <v>8319</v>
      </c>
      <c r="B3738" s="155"/>
      <c r="C3738" s="154" t="s">
        <v>8320</v>
      </c>
      <c r="D3738" s="155"/>
      <c r="E3738" s="155"/>
      <c r="F3738" s="154" t="s">
        <v>8321</v>
      </c>
      <c r="G3738" s="154" t="s">
        <v>8322</v>
      </c>
      <c r="H3738" s="156">
        <v>0.0</v>
      </c>
      <c r="I3738" s="154">
        <v>9.71504536467E11</v>
      </c>
      <c r="J3738" s="156">
        <v>0.0</v>
      </c>
      <c r="K3738" s="154" t="s">
        <v>207</v>
      </c>
    </row>
    <row r="3739">
      <c r="A3739" s="154" t="s">
        <v>8319</v>
      </c>
      <c r="B3739" s="154" t="s">
        <v>8320</v>
      </c>
      <c r="C3739" s="155"/>
      <c r="D3739" s="154">
        <v>2.0</v>
      </c>
      <c r="E3739" s="154" t="s">
        <v>897</v>
      </c>
      <c r="F3739" s="154" t="s">
        <v>8321</v>
      </c>
      <c r="G3739" s="154" t="s">
        <v>8322</v>
      </c>
      <c r="H3739" s="156">
        <v>0.0</v>
      </c>
      <c r="I3739" s="154">
        <v>9.71504536467E11</v>
      </c>
      <c r="J3739" s="156">
        <v>0.0</v>
      </c>
      <c r="K3739" s="154" t="s">
        <v>207</v>
      </c>
    </row>
    <row r="3740">
      <c r="A3740" s="154" t="s">
        <v>8323</v>
      </c>
      <c r="B3740" s="154" t="s">
        <v>8324</v>
      </c>
      <c r="C3740" s="155"/>
      <c r="D3740" s="154">
        <v>2.0</v>
      </c>
      <c r="E3740" s="154" t="s">
        <v>897</v>
      </c>
      <c r="F3740" s="154" t="s">
        <v>5936</v>
      </c>
      <c r="G3740" s="156">
        <v>0.0</v>
      </c>
      <c r="H3740" s="154" t="s">
        <v>5937</v>
      </c>
      <c r="I3740" s="154" t="s">
        <v>5938</v>
      </c>
      <c r="J3740" s="154" t="s">
        <v>5939</v>
      </c>
      <c r="K3740" s="154" t="s">
        <v>361</v>
      </c>
    </row>
    <row r="3741">
      <c r="A3741" s="154" t="s">
        <v>8323</v>
      </c>
      <c r="B3741" s="155"/>
      <c r="C3741" s="154" t="s">
        <v>8324</v>
      </c>
      <c r="D3741" s="155"/>
      <c r="E3741" s="155"/>
      <c r="F3741" s="154" t="s">
        <v>5936</v>
      </c>
      <c r="G3741" s="156">
        <v>0.0</v>
      </c>
      <c r="H3741" s="154" t="s">
        <v>5937</v>
      </c>
      <c r="I3741" s="154" t="s">
        <v>5938</v>
      </c>
      <c r="J3741" s="154" t="s">
        <v>5939</v>
      </c>
      <c r="K3741" s="154" t="s">
        <v>361</v>
      </c>
    </row>
    <row r="3742">
      <c r="A3742" s="154" t="s">
        <v>8325</v>
      </c>
      <c r="B3742" s="155"/>
      <c r="C3742" s="154" t="s">
        <v>8326</v>
      </c>
      <c r="D3742" s="155"/>
      <c r="E3742" s="155"/>
      <c r="F3742" s="154" t="s">
        <v>8327</v>
      </c>
      <c r="G3742" s="156">
        <v>0.0</v>
      </c>
      <c r="H3742" s="154" t="s">
        <v>8328</v>
      </c>
      <c r="I3742" s="154" t="s">
        <v>8329</v>
      </c>
      <c r="J3742" s="154" t="s">
        <v>8330</v>
      </c>
      <c r="K3742" s="154" t="s">
        <v>760</v>
      </c>
    </row>
    <row r="3743">
      <c r="A3743" s="154" t="s">
        <v>8325</v>
      </c>
      <c r="B3743" s="154" t="s">
        <v>8326</v>
      </c>
      <c r="C3743" s="155"/>
      <c r="D3743" s="154">
        <v>2.0</v>
      </c>
      <c r="E3743" s="154" t="s">
        <v>897</v>
      </c>
      <c r="F3743" s="154" t="s">
        <v>8327</v>
      </c>
      <c r="G3743" s="156">
        <v>0.0</v>
      </c>
      <c r="H3743" s="154" t="s">
        <v>8328</v>
      </c>
      <c r="I3743" s="154" t="s">
        <v>8329</v>
      </c>
      <c r="J3743" s="154" t="s">
        <v>8330</v>
      </c>
      <c r="K3743" s="154" t="s">
        <v>760</v>
      </c>
    </row>
    <row r="3744">
      <c r="A3744" s="154" t="s">
        <v>8331</v>
      </c>
      <c r="B3744" s="155"/>
      <c r="C3744" s="154" t="s">
        <v>8332</v>
      </c>
      <c r="D3744" s="155"/>
      <c r="E3744" s="155"/>
      <c r="F3744" s="154" t="s">
        <v>2879</v>
      </c>
      <c r="G3744" s="156">
        <v>0.0</v>
      </c>
      <c r="H3744" s="154" t="s">
        <v>2880</v>
      </c>
      <c r="I3744" s="154" t="s">
        <v>2881</v>
      </c>
      <c r="J3744" s="154" t="s">
        <v>2882</v>
      </c>
      <c r="K3744" s="154" t="s">
        <v>846</v>
      </c>
    </row>
    <row r="3745">
      <c r="A3745" s="154" t="s">
        <v>8331</v>
      </c>
      <c r="B3745" s="154" t="s">
        <v>8332</v>
      </c>
      <c r="C3745" s="155"/>
      <c r="D3745" s="154">
        <v>2.0</v>
      </c>
      <c r="E3745" s="154" t="s">
        <v>897</v>
      </c>
      <c r="F3745" s="154" t="s">
        <v>2879</v>
      </c>
      <c r="G3745" s="156">
        <v>0.0</v>
      </c>
      <c r="H3745" s="154" t="s">
        <v>2880</v>
      </c>
      <c r="I3745" s="154" t="s">
        <v>2881</v>
      </c>
      <c r="J3745" s="154" t="s">
        <v>2882</v>
      </c>
      <c r="K3745" s="154" t="s">
        <v>846</v>
      </c>
    </row>
    <row r="3746">
      <c r="A3746" s="154" t="s">
        <v>8333</v>
      </c>
      <c r="B3746" s="154" t="s">
        <v>8334</v>
      </c>
      <c r="C3746" s="155"/>
      <c r="D3746" s="154">
        <v>2.0</v>
      </c>
      <c r="E3746" s="154" t="s">
        <v>897</v>
      </c>
      <c r="F3746" s="154" t="s">
        <v>8335</v>
      </c>
      <c r="G3746" s="156">
        <v>0.0</v>
      </c>
      <c r="H3746" s="156">
        <v>0.0</v>
      </c>
      <c r="I3746" s="154" t="s">
        <v>3157</v>
      </c>
      <c r="J3746" s="154" t="s">
        <v>8336</v>
      </c>
      <c r="K3746" s="154" t="s">
        <v>361</v>
      </c>
    </row>
    <row r="3747">
      <c r="A3747" s="154" t="s">
        <v>8333</v>
      </c>
      <c r="B3747" s="155"/>
      <c r="C3747" s="154" t="s">
        <v>8334</v>
      </c>
      <c r="D3747" s="155"/>
      <c r="E3747" s="155"/>
      <c r="F3747" s="154" t="s">
        <v>8337</v>
      </c>
      <c r="G3747" s="154" t="s">
        <v>8338</v>
      </c>
      <c r="H3747" s="156">
        <v>0.0</v>
      </c>
      <c r="I3747" s="154" t="s">
        <v>8339</v>
      </c>
      <c r="J3747" s="154" t="s">
        <v>8340</v>
      </c>
      <c r="K3747" s="154" t="s">
        <v>361</v>
      </c>
    </row>
    <row r="3748">
      <c r="A3748" s="154" t="s">
        <v>8341</v>
      </c>
      <c r="B3748" s="154" t="s">
        <v>8342</v>
      </c>
      <c r="C3748" s="155"/>
      <c r="D3748" s="154">
        <v>2.0</v>
      </c>
      <c r="E3748" s="154" t="s">
        <v>897</v>
      </c>
      <c r="F3748" s="154" t="s">
        <v>8343</v>
      </c>
      <c r="G3748" s="154">
        <v>0.0</v>
      </c>
      <c r="H3748" s="156">
        <v>0.0</v>
      </c>
      <c r="I3748" s="154">
        <v>9.71501424058E11</v>
      </c>
      <c r="J3748" s="156">
        <v>0.0</v>
      </c>
      <c r="K3748" s="154" t="s">
        <v>361</v>
      </c>
    </row>
    <row r="3749">
      <c r="A3749" s="154" t="s">
        <v>8341</v>
      </c>
      <c r="B3749" s="155"/>
      <c r="C3749" s="154" t="s">
        <v>8342</v>
      </c>
      <c r="D3749" s="155"/>
      <c r="E3749" s="155"/>
      <c r="F3749" s="154" t="s">
        <v>8344</v>
      </c>
      <c r="G3749" s="154">
        <v>0.0</v>
      </c>
      <c r="H3749" s="156">
        <v>0.0</v>
      </c>
      <c r="I3749" s="154">
        <v>9.71501424057E11</v>
      </c>
      <c r="J3749" s="156">
        <v>0.0</v>
      </c>
      <c r="K3749" s="154" t="s">
        <v>361</v>
      </c>
    </row>
    <row r="3750">
      <c r="A3750" s="154" t="s">
        <v>8345</v>
      </c>
      <c r="B3750" s="154" t="s">
        <v>8346</v>
      </c>
      <c r="C3750" s="155"/>
      <c r="D3750" s="154">
        <v>2.0</v>
      </c>
      <c r="E3750" s="154" t="s">
        <v>897</v>
      </c>
      <c r="F3750" s="154" t="s">
        <v>8347</v>
      </c>
      <c r="G3750" s="154">
        <v>0.0</v>
      </c>
      <c r="H3750" s="156">
        <v>0.0</v>
      </c>
      <c r="I3750" s="156">
        <v>0.0</v>
      </c>
      <c r="J3750" s="156">
        <v>0.0</v>
      </c>
      <c r="K3750" s="156">
        <v>0.0</v>
      </c>
    </row>
    <row r="3751">
      <c r="A3751" s="154" t="s">
        <v>8345</v>
      </c>
      <c r="B3751" s="155"/>
      <c r="C3751" s="154" t="s">
        <v>8346</v>
      </c>
      <c r="D3751" s="155"/>
      <c r="E3751" s="155"/>
      <c r="F3751" s="154" t="s">
        <v>8347</v>
      </c>
      <c r="G3751" s="154">
        <v>0.0</v>
      </c>
      <c r="H3751" s="156">
        <v>0.0</v>
      </c>
      <c r="I3751" s="156">
        <v>0.0</v>
      </c>
      <c r="J3751" s="156">
        <v>0.0</v>
      </c>
      <c r="K3751" s="156">
        <v>0.0</v>
      </c>
    </row>
    <row r="3752">
      <c r="A3752" s="154" t="s">
        <v>8348</v>
      </c>
      <c r="B3752" s="155"/>
      <c r="C3752" s="154" t="s">
        <v>8349</v>
      </c>
      <c r="D3752" s="155"/>
      <c r="E3752" s="155"/>
      <c r="F3752" s="154" t="s">
        <v>8350</v>
      </c>
      <c r="G3752" s="154">
        <v>4.3438325E7</v>
      </c>
      <c r="H3752" s="156">
        <v>0.0</v>
      </c>
      <c r="I3752" s="154">
        <v>9.71506533383E11</v>
      </c>
      <c r="J3752" s="156">
        <v>0.0</v>
      </c>
      <c r="K3752" s="154" t="s">
        <v>301</v>
      </c>
    </row>
    <row r="3753">
      <c r="A3753" s="154" t="s">
        <v>8348</v>
      </c>
      <c r="B3753" s="154" t="s">
        <v>8349</v>
      </c>
      <c r="C3753" s="155"/>
      <c r="D3753" s="154">
        <v>2.0</v>
      </c>
      <c r="E3753" s="154" t="s">
        <v>897</v>
      </c>
      <c r="F3753" s="154" t="s">
        <v>8351</v>
      </c>
      <c r="G3753" s="154">
        <v>4.3438325E7</v>
      </c>
      <c r="H3753" s="156">
        <v>0.0</v>
      </c>
      <c r="I3753" s="154">
        <v>9.71506533383E11</v>
      </c>
      <c r="J3753" s="156">
        <v>0.0</v>
      </c>
      <c r="K3753" s="154" t="s">
        <v>301</v>
      </c>
    </row>
    <row r="3754">
      <c r="A3754" s="154" t="s">
        <v>8352</v>
      </c>
      <c r="B3754" s="155"/>
      <c r="C3754" s="154" t="s">
        <v>8353</v>
      </c>
      <c r="D3754" s="155"/>
      <c r="E3754" s="155"/>
      <c r="F3754" s="154" t="s">
        <v>8354</v>
      </c>
      <c r="G3754" s="154">
        <v>3663593.0</v>
      </c>
      <c r="H3754" s="156">
        <v>0.0</v>
      </c>
      <c r="I3754" s="154">
        <v>5.07157506E8</v>
      </c>
      <c r="J3754" s="156">
        <v>0.0</v>
      </c>
      <c r="K3754" s="154" t="s">
        <v>776</v>
      </c>
    </row>
    <row r="3755">
      <c r="A3755" s="154" t="s">
        <v>8352</v>
      </c>
      <c r="B3755" s="154" t="s">
        <v>8353</v>
      </c>
      <c r="C3755" s="155"/>
      <c r="D3755" s="154">
        <v>2.0</v>
      </c>
      <c r="E3755" s="154" t="s">
        <v>897</v>
      </c>
      <c r="F3755" s="154" t="s">
        <v>8354</v>
      </c>
      <c r="G3755" s="154">
        <v>3663593.0</v>
      </c>
      <c r="H3755" s="156">
        <v>0.0</v>
      </c>
      <c r="I3755" s="154">
        <v>5.07157506E8</v>
      </c>
      <c r="J3755" s="156">
        <v>0.0</v>
      </c>
      <c r="K3755" s="154" t="s">
        <v>776</v>
      </c>
    </row>
    <row r="3756">
      <c r="A3756" s="154" t="s">
        <v>8355</v>
      </c>
      <c r="B3756" s="154" t="s">
        <v>8356</v>
      </c>
      <c r="C3756" s="155"/>
      <c r="D3756" s="154">
        <v>2.0</v>
      </c>
      <c r="E3756" s="154" t="s">
        <v>897</v>
      </c>
      <c r="F3756" s="154" t="s">
        <v>1341</v>
      </c>
      <c r="G3756" s="156">
        <v>0.0</v>
      </c>
      <c r="H3756" s="154" t="s">
        <v>1342</v>
      </c>
      <c r="I3756" s="154" t="s">
        <v>1343</v>
      </c>
      <c r="J3756" s="154" t="s">
        <v>1344</v>
      </c>
      <c r="K3756" s="154" t="s">
        <v>776</v>
      </c>
    </row>
    <row r="3757">
      <c r="A3757" s="154" t="s">
        <v>8355</v>
      </c>
      <c r="B3757" s="155"/>
      <c r="C3757" s="154" t="s">
        <v>8356</v>
      </c>
      <c r="D3757" s="155"/>
      <c r="E3757" s="155"/>
      <c r="F3757" s="154" t="s">
        <v>1341</v>
      </c>
      <c r="G3757" s="156">
        <v>0.0</v>
      </c>
      <c r="H3757" s="154" t="s">
        <v>1342</v>
      </c>
      <c r="I3757" s="154" t="s">
        <v>1343</v>
      </c>
      <c r="J3757" s="154" t="s">
        <v>1344</v>
      </c>
      <c r="K3757" s="154" t="s">
        <v>776</v>
      </c>
    </row>
    <row r="3758">
      <c r="A3758" s="154" t="s">
        <v>8357</v>
      </c>
      <c r="B3758" s="154" t="s">
        <v>8358</v>
      </c>
      <c r="C3758" s="155"/>
      <c r="D3758" s="154">
        <v>2.0</v>
      </c>
      <c r="E3758" s="154" t="s">
        <v>897</v>
      </c>
      <c r="F3758" s="154" t="s">
        <v>8359</v>
      </c>
      <c r="G3758" s="155" t="str">
        <f>+97150 5507765</f>
        <v>#ERROR!</v>
      </c>
      <c r="H3758" s="154" t="s">
        <v>8360</v>
      </c>
      <c r="I3758" s="155" t="str">
        <f>+97150 5507765</f>
        <v>#ERROR!</v>
      </c>
      <c r="J3758" s="156">
        <v>0.0</v>
      </c>
      <c r="K3758" s="154" t="s">
        <v>1059</v>
      </c>
    </row>
    <row r="3759">
      <c r="A3759" s="154" t="s">
        <v>8357</v>
      </c>
      <c r="B3759" s="155"/>
      <c r="C3759" s="154" t="s">
        <v>8358</v>
      </c>
      <c r="D3759" s="155"/>
      <c r="E3759" s="155"/>
      <c r="F3759" s="154" t="s">
        <v>8359</v>
      </c>
      <c r="G3759" s="155" t="str">
        <f>+97150 5507765</f>
        <v>#ERROR!</v>
      </c>
      <c r="H3759" s="154" t="s">
        <v>8360</v>
      </c>
      <c r="I3759" s="155" t="str">
        <f>+97150 5507765</f>
        <v>#ERROR!</v>
      </c>
      <c r="J3759" s="156">
        <v>0.0</v>
      </c>
      <c r="K3759" s="154" t="s">
        <v>1059</v>
      </c>
    </row>
    <row r="3760">
      <c r="A3760" s="154" t="s">
        <v>8361</v>
      </c>
      <c r="B3760" s="154" t="s">
        <v>8362</v>
      </c>
      <c r="C3760" s="155"/>
      <c r="D3760" s="154">
        <v>2.0</v>
      </c>
      <c r="E3760" s="154" t="s">
        <v>897</v>
      </c>
      <c r="F3760" s="154" t="s">
        <v>8363</v>
      </c>
      <c r="G3760" s="156">
        <v>0.0</v>
      </c>
      <c r="H3760" s="156">
        <v>0.0</v>
      </c>
      <c r="I3760" s="154" t="s">
        <v>8364</v>
      </c>
      <c r="J3760" s="156">
        <v>0.0</v>
      </c>
      <c r="K3760" s="154" t="s">
        <v>361</v>
      </c>
    </row>
    <row r="3761">
      <c r="A3761" s="154" t="s">
        <v>8361</v>
      </c>
      <c r="B3761" s="155"/>
      <c r="C3761" s="154" t="s">
        <v>8362</v>
      </c>
      <c r="D3761" s="155"/>
      <c r="E3761" s="155"/>
      <c r="F3761" s="154" t="s">
        <v>8365</v>
      </c>
      <c r="G3761" s="156">
        <v>0.0</v>
      </c>
      <c r="H3761" s="156">
        <v>0.0</v>
      </c>
      <c r="I3761" s="154" t="s">
        <v>8364</v>
      </c>
      <c r="J3761" s="156">
        <v>0.0</v>
      </c>
      <c r="K3761" s="154" t="s">
        <v>361</v>
      </c>
    </row>
    <row r="3762">
      <c r="A3762" s="154" t="s">
        <v>8366</v>
      </c>
      <c r="B3762" s="154" t="s">
        <v>8367</v>
      </c>
      <c r="C3762" s="155"/>
      <c r="D3762" s="154">
        <v>2.0</v>
      </c>
      <c r="E3762" s="154" t="s">
        <v>897</v>
      </c>
      <c r="F3762" s="154" t="s">
        <v>8368</v>
      </c>
      <c r="G3762" s="156">
        <v>0.0</v>
      </c>
      <c r="H3762" s="156">
        <v>0.0</v>
      </c>
      <c r="I3762" s="154">
        <v>9.7150458273E11</v>
      </c>
      <c r="J3762" s="156">
        <v>0.0</v>
      </c>
      <c r="K3762" s="154" t="s">
        <v>217</v>
      </c>
    </row>
    <row r="3763">
      <c r="A3763" s="154" t="s">
        <v>8366</v>
      </c>
      <c r="B3763" s="155"/>
      <c r="C3763" s="154" t="s">
        <v>8367</v>
      </c>
      <c r="D3763" s="155"/>
      <c r="E3763" s="155"/>
      <c r="F3763" s="154" t="s">
        <v>8368</v>
      </c>
      <c r="G3763" s="156">
        <v>0.0</v>
      </c>
      <c r="H3763" s="156">
        <v>0.0</v>
      </c>
      <c r="I3763" s="154">
        <v>9.7150458273E11</v>
      </c>
      <c r="J3763" s="156">
        <v>0.0</v>
      </c>
      <c r="K3763" s="154" t="s">
        <v>217</v>
      </c>
    </row>
    <row r="3764">
      <c r="A3764" s="154" t="s">
        <v>8369</v>
      </c>
      <c r="B3764" s="154" t="s">
        <v>8370</v>
      </c>
      <c r="C3764" s="155"/>
      <c r="D3764" s="154">
        <v>2.0</v>
      </c>
      <c r="E3764" s="154" t="s">
        <v>897</v>
      </c>
      <c r="F3764" s="154" t="s">
        <v>8371</v>
      </c>
      <c r="G3764" s="154">
        <v>5.06245894E8</v>
      </c>
      <c r="H3764" s="156">
        <v>0.0</v>
      </c>
      <c r="I3764" s="154">
        <v>5.03468534E8</v>
      </c>
      <c r="J3764" s="156">
        <v>0.0</v>
      </c>
      <c r="K3764" s="154" t="s">
        <v>361</v>
      </c>
    </row>
    <row r="3765">
      <c r="A3765" s="154" t="s">
        <v>8369</v>
      </c>
      <c r="B3765" s="155"/>
      <c r="C3765" s="154" t="s">
        <v>8370</v>
      </c>
      <c r="D3765" s="155"/>
      <c r="E3765" s="155"/>
      <c r="F3765" s="154" t="s">
        <v>8371</v>
      </c>
      <c r="G3765" s="154">
        <v>5.06245894E8</v>
      </c>
      <c r="H3765" s="156">
        <v>0.0</v>
      </c>
      <c r="I3765" s="154">
        <v>5.03468534E8</v>
      </c>
      <c r="J3765" s="156">
        <v>0.0</v>
      </c>
      <c r="K3765" s="154" t="s">
        <v>361</v>
      </c>
    </row>
    <row r="3766">
      <c r="A3766" s="154" t="s">
        <v>8372</v>
      </c>
      <c r="B3766" s="155"/>
      <c r="C3766" s="154" t="s">
        <v>8373</v>
      </c>
      <c r="D3766" s="155"/>
      <c r="E3766" s="155"/>
      <c r="F3766" s="154" t="s">
        <v>8374</v>
      </c>
      <c r="G3766" s="154">
        <v>4.4542366E7</v>
      </c>
      <c r="H3766" s="154" t="s">
        <v>8375</v>
      </c>
      <c r="I3766" s="154">
        <v>5.56442467E8</v>
      </c>
      <c r="J3766" s="156">
        <v>0.0</v>
      </c>
      <c r="K3766" s="154" t="s">
        <v>259</v>
      </c>
    </row>
    <row r="3767">
      <c r="A3767" s="154" t="s">
        <v>8372</v>
      </c>
      <c r="B3767" s="154" t="s">
        <v>8373</v>
      </c>
      <c r="C3767" s="155"/>
      <c r="D3767" s="154">
        <v>2.0</v>
      </c>
      <c r="E3767" s="154" t="s">
        <v>897</v>
      </c>
      <c r="F3767" s="154" t="s">
        <v>8376</v>
      </c>
      <c r="G3767" s="154">
        <v>4.3619483E7</v>
      </c>
      <c r="H3767" s="154" t="s">
        <v>8375</v>
      </c>
      <c r="I3767" s="154">
        <v>5.02836142E8</v>
      </c>
      <c r="J3767" s="154" t="s">
        <v>8377</v>
      </c>
      <c r="K3767" s="154" t="s">
        <v>320</v>
      </c>
    </row>
    <row r="3768">
      <c r="A3768" s="154" t="s">
        <v>8378</v>
      </c>
      <c r="B3768" s="154" t="s">
        <v>8379</v>
      </c>
      <c r="C3768" s="155"/>
      <c r="D3768" s="154">
        <v>2.0</v>
      </c>
      <c r="E3768" s="154" t="s">
        <v>897</v>
      </c>
      <c r="F3768" s="154" t="s">
        <v>8380</v>
      </c>
      <c r="G3768" s="154">
        <v>6.5333323E7</v>
      </c>
      <c r="H3768" s="156">
        <v>0.0</v>
      </c>
      <c r="I3768" s="154">
        <v>9.71503646504E11</v>
      </c>
      <c r="J3768" s="156">
        <v>0.0</v>
      </c>
      <c r="K3768" s="154" t="s">
        <v>240</v>
      </c>
    </row>
    <row r="3769">
      <c r="A3769" s="154" t="s">
        <v>8378</v>
      </c>
      <c r="B3769" s="155"/>
      <c r="C3769" s="154" t="s">
        <v>8379</v>
      </c>
      <c r="D3769" s="155"/>
      <c r="E3769" s="155"/>
      <c r="F3769" s="154" t="s">
        <v>8381</v>
      </c>
      <c r="G3769" s="154">
        <v>5.02354261E8</v>
      </c>
      <c r="H3769" s="156">
        <v>0.0</v>
      </c>
      <c r="I3769" s="154">
        <v>5.02354261E8</v>
      </c>
      <c r="J3769" s="156">
        <v>0.0</v>
      </c>
      <c r="K3769" s="154" t="s">
        <v>240</v>
      </c>
    </row>
    <row r="3770">
      <c r="A3770" s="154" t="s">
        <v>8382</v>
      </c>
      <c r="B3770" s="155"/>
      <c r="C3770" s="154" t="s">
        <v>8383</v>
      </c>
      <c r="D3770" s="155"/>
      <c r="E3770" s="155"/>
      <c r="F3770" s="154" t="s">
        <v>8384</v>
      </c>
      <c r="G3770" s="156">
        <v>0.0</v>
      </c>
      <c r="H3770" s="154" t="s">
        <v>8385</v>
      </c>
      <c r="I3770" s="154" t="s">
        <v>8386</v>
      </c>
      <c r="J3770" s="154" t="s">
        <v>8387</v>
      </c>
      <c r="K3770" s="154" t="s">
        <v>776</v>
      </c>
    </row>
    <row r="3771">
      <c r="A3771" s="154" t="s">
        <v>8382</v>
      </c>
      <c r="B3771" s="154" t="s">
        <v>8383</v>
      </c>
      <c r="C3771" s="155"/>
      <c r="D3771" s="154">
        <v>2.0</v>
      </c>
      <c r="E3771" s="154" t="s">
        <v>897</v>
      </c>
      <c r="F3771" s="154" t="s">
        <v>8384</v>
      </c>
      <c r="G3771" s="156">
        <v>0.0</v>
      </c>
      <c r="H3771" s="154" t="s">
        <v>8385</v>
      </c>
      <c r="I3771" s="154" t="s">
        <v>8386</v>
      </c>
      <c r="J3771" s="154" t="s">
        <v>8387</v>
      </c>
      <c r="K3771" s="154" t="s">
        <v>776</v>
      </c>
    </row>
    <row r="3772">
      <c r="A3772" s="154" t="s">
        <v>8388</v>
      </c>
      <c r="B3772" s="155"/>
      <c r="C3772" s="154" t="s">
        <v>8389</v>
      </c>
      <c r="D3772" s="155"/>
      <c r="E3772" s="155"/>
      <c r="F3772" s="154" t="s">
        <v>8390</v>
      </c>
      <c r="G3772" s="154">
        <v>0.0</v>
      </c>
      <c r="H3772" s="156">
        <v>0.0</v>
      </c>
      <c r="I3772" s="154">
        <v>9.71506540168E11</v>
      </c>
      <c r="J3772" s="156">
        <v>0.0</v>
      </c>
      <c r="K3772" s="154" t="s">
        <v>3551</v>
      </c>
    </row>
    <row r="3773">
      <c r="A3773" s="154" t="s">
        <v>8388</v>
      </c>
      <c r="B3773" s="154" t="s">
        <v>8389</v>
      </c>
      <c r="C3773" s="155"/>
      <c r="D3773" s="154">
        <v>2.0</v>
      </c>
      <c r="E3773" s="154" t="s">
        <v>897</v>
      </c>
      <c r="F3773" s="154" t="s">
        <v>8390</v>
      </c>
      <c r="G3773" s="154">
        <v>0.0</v>
      </c>
      <c r="H3773" s="156">
        <v>0.0</v>
      </c>
      <c r="I3773" s="154">
        <v>9.71506540168E11</v>
      </c>
      <c r="J3773" s="156">
        <v>0.0</v>
      </c>
      <c r="K3773" s="154" t="s">
        <v>3551</v>
      </c>
    </row>
    <row r="3774">
      <c r="A3774" s="154" t="s">
        <v>8391</v>
      </c>
      <c r="B3774" s="154" t="s">
        <v>8392</v>
      </c>
      <c r="C3774" s="155"/>
      <c r="D3774" s="154">
        <v>2.0</v>
      </c>
      <c r="E3774" s="154" t="s">
        <v>897</v>
      </c>
      <c r="F3774" s="154" t="s">
        <v>8393</v>
      </c>
      <c r="G3774" s="154">
        <v>5.0652417E8</v>
      </c>
      <c r="H3774" s="156">
        <v>0.0</v>
      </c>
      <c r="I3774" s="154">
        <v>9.71504560926E11</v>
      </c>
      <c r="J3774" s="156">
        <v>0.0</v>
      </c>
      <c r="K3774" s="154" t="s">
        <v>240</v>
      </c>
    </row>
    <row r="3775">
      <c r="A3775" s="154" t="s">
        <v>8391</v>
      </c>
      <c r="B3775" s="155"/>
      <c r="C3775" s="154" t="s">
        <v>8392</v>
      </c>
      <c r="D3775" s="155"/>
      <c r="E3775" s="155"/>
      <c r="F3775" s="154" t="s">
        <v>8393</v>
      </c>
      <c r="G3775" s="154">
        <v>5.0652417E8</v>
      </c>
      <c r="H3775" s="156">
        <v>0.0</v>
      </c>
      <c r="I3775" s="154">
        <v>9.71504560926E11</v>
      </c>
      <c r="J3775" s="156">
        <v>0.0</v>
      </c>
      <c r="K3775" s="154" t="s">
        <v>240</v>
      </c>
    </row>
    <row r="3776">
      <c r="A3776" s="154" t="s">
        <v>8394</v>
      </c>
      <c r="B3776" s="155"/>
      <c r="C3776" s="154" t="s">
        <v>8395</v>
      </c>
      <c r="D3776" s="155"/>
      <c r="E3776" s="155"/>
      <c r="F3776" s="154" t="s">
        <v>8396</v>
      </c>
      <c r="G3776" s="154">
        <v>4.35194E7</v>
      </c>
      <c r="H3776" s="154" t="s">
        <v>8397</v>
      </c>
      <c r="I3776" s="154">
        <v>5.53435327E8</v>
      </c>
      <c r="J3776" s="156">
        <v>0.0</v>
      </c>
      <c r="K3776" s="154" t="s">
        <v>361</v>
      </c>
    </row>
    <row r="3777">
      <c r="A3777" s="154" t="s">
        <v>8394</v>
      </c>
      <c r="B3777" s="154" t="s">
        <v>8395</v>
      </c>
      <c r="C3777" s="155"/>
      <c r="D3777" s="154">
        <v>2.0</v>
      </c>
      <c r="E3777" s="154" t="s">
        <v>897</v>
      </c>
      <c r="F3777" s="154" t="s">
        <v>6858</v>
      </c>
      <c r="G3777" s="154">
        <v>5.07676792E8</v>
      </c>
      <c r="H3777" s="156">
        <v>0.0</v>
      </c>
      <c r="I3777" s="154">
        <v>5.55672868E8</v>
      </c>
      <c r="J3777" s="156">
        <v>0.0</v>
      </c>
      <c r="K3777" s="154" t="s">
        <v>361</v>
      </c>
    </row>
    <row r="3778">
      <c r="A3778" s="154" t="s">
        <v>8398</v>
      </c>
      <c r="B3778" s="154" t="s">
        <v>8399</v>
      </c>
      <c r="C3778" s="155"/>
      <c r="D3778" s="154">
        <v>2.0</v>
      </c>
      <c r="E3778" s="154" t="s">
        <v>897</v>
      </c>
      <c r="F3778" s="154" t="s">
        <v>8400</v>
      </c>
      <c r="G3778" s="154">
        <v>4.3484538E7</v>
      </c>
      <c r="H3778" s="156">
        <v>0.0</v>
      </c>
      <c r="I3778" s="154">
        <v>9.71506403155E11</v>
      </c>
      <c r="J3778" s="156">
        <v>0.0</v>
      </c>
      <c r="K3778" s="154" t="s">
        <v>4412</v>
      </c>
    </row>
    <row r="3779">
      <c r="A3779" s="154" t="s">
        <v>8398</v>
      </c>
      <c r="B3779" s="155"/>
      <c r="C3779" s="154" t="s">
        <v>8399</v>
      </c>
      <c r="D3779" s="155"/>
      <c r="E3779" s="155"/>
      <c r="F3779" s="154" t="s">
        <v>8400</v>
      </c>
      <c r="G3779" s="154">
        <v>4.3484538E7</v>
      </c>
      <c r="H3779" s="156">
        <v>0.0</v>
      </c>
      <c r="I3779" s="154">
        <v>9.71506403155E11</v>
      </c>
      <c r="J3779" s="156">
        <v>0.0</v>
      </c>
      <c r="K3779" s="154" t="s">
        <v>4412</v>
      </c>
    </row>
    <row r="3780">
      <c r="A3780" s="154" t="s">
        <v>8401</v>
      </c>
      <c r="B3780" s="154" t="s">
        <v>8402</v>
      </c>
      <c r="C3780" s="155"/>
      <c r="D3780" s="154">
        <v>2.0</v>
      </c>
      <c r="E3780" s="154" t="s">
        <v>1237</v>
      </c>
      <c r="F3780" s="154" t="s">
        <v>8403</v>
      </c>
      <c r="G3780" s="156">
        <v>0.0</v>
      </c>
      <c r="H3780" s="156">
        <v>0.0</v>
      </c>
      <c r="I3780" s="154">
        <v>5.01558584E8</v>
      </c>
      <c r="J3780" s="156">
        <v>0.0</v>
      </c>
      <c r="K3780" s="154" t="s">
        <v>1731</v>
      </c>
    </row>
    <row r="3781">
      <c r="A3781" s="154" t="s">
        <v>8401</v>
      </c>
      <c r="B3781" s="155"/>
      <c r="C3781" s="154" t="s">
        <v>8402</v>
      </c>
      <c r="D3781" s="155"/>
      <c r="E3781" s="155"/>
      <c r="F3781" s="154" t="s">
        <v>8403</v>
      </c>
      <c r="G3781" s="156">
        <v>0.0</v>
      </c>
      <c r="H3781" s="156">
        <v>0.0</v>
      </c>
      <c r="I3781" s="154">
        <v>5.01558584E8</v>
      </c>
      <c r="J3781" s="156">
        <v>0.0</v>
      </c>
      <c r="K3781" s="154" t="s">
        <v>1731</v>
      </c>
    </row>
    <row r="3782">
      <c r="A3782" s="154" t="s">
        <v>8404</v>
      </c>
      <c r="B3782" s="154" t="s">
        <v>8405</v>
      </c>
      <c r="C3782" s="155"/>
      <c r="D3782" s="154">
        <v>2.0</v>
      </c>
      <c r="E3782" s="154" t="s">
        <v>1237</v>
      </c>
      <c r="F3782" s="154" t="s">
        <v>8406</v>
      </c>
      <c r="G3782" s="156">
        <v>0.0</v>
      </c>
      <c r="H3782" s="156">
        <v>0.0</v>
      </c>
      <c r="I3782" s="154" t="s">
        <v>8407</v>
      </c>
      <c r="J3782" s="156">
        <v>0.0</v>
      </c>
      <c r="K3782" s="154" t="s">
        <v>259</v>
      </c>
    </row>
    <row r="3783">
      <c r="A3783" s="154" t="s">
        <v>8404</v>
      </c>
      <c r="B3783" s="155"/>
      <c r="C3783" s="154" t="s">
        <v>8405</v>
      </c>
      <c r="D3783" s="155"/>
      <c r="E3783" s="155"/>
      <c r="F3783" s="154" t="s">
        <v>8403</v>
      </c>
      <c r="G3783" s="156">
        <v>0.0</v>
      </c>
      <c r="H3783" s="156">
        <v>0.0</v>
      </c>
      <c r="I3783" s="154">
        <v>5.01558584E8</v>
      </c>
      <c r="J3783" s="156">
        <v>0.0</v>
      </c>
      <c r="K3783" s="154" t="s">
        <v>1731</v>
      </c>
    </row>
    <row r="3784">
      <c r="A3784" s="154" t="s">
        <v>8408</v>
      </c>
      <c r="B3784" s="154" t="s">
        <v>8409</v>
      </c>
      <c r="C3784" s="155"/>
      <c r="D3784" s="154">
        <v>2.0</v>
      </c>
      <c r="E3784" s="154" t="s">
        <v>1237</v>
      </c>
      <c r="F3784" s="154" t="s">
        <v>8410</v>
      </c>
      <c r="G3784" s="154">
        <v>5.55608786E8</v>
      </c>
      <c r="H3784" s="156">
        <v>0.0</v>
      </c>
      <c r="I3784" s="154">
        <v>5.55608786E8</v>
      </c>
      <c r="J3784" s="156">
        <v>0.0</v>
      </c>
      <c r="K3784" s="154" t="s">
        <v>259</v>
      </c>
    </row>
    <row r="3785">
      <c r="A3785" s="154" t="s">
        <v>8408</v>
      </c>
      <c r="B3785" s="155"/>
      <c r="C3785" s="154" t="s">
        <v>8409</v>
      </c>
      <c r="D3785" s="155"/>
      <c r="E3785" s="155"/>
      <c r="F3785" s="154" t="s">
        <v>8410</v>
      </c>
      <c r="G3785" s="154">
        <v>5.55608786E8</v>
      </c>
      <c r="H3785" s="156">
        <v>0.0</v>
      </c>
      <c r="I3785" s="154">
        <v>5.55608786E8</v>
      </c>
      <c r="J3785" s="156">
        <v>0.0</v>
      </c>
      <c r="K3785" s="154" t="s">
        <v>259</v>
      </c>
    </row>
    <row r="3786">
      <c r="A3786" s="154" t="s">
        <v>8411</v>
      </c>
      <c r="B3786" s="154" t="s">
        <v>8412</v>
      </c>
      <c r="C3786" s="155"/>
      <c r="D3786" s="154">
        <v>2.0</v>
      </c>
      <c r="E3786" s="154" t="s">
        <v>1237</v>
      </c>
      <c r="F3786" s="154" t="s">
        <v>3024</v>
      </c>
      <c r="G3786" s="156">
        <v>0.0</v>
      </c>
      <c r="H3786" s="156">
        <v>0.0</v>
      </c>
      <c r="I3786" s="154" t="s">
        <v>3025</v>
      </c>
      <c r="J3786" s="154" t="s">
        <v>3026</v>
      </c>
      <c r="K3786" s="154" t="s">
        <v>1731</v>
      </c>
    </row>
    <row r="3787">
      <c r="A3787" s="154" t="s">
        <v>8411</v>
      </c>
      <c r="B3787" s="155"/>
      <c r="C3787" s="154" t="s">
        <v>8412</v>
      </c>
      <c r="D3787" s="155"/>
      <c r="E3787" s="155"/>
      <c r="F3787" s="154" t="s">
        <v>3024</v>
      </c>
      <c r="G3787" s="156">
        <v>0.0</v>
      </c>
      <c r="H3787" s="156">
        <v>0.0</v>
      </c>
      <c r="I3787" s="154" t="s">
        <v>3025</v>
      </c>
      <c r="J3787" s="154" t="s">
        <v>3026</v>
      </c>
      <c r="K3787" s="154" t="s">
        <v>1731</v>
      </c>
    </row>
    <row r="3788">
      <c r="A3788" s="154" t="s">
        <v>8413</v>
      </c>
      <c r="B3788" s="154" t="s">
        <v>8414</v>
      </c>
      <c r="C3788" s="155"/>
      <c r="D3788" s="154">
        <v>2.0</v>
      </c>
      <c r="E3788" s="154" t="s">
        <v>1237</v>
      </c>
      <c r="F3788" s="154" t="s">
        <v>7290</v>
      </c>
      <c r="G3788" s="156">
        <v>0.0</v>
      </c>
      <c r="H3788" s="154" t="s">
        <v>7291</v>
      </c>
      <c r="I3788" s="154" t="s">
        <v>7292</v>
      </c>
      <c r="J3788" s="154" t="s">
        <v>7293</v>
      </c>
      <c r="K3788" s="154" t="s">
        <v>259</v>
      </c>
    </row>
    <row r="3789">
      <c r="A3789" s="154" t="s">
        <v>8413</v>
      </c>
      <c r="B3789" s="155"/>
      <c r="C3789" s="154" t="s">
        <v>8414</v>
      </c>
      <c r="D3789" s="155"/>
      <c r="E3789" s="155"/>
      <c r="F3789" s="154" t="s">
        <v>7290</v>
      </c>
      <c r="G3789" s="156">
        <v>0.0</v>
      </c>
      <c r="H3789" s="154" t="s">
        <v>7291</v>
      </c>
      <c r="I3789" s="154" t="s">
        <v>7292</v>
      </c>
      <c r="J3789" s="154" t="s">
        <v>7293</v>
      </c>
      <c r="K3789" s="154" t="s">
        <v>259</v>
      </c>
    </row>
    <row r="3790">
      <c r="A3790" s="154" t="s">
        <v>8415</v>
      </c>
      <c r="B3790" s="154" t="s">
        <v>8416</v>
      </c>
      <c r="C3790" s="155"/>
      <c r="D3790" s="154">
        <v>2.0</v>
      </c>
      <c r="E3790" s="154" t="s">
        <v>1237</v>
      </c>
      <c r="F3790" s="154" t="s">
        <v>8417</v>
      </c>
      <c r="G3790" s="156">
        <v>0.0</v>
      </c>
      <c r="H3790" s="154" t="s">
        <v>8418</v>
      </c>
      <c r="I3790" s="154" t="s">
        <v>8419</v>
      </c>
      <c r="J3790" s="154" t="s">
        <v>8420</v>
      </c>
      <c r="K3790" s="154" t="s">
        <v>361</v>
      </c>
    </row>
    <row r="3791">
      <c r="A3791" s="154" t="s">
        <v>8415</v>
      </c>
      <c r="B3791" s="155"/>
      <c r="C3791" s="154" t="s">
        <v>8416</v>
      </c>
      <c r="D3791" s="155"/>
      <c r="E3791" s="155"/>
      <c r="F3791" s="154" t="s">
        <v>8417</v>
      </c>
      <c r="G3791" s="156">
        <v>0.0</v>
      </c>
      <c r="H3791" s="154" t="s">
        <v>8418</v>
      </c>
      <c r="I3791" s="154" t="s">
        <v>8419</v>
      </c>
      <c r="J3791" s="154" t="s">
        <v>8420</v>
      </c>
      <c r="K3791" s="154" t="s">
        <v>361</v>
      </c>
    </row>
    <row r="3792">
      <c r="A3792" s="154" t="s">
        <v>8421</v>
      </c>
      <c r="B3792" s="155"/>
      <c r="C3792" s="154" t="s">
        <v>8422</v>
      </c>
      <c r="D3792" s="155"/>
      <c r="E3792" s="155"/>
      <c r="F3792" s="154" t="s">
        <v>8417</v>
      </c>
      <c r="G3792" s="156">
        <v>0.0</v>
      </c>
      <c r="H3792" s="154" t="s">
        <v>8418</v>
      </c>
      <c r="I3792" s="154" t="s">
        <v>8419</v>
      </c>
      <c r="J3792" s="154" t="s">
        <v>8420</v>
      </c>
      <c r="K3792" s="154" t="s">
        <v>361</v>
      </c>
    </row>
    <row r="3793">
      <c r="A3793" s="154" t="s">
        <v>8421</v>
      </c>
      <c r="B3793" s="154" t="s">
        <v>8422</v>
      </c>
      <c r="C3793" s="155"/>
      <c r="D3793" s="154">
        <v>2.0</v>
      </c>
      <c r="E3793" s="154" t="s">
        <v>1237</v>
      </c>
      <c r="F3793" s="154" t="s">
        <v>8417</v>
      </c>
      <c r="G3793" s="156">
        <v>0.0</v>
      </c>
      <c r="H3793" s="154" t="s">
        <v>8418</v>
      </c>
      <c r="I3793" s="154" t="s">
        <v>8419</v>
      </c>
      <c r="J3793" s="154" t="s">
        <v>8420</v>
      </c>
      <c r="K3793" s="154" t="s">
        <v>361</v>
      </c>
    </row>
    <row r="3794">
      <c r="A3794" s="154" t="s">
        <v>8423</v>
      </c>
      <c r="B3794" s="155"/>
      <c r="C3794" s="154" t="s">
        <v>8424</v>
      </c>
      <c r="D3794" s="155"/>
      <c r="E3794" s="155"/>
      <c r="F3794" s="154" t="s">
        <v>6414</v>
      </c>
      <c r="G3794" s="154" t="s">
        <v>6415</v>
      </c>
      <c r="H3794" s="154" t="s">
        <v>6416</v>
      </c>
      <c r="I3794" s="154" t="s">
        <v>6417</v>
      </c>
      <c r="J3794" s="156">
        <v>0.0</v>
      </c>
      <c r="K3794" s="154" t="s">
        <v>207</v>
      </c>
    </row>
    <row r="3795">
      <c r="A3795" s="154" t="s">
        <v>8423</v>
      </c>
      <c r="B3795" s="154" t="s">
        <v>8424</v>
      </c>
      <c r="C3795" s="155"/>
      <c r="D3795" s="154">
        <v>2.0</v>
      </c>
      <c r="E3795" s="154" t="s">
        <v>1237</v>
      </c>
      <c r="F3795" s="154" t="s">
        <v>6414</v>
      </c>
      <c r="G3795" s="154" t="s">
        <v>6415</v>
      </c>
      <c r="H3795" s="154" t="s">
        <v>6416</v>
      </c>
      <c r="I3795" s="154" t="s">
        <v>6417</v>
      </c>
      <c r="J3795" s="156">
        <v>0.0</v>
      </c>
      <c r="K3795" s="154" t="s">
        <v>207</v>
      </c>
    </row>
    <row r="3796">
      <c r="A3796" s="154" t="s">
        <v>8425</v>
      </c>
      <c r="B3796" s="155"/>
      <c r="C3796" s="154" t="s">
        <v>8426</v>
      </c>
      <c r="D3796" s="155"/>
      <c r="E3796" s="155"/>
      <c r="F3796" s="154" t="s">
        <v>6414</v>
      </c>
      <c r="G3796" s="154" t="s">
        <v>6415</v>
      </c>
      <c r="H3796" s="154" t="s">
        <v>6416</v>
      </c>
      <c r="I3796" s="154" t="s">
        <v>6417</v>
      </c>
      <c r="J3796" s="156">
        <v>0.0</v>
      </c>
      <c r="K3796" s="154" t="s">
        <v>207</v>
      </c>
    </row>
    <row r="3797">
      <c r="A3797" s="154" t="s">
        <v>8425</v>
      </c>
      <c r="B3797" s="154" t="s">
        <v>8426</v>
      </c>
      <c r="C3797" s="155"/>
      <c r="D3797" s="154">
        <v>2.0</v>
      </c>
      <c r="E3797" s="154" t="s">
        <v>1237</v>
      </c>
      <c r="F3797" s="154" t="s">
        <v>6414</v>
      </c>
      <c r="G3797" s="154" t="s">
        <v>6415</v>
      </c>
      <c r="H3797" s="154" t="s">
        <v>6416</v>
      </c>
      <c r="I3797" s="154" t="s">
        <v>6417</v>
      </c>
      <c r="J3797" s="156">
        <v>0.0</v>
      </c>
      <c r="K3797" s="154" t="s">
        <v>207</v>
      </c>
    </row>
    <row r="3798">
      <c r="A3798" s="154" t="s">
        <v>8427</v>
      </c>
      <c r="B3798" s="155"/>
      <c r="C3798" s="154" t="s">
        <v>8428</v>
      </c>
      <c r="D3798" s="155"/>
      <c r="E3798" s="155"/>
      <c r="F3798" s="154" t="s">
        <v>8429</v>
      </c>
      <c r="G3798" s="154">
        <v>4.0</v>
      </c>
      <c r="H3798" s="156">
        <v>0.0</v>
      </c>
      <c r="I3798" s="154">
        <v>5.05087454E8</v>
      </c>
      <c r="J3798" s="156">
        <v>0.0</v>
      </c>
      <c r="K3798" s="154" t="s">
        <v>259</v>
      </c>
    </row>
    <row r="3799">
      <c r="A3799" s="154" t="s">
        <v>8427</v>
      </c>
      <c r="B3799" s="154" t="s">
        <v>8428</v>
      </c>
      <c r="C3799" s="155"/>
      <c r="D3799" s="154">
        <v>2.0</v>
      </c>
      <c r="E3799" s="154" t="s">
        <v>1237</v>
      </c>
      <c r="F3799" s="154" t="s">
        <v>3429</v>
      </c>
      <c r="G3799" s="154">
        <v>9.71042821E11</v>
      </c>
      <c r="H3799" s="154" t="s">
        <v>2022</v>
      </c>
      <c r="I3799" s="156">
        <v>0.0</v>
      </c>
      <c r="J3799" s="156">
        <v>0.0</v>
      </c>
      <c r="K3799" s="156">
        <v>0.0</v>
      </c>
    </row>
    <row r="3800">
      <c r="A3800" s="154" t="s">
        <v>8430</v>
      </c>
      <c r="B3800" s="155"/>
      <c r="C3800" s="154" t="s">
        <v>8431</v>
      </c>
      <c r="D3800" s="155"/>
      <c r="E3800" s="155"/>
      <c r="F3800" s="154" t="s">
        <v>8432</v>
      </c>
      <c r="G3800" s="156">
        <v>0.0</v>
      </c>
      <c r="H3800" s="156">
        <v>0.0</v>
      </c>
      <c r="I3800" s="154">
        <v>5.59556209E8</v>
      </c>
      <c r="J3800" s="156">
        <v>0.0</v>
      </c>
      <c r="K3800" s="154" t="s">
        <v>259</v>
      </c>
    </row>
    <row r="3801">
      <c r="A3801" s="154" t="s">
        <v>8430</v>
      </c>
      <c r="B3801" s="154" t="s">
        <v>8431</v>
      </c>
      <c r="D3801" s="154">
        <v>2.0</v>
      </c>
      <c r="E3801" s="154" t="s">
        <v>761</v>
      </c>
      <c r="F3801" s="154" t="s">
        <v>8433</v>
      </c>
      <c r="G3801" s="156">
        <v>0.0</v>
      </c>
      <c r="H3801" s="156">
        <v>0.0</v>
      </c>
      <c r="I3801" s="154">
        <v>9.71506542607E11</v>
      </c>
      <c r="J3801" s="156">
        <v>0.0</v>
      </c>
      <c r="K3801" s="154" t="s">
        <v>259</v>
      </c>
    </row>
    <row r="3802">
      <c r="A3802" s="154" t="s">
        <v>8434</v>
      </c>
      <c r="B3802" s="154" t="s">
        <v>8435</v>
      </c>
      <c r="D3802" s="154">
        <v>2.0</v>
      </c>
      <c r="E3802" s="154" t="s">
        <v>761</v>
      </c>
      <c r="F3802" s="154" t="s">
        <v>8436</v>
      </c>
      <c r="G3802" s="154">
        <v>4.29444E7</v>
      </c>
      <c r="H3802" s="156">
        <v>0.0</v>
      </c>
      <c r="I3802" s="154">
        <v>5.01522334E8</v>
      </c>
      <c r="J3802" s="156">
        <v>0.0</v>
      </c>
      <c r="K3802" s="154" t="s">
        <v>301</v>
      </c>
    </row>
    <row r="3803">
      <c r="A3803" s="154" t="s">
        <v>8434</v>
      </c>
      <c r="B3803" s="155"/>
      <c r="C3803" s="154" t="s">
        <v>8435</v>
      </c>
      <c r="D3803" s="155"/>
      <c r="E3803" s="155"/>
      <c r="F3803" s="154" t="s">
        <v>8436</v>
      </c>
      <c r="G3803" s="154">
        <v>4.29444E7</v>
      </c>
      <c r="H3803" s="156">
        <v>0.0</v>
      </c>
      <c r="I3803" s="154">
        <v>5.01522334E8</v>
      </c>
      <c r="J3803" s="156">
        <v>0.0</v>
      </c>
      <c r="K3803" s="154" t="s">
        <v>301</v>
      </c>
    </row>
    <row r="3804">
      <c r="A3804" s="154" t="s">
        <v>8437</v>
      </c>
      <c r="B3804" s="155"/>
      <c r="C3804" s="154" t="s">
        <v>8438</v>
      </c>
      <c r="D3804" s="155"/>
      <c r="E3804" s="155"/>
      <c r="F3804" s="154" t="s">
        <v>8439</v>
      </c>
      <c r="G3804" s="156">
        <v>0.0</v>
      </c>
      <c r="H3804" s="156">
        <v>0.0</v>
      </c>
      <c r="I3804" s="154" t="s">
        <v>8440</v>
      </c>
      <c r="J3804" s="154" t="s">
        <v>8441</v>
      </c>
      <c r="K3804" s="154" t="s">
        <v>206</v>
      </c>
    </row>
    <row r="3805">
      <c r="A3805" s="154" t="s">
        <v>8437</v>
      </c>
      <c r="B3805" s="154" t="s">
        <v>8438</v>
      </c>
      <c r="D3805" s="154">
        <v>2.0</v>
      </c>
      <c r="E3805" s="154" t="s">
        <v>761</v>
      </c>
      <c r="F3805" s="154" t="s">
        <v>8439</v>
      </c>
      <c r="G3805" s="156">
        <v>0.0</v>
      </c>
      <c r="H3805" s="156">
        <v>0.0</v>
      </c>
      <c r="I3805" s="154" t="s">
        <v>8440</v>
      </c>
      <c r="J3805" s="154" t="s">
        <v>8441</v>
      </c>
      <c r="K3805" s="154" t="s">
        <v>206</v>
      </c>
    </row>
    <row r="3806">
      <c r="A3806" s="154" t="s">
        <v>8442</v>
      </c>
      <c r="B3806" s="155"/>
      <c r="C3806" s="154" t="s">
        <v>8443</v>
      </c>
      <c r="D3806" s="155"/>
      <c r="E3806" s="155"/>
      <c r="F3806" s="154" t="s">
        <v>8444</v>
      </c>
      <c r="G3806" s="156">
        <v>0.0</v>
      </c>
      <c r="H3806" s="156">
        <v>0.0</v>
      </c>
      <c r="I3806" s="154" t="s">
        <v>8445</v>
      </c>
      <c r="J3806" s="154" t="s">
        <v>1651</v>
      </c>
      <c r="K3806" s="154" t="s">
        <v>361</v>
      </c>
    </row>
    <row r="3807">
      <c r="A3807" s="154" t="s">
        <v>8442</v>
      </c>
      <c r="B3807" s="154" t="s">
        <v>8443</v>
      </c>
      <c r="D3807" s="154">
        <v>2.0</v>
      </c>
      <c r="E3807" s="154" t="s">
        <v>761</v>
      </c>
      <c r="F3807" s="154" t="s">
        <v>8444</v>
      </c>
      <c r="G3807" s="156">
        <v>0.0</v>
      </c>
      <c r="H3807" s="156">
        <v>0.0</v>
      </c>
      <c r="I3807" s="154" t="s">
        <v>8445</v>
      </c>
      <c r="J3807" s="154" t="s">
        <v>1651</v>
      </c>
      <c r="K3807" s="154" t="s">
        <v>361</v>
      </c>
    </row>
    <row r="3808">
      <c r="A3808" s="154" t="s">
        <v>8446</v>
      </c>
      <c r="B3808" s="155"/>
      <c r="C3808" s="154" t="s">
        <v>8447</v>
      </c>
      <c r="D3808" s="155"/>
      <c r="E3808" s="155"/>
      <c r="F3808" s="154" t="s">
        <v>8448</v>
      </c>
      <c r="G3808" s="154">
        <v>0.0</v>
      </c>
      <c r="H3808" s="156">
        <v>0.0</v>
      </c>
      <c r="I3808" s="154">
        <v>9.71506539337E11</v>
      </c>
      <c r="J3808" s="156">
        <v>0.0</v>
      </c>
      <c r="K3808" s="154" t="s">
        <v>776</v>
      </c>
    </row>
    <row r="3809">
      <c r="A3809" s="154" t="s">
        <v>8446</v>
      </c>
      <c r="B3809" s="154" t="s">
        <v>8447</v>
      </c>
      <c r="D3809" s="154">
        <v>2.0</v>
      </c>
      <c r="E3809" s="154" t="s">
        <v>761</v>
      </c>
      <c r="F3809" s="154" t="s">
        <v>8448</v>
      </c>
      <c r="G3809" s="154">
        <v>0.0</v>
      </c>
      <c r="H3809" s="156">
        <v>0.0</v>
      </c>
      <c r="I3809" s="154">
        <v>9.71506539337E11</v>
      </c>
      <c r="J3809" s="156">
        <v>0.0</v>
      </c>
      <c r="K3809" s="154" t="s">
        <v>776</v>
      </c>
    </row>
    <row r="3810">
      <c r="A3810" s="154" t="s">
        <v>8449</v>
      </c>
      <c r="B3810" s="155"/>
      <c r="C3810" s="154" t="s">
        <v>8450</v>
      </c>
      <c r="D3810" s="155"/>
      <c r="E3810" s="155"/>
      <c r="F3810" s="154" t="s">
        <v>8451</v>
      </c>
      <c r="G3810" s="154">
        <v>9.7142262433E10</v>
      </c>
      <c r="H3810" s="154" t="s">
        <v>8452</v>
      </c>
      <c r="I3810" s="154">
        <v>9.71508577455E11</v>
      </c>
      <c r="J3810" s="156">
        <v>0.0</v>
      </c>
      <c r="K3810" s="154" t="s">
        <v>776</v>
      </c>
    </row>
    <row r="3811">
      <c r="A3811" s="154" t="s">
        <v>8449</v>
      </c>
      <c r="B3811" s="154" t="s">
        <v>8450</v>
      </c>
      <c r="D3811" s="154">
        <v>2.0</v>
      </c>
      <c r="E3811" s="154" t="s">
        <v>761</v>
      </c>
      <c r="F3811" s="154" t="s">
        <v>8451</v>
      </c>
      <c r="G3811" s="154">
        <v>9.7142262433E10</v>
      </c>
      <c r="H3811" s="154" t="s">
        <v>8452</v>
      </c>
      <c r="I3811" s="154">
        <v>9.71508577455E11</v>
      </c>
      <c r="J3811" s="156">
        <v>0.0</v>
      </c>
      <c r="K3811" s="154" t="s">
        <v>776</v>
      </c>
    </row>
    <row r="3812">
      <c r="A3812" s="154" t="s">
        <v>8453</v>
      </c>
      <c r="B3812" s="155"/>
      <c r="C3812" s="154" t="s">
        <v>8454</v>
      </c>
      <c r="D3812" s="155"/>
      <c r="E3812" s="155"/>
      <c r="F3812" s="154" t="s">
        <v>7590</v>
      </c>
      <c r="G3812" s="156">
        <v>0.0</v>
      </c>
      <c r="H3812" s="156">
        <v>0.0</v>
      </c>
      <c r="I3812" s="154" t="s">
        <v>853</v>
      </c>
      <c r="J3812" s="156">
        <v>0.0</v>
      </c>
      <c r="K3812" s="154" t="s">
        <v>361</v>
      </c>
    </row>
    <row r="3813">
      <c r="A3813" s="154" t="s">
        <v>8453</v>
      </c>
      <c r="B3813" s="154" t="s">
        <v>8454</v>
      </c>
      <c r="D3813" s="154">
        <v>2.0</v>
      </c>
      <c r="E3813" s="154" t="s">
        <v>761</v>
      </c>
      <c r="F3813" s="154" t="s">
        <v>7590</v>
      </c>
      <c r="G3813" s="156">
        <v>0.0</v>
      </c>
      <c r="H3813" s="156">
        <v>0.0</v>
      </c>
      <c r="I3813" s="154" t="s">
        <v>853</v>
      </c>
      <c r="J3813" s="156">
        <v>0.0</v>
      </c>
      <c r="K3813" s="154" t="s">
        <v>361</v>
      </c>
    </row>
    <row r="3814">
      <c r="A3814" s="154" t="s">
        <v>8455</v>
      </c>
      <c r="B3814" s="154" t="s">
        <v>8456</v>
      </c>
      <c r="D3814" s="154">
        <v>2.0</v>
      </c>
      <c r="E3814" s="154" t="s">
        <v>761</v>
      </c>
      <c r="F3814" s="154" t="s">
        <v>8457</v>
      </c>
      <c r="G3814" s="156">
        <v>0.0</v>
      </c>
      <c r="H3814" s="156">
        <v>0.0</v>
      </c>
      <c r="I3814" s="156">
        <v>0.0</v>
      </c>
      <c r="J3814" s="156">
        <v>0.0</v>
      </c>
      <c r="K3814" s="154" t="s">
        <v>197</v>
      </c>
    </row>
    <row r="3815">
      <c r="A3815" s="154" t="s">
        <v>8455</v>
      </c>
      <c r="B3815" s="155"/>
      <c r="C3815" s="154" t="s">
        <v>8456</v>
      </c>
      <c r="D3815" s="155"/>
      <c r="E3815" s="155"/>
      <c r="F3815" s="154" t="s">
        <v>8457</v>
      </c>
      <c r="G3815" s="156">
        <v>0.0</v>
      </c>
      <c r="H3815" s="156">
        <v>0.0</v>
      </c>
      <c r="I3815" s="156">
        <v>0.0</v>
      </c>
      <c r="J3815" s="156">
        <v>0.0</v>
      </c>
      <c r="K3815" s="154" t="s">
        <v>197</v>
      </c>
    </row>
    <row r="3816">
      <c r="A3816" s="154" t="s">
        <v>8458</v>
      </c>
      <c r="B3816" s="154" t="s">
        <v>8459</v>
      </c>
      <c r="D3816" s="154">
        <v>2.0</v>
      </c>
      <c r="E3816" s="154" t="s">
        <v>761</v>
      </c>
      <c r="F3816" s="154" t="s">
        <v>1157</v>
      </c>
      <c r="G3816" s="154" t="s">
        <v>1158</v>
      </c>
      <c r="H3816" s="154" t="s">
        <v>1159</v>
      </c>
      <c r="I3816" s="156">
        <v>0.0</v>
      </c>
      <c r="J3816" s="156">
        <v>0.0</v>
      </c>
      <c r="K3816" s="156">
        <v>0.0</v>
      </c>
    </row>
    <row r="3817">
      <c r="A3817" s="154" t="s">
        <v>8458</v>
      </c>
      <c r="B3817" s="155"/>
      <c r="C3817" s="154" t="s">
        <v>8459</v>
      </c>
      <c r="D3817" s="155"/>
      <c r="E3817" s="155"/>
      <c r="F3817" s="154" t="s">
        <v>8460</v>
      </c>
      <c r="G3817" s="156">
        <v>0.0</v>
      </c>
      <c r="H3817" s="156">
        <v>0.0</v>
      </c>
      <c r="I3817" s="154" t="s">
        <v>8461</v>
      </c>
      <c r="J3817" s="156">
        <v>0.0</v>
      </c>
      <c r="K3817" s="154" t="s">
        <v>361</v>
      </c>
    </row>
    <row r="3818">
      <c r="A3818" s="154" t="s">
        <v>8462</v>
      </c>
      <c r="B3818" s="154" t="s">
        <v>8463</v>
      </c>
      <c r="D3818" s="154">
        <v>2.0</v>
      </c>
      <c r="E3818" s="154" t="s">
        <v>761</v>
      </c>
      <c r="F3818" s="154" t="s">
        <v>8464</v>
      </c>
      <c r="G3818" s="156">
        <v>0.0</v>
      </c>
      <c r="H3818" s="156">
        <v>0.0</v>
      </c>
      <c r="I3818" s="154" t="s">
        <v>8465</v>
      </c>
      <c r="J3818" s="154" t="s">
        <v>8466</v>
      </c>
      <c r="K3818" s="154" t="s">
        <v>2498</v>
      </c>
    </row>
    <row r="3819">
      <c r="A3819" s="154" t="s">
        <v>8462</v>
      </c>
      <c r="B3819" s="155"/>
      <c r="C3819" s="154" t="s">
        <v>8463</v>
      </c>
      <c r="D3819" s="155"/>
      <c r="E3819" s="155"/>
      <c r="F3819" s="154" t="s">
        <v>8464</v>
      </c>
      <c r="G3819" s="156">
        <v>0.0</v>
      </c>
      <c r="H3819" s="156">
        <v>0.0</v>
      </c>
      <c r="I3819" s="154" t="s">
        <v>8465</v>
      </c>
      <c r="J3819" s="154" t="s">
        <v>8466</v>
      </c>
      <c r="K3819" s="154" t="s">
        <v>2498</v>
      </c>
    </row>
    <row r="3820">
      <c r="A3820" s="154" t="s">
        <v>8467</v>
      </c>
      <c r="B3820" s="154" t="s">
        <v>8468</v>
      </c>
      <c r="D3820" s="154">
        <v>2.0</v>
      </c>
      <c r="E3820" s="154" t="s">
        <v>761</v>
      </c>
      <c r="F3820" s="154" t="s">
        <v>8469</v>
      </c>
      <c r="G3820" s="156">
        <v>0.0</v>
      </c>
      <c r="H3820" s="154" t="s">
        <v>8470</v>
      </c>
      <c r="I3820" s="154" t="s">
        <v>8471</v>
      </c>
      <c r="J3820" s="154" t="s">
        <v>8472</v>
      </c>
      <c r="K3820" s="154" t="s">
        <v>361</v>
      </c>
    </row>
    <row r="3821">
      <c r="A3821" s="154" t="s">
        <v>8467</v>
      </c>
      <c r="B3821" s="155"/>
      <c r="C3821" s="154" t="s">
        <v>8468</v>
      </c>
      <c r="D3821" s="155"/>
      <c r="E3821" s="155"/>
      <c r="F3821" s="154" t="s">
        <v>8469</v>
      </c>
      <c r="G3821" s="156">
        <v>0.0</v>
      </c>
      <c r="H3821" s="154" t="s">
        <v>8470</v>
      </c>
      <c r="I3821" s="154" t="s">
        <v>8471</v>
      </c>
      <c r="J3821" s="154" t="s">
        <v>8472</v>
      </c>
      <c r="K3821" s="154" t="s">
        <v>361</v>
      </c>
    </row>
    <row r="3822">
      <c r="A3822" s="154" t="s">
        <v>8473</v>
      </c>
      <c r="B3822" s="154" t="s">
        <v>8474</v>
      </c>
      <c r="D3822" s="154">
        <v>2.0</v>
      </c>
      <c r="E3822" s="154" t="s">
        <v>761</v>
      </c>
      <c r="F3822" s="154" t="s">
        <v>8475</v>
      </c>
      <c r="G3822" s="156">
        <v>0.0</v>
      </c>
      <c r="H3822" s="154" t="s">
        <v>8476</v>
      </c>
      <c r="I3822" s="154" t="s">
        <v>5440</v>
      </c>
      <c r="J3822" s="154" t="s">
        <v>8477</v>
      </c>
      <c r="K3822" s="154" t="s">
        <v>207</v>
      </c>
    </row>
    <row r="3823">
      <c r="A3823" s="154" t="s">
        <v>8473</v>
      </c>
      <c r="B3823" s="155"/>
      <c r="C3823" s="154" t="s">
        <v>8474</v>
      </c>
      <c r="D3823" s="155"/>
      <c r="E3823" s="155"/>
      <c r="F3823" s="154" t="s">
        <v>8475</v>
      </c>
      <c r="G3823" s="156">
        <v>0.0</v>
      </c>
      <c r="H3823" s="154" t="s">
        <v>8476</v>
      </c>
      <c r="I3823" s="154" t="s">
        <v>5440</v>
      </c>
      <c r="J3823" s="154" t="s">
        <v>8477</v>
      </c>
      <c r="K3823" s="154" t="s">
        <v>207</v>
      </c>
    </row>
    <row r="3824">
      <c r="A3824" s="154" t="s">
        <v>8478</v>
      </c>
      <c r="B3824" s="155"/>
      <c r="C3824" s="154" t="s">
        <v>8479</v>
      </c>
      <c r="D3824" s="155"/>
      <c r="E3824" s="155"/>
      <c r="F3824" s="154" t="s">
        <v>8480</v>
      </c>
      <c r="G3824" s="154" t="s">
        <v>8481</v>
      </c>
      <c r="H3824" s="156">
        <v>0.0</v>
      </c>
      <c r="I3824" s="154" t="s">
        <v>8482</v>
      </c>
      <c r="J3824" s="156">
        <v>0.0</v>
      </c>
      <c r="K3824" s="154" t="s">
        <v>361</v>
      </c>
    </row>
    <row r="3825">
      <c r="A3825" s="154" t="s">
        <v>8478</v>
      </c>
      <c r="B3825" s="154" t="s">
        <v>8479</v>
      </c>
      <c r="D3825" s="154">
        <v>2.0</v>
      </c>
      <c r="E3825" s="154" t="s">
        <v>761</v>
      </c>
      <c r="F3825" s="154" t="s">
        <v>8480</v>
      </c>
      <c r="G3825" s="154" t="s">
        <v>8481</v>
      </c>
      <c r="H3825" s="156">
        <v>0.0</v>
      </c>
      <c r="I3825" s="154" t="s">
        <v>8482</v>
      </c>
      <c r="J3825" s="156">
        <v>0.0</v>
      </c>
      <c r="K3825" s="154" t="s">
        <v>361</v>
      </c>
    </row>
    <row r="3826">
      <c r="A3826" s="154" t="s">
        <v>8483</v>
      </c>
      <c r="B3826" s="155"/>
      <c r="C3826" s="154" t="s">
        <v>8484</v>
      </c>
      <c r="D3826" s="155"/>
      <c r="E3826" s="155"/>
      <c r="F3826" s="154" t="s">
        <v>8485</v>
      </c>
      <c r="G3826" s="156">
        <v>0.0</v>
      </c>
      <c r="H3826" s="156">
        <v>0.0</v>
      </c>
      <c r="I3826" s="154">
        <v>9.71502756989E11</v>
      </c>
      <c r="J3826" s="156">
        <v>0.0</v>
      </c>
      <c r="K3826" s="154" t="s">
        <v>1874</v>
      </c>
    </row>
    <row r="3827">
      <c r="A3827" s="154" t="s">
        <v>8483</v>
      </c>
      <c r="B3827" s="154" t="s">
        <v>8484</v>
      </c>
      <c r="D3827" s="154">
        <v>2.0</v>
      </c>
      <c r="E3827" s="154" t="s">
        <v>761</v>
      </c>
      <c r="F3827" s="154" t="s">
        <v>8485</v>
      </c>
      <c r="G3827" s="156">
        <v>0.0</v>
      </c>
      <c r="H3827" s="156">
        <v>0.0</v>
      </c>
      <c r="I3827" s="154">
        <v>9.71502756989E11</v>
      </c>
      <c r="J3827" s="156">
        <v>0.0</v>
      </c>
      <c r="K3827" s="154" t="s">
        <v>1874</v>
      </c>
    </row>
    <row r="3828">
      <c r="A3828" s="154" t="s">
        <v>8486</v>
      </c>
      <c r="B3828" s="155"/>
      <c r="C3828" s="154" t="s">
        <v>8487</v>
      </c>
      <c r="D3828" s="155"/>
      <c r="E3828" s="155"/>
      <c r="F3828" s="154" t="s">
        <v>8488</v>
      </c>
      <c r="G3828" s="154">
        <v>4.29444E7</v>
      </c>
      <c r="H3828" s="156">
        <v>0.0</v>
      </c>
      <c r="I3828" s="154">
        <v>5.08860491E8</v>
      </c>
      <c r="J3828" s="156">
        <v>0.0</v>
      </c>
      <c r="K3828" s="154" t="s">
        <v>240</v>
      </c>
    </row>
    <row r="3829">
      <c r="A3829" s="154" t="s">
        <v>8486</v>
      </c>
      <c r="B3829" s="154" t="s">
        <v>8487</v>
      </c>
      <c r="D3829" s="154">
        <v>2.0</v>
      </c>
      <c r="E3829" s="154" t="s">
        <v>761</v>
      </c>
      <c r="F3829" s="154" t="s">
        <v>8489</v>
      </c>
      <c r="G3829" s="154">
        <v>4.29444E7</v>
      </c>
      <c r="H3829" s="156">
        <v>0.0</v>
      </c>
      <c r="I3829" s="154">
        <v>5.08860491E8</v>
      </c>
      <c r="J3829" s="156">
        <v>0.0</v>
      </c>
      <c r="K3829" s="154" t="s">
        <v>197</v>
      </c>
    </row>
    <row r="3830">
      <c r="A3830" s="154" t="s">
        <v>8490</v>
      </c>
      <c r="B3830" s="154" t="s">
        <v>8491</v>
      </c>
      <c r="D3830" s="154">
        <v>2.0</v>
      </c>
      <c r="E3830" s="154" t="s">
        <v>761</v>
      </c>
      <c r="F3830" s="154" t="s">
        <v>8492</v>
      </c>
      <c r="G3830" s="156">
        <v>0.0</v>
      </c>
      <c r="H3830" s="156">
        <v>0.0</v>
      </c>
      <c r="I3830" s="154">
        <v>5.51038658E8</v>
      </c>
      <c r="J3830" s="156">
        <v>0.0</v>
      </c>
      <c r="K3830" s="154" t="s">
        <v>939</v>
      </c>
    </row>
    <row r="3831">
      <c r="A3831" s="154" t="s">
        <v>8490</v>
      </c>
      <c r="B3831" s="155"/>
      <c r="C3831" s="154" t="s">
        <v>8491</v>
      </c>
      <c r="D3831" s="155"/>
      <c r="E3831" s="155"/>
      <c r="F3831" s="154" t="s">
        <v>8492</v>
      </c>
      <c r="G3831" s="156">
        <v>0.0</v>
      </c>
      <c r="H3831" s="156">
        <v>0.0</v>
      </c>
      <c r="I3831" s="154">
        <v>5.51038658E8</v>
      </c>
      <c r="J3831" s="156">
        <v>0.0</v>
      </c>
      <c r="K3831" s="154" t="s">
        <v>939</v>
      </c>
    </row>
    <row r="3832">
      <c r="A3832" s="154" t="s">
        <v>8493</v>
      </c>
      <c r="B3832" s="155"/>
      <c r="C3832" s="154" t="s">
        <v>8494</v>
      </c>
      <c r="D3832" s="155"/>
      <c r="E3832" s="155"/>
      <c r="F3832" s="154" t="s">
        <v>8495</v>
      </c>
      <c r="G3832" s="154">
        <v>5.54713063E8</v>
      </c>
      <c r="H3832" s="156">
        <v>0.0</v>
      </c>
      <c r="I3832" s="156">
        <v>0.0</v>
      </c>
      <c r="J3832" s="156">
        <v>0.0</v>
      </c>
      <c r="K3832" s="154" t="s">
        <v>361</v>
      </c>
    </row>
    <row r="3833">
      <c r="A3833" s="154" t="s">
        <v>8493</v>
      </c>
      <c r="B3833" s="154" t="s">
        <v>8494</v>
      </c>
      <c r="D3833" s="154">
        <v>2.0</v>
      </c>
      <c r="E3833" s="154" t="s">
        <v>761</v>
      </c>
      <c r="F3833" s="154" t="s">
        <v>8495</v>
      </c>
      <c r="G3833" s="154">
        <v>5.54713063E8</v>
      </c>
      <c r="H3833" s="156">
        <v>0.0</v>
      </c>
      <c r="I3833" s="156">
        <v>0.0</v>
      </c>
      <c r="J3833" s="156">
        <v>0.0</v>
      </c>
      <c r="K3833" s="154" t="s">
        <v>361</v>
      </c>
    </row>
    <row r="3834">
      <c r="A3834" s="154" t="s">
        <v>8496</v>
      </c>
      <c r="B3834" s="154" t="s">
        <v>8497</v>
      </c>
      <c r="D3834" s="154">
        <v>2.0</v>
      </c>
      <c r="E3834" s="154" t="s">
        <v>761</v>
      </c>
      <c r="F3834" s="154" t="s">
        <v>7218</v>
      </c>
      <c r="G3834" s="156">
        <v>0.0</v>
      </c>
      <c r="H3834" s="154" t="s">
        <v>7219</v>
      </c>
      <c r="I3834" s="154" t="s">
        <v>7220</v>
      </c>
      <c r="J3834" s="154" t="s">
        <v>7221</v>
      </c>
      <c r="K3834" s="154" t="s">
        <v>361</v>
      </c>
    </row>
    <row r="3835">
      <c r="A3835" s="154" t="s">
        <v>8496</v>
      </c>
      <c r="B3835" s="155"/>
      <c r="C3835" s="154" t="s">
        <v>8497</v>
      </c>
      <c r="D3835" s="155"/>
      <c r="E3835" s="155"/>
      <c r="F3835" s="154" t="s">
        <v>769</v>
      </c>
      <c r="G3835" s="154">
        <v>4.367312E7</v>
      </c>
      <c r="H3835" s="156">
        <v>0.0</v>
      </c>
      <c r="I3835" s="156">
        <v>0.0</v>
      </c>
      <c r="J3835" s="156">
        <v>0.0</v>
      </c>
      <c r="K3835" s="156">
        <v>0.0</v>
      </c>
    </row>
    <row r="3836">
      <c r="A3836" s="154" t="s">
        <v>8498</v>
      </c>
      <c r="B3836" s="154" t="s">
        <v>8499</v>
      </c>
      <c r="D3836" s="154">
        <v>2.0</v>
      </c>
      <c r="E3836" s="154" t="s">
        <v>761</v>
      </c>
      <c r="F3836" s="154" t="s">
        <v>8500</v>
      </c>
      <c r="G3836" s="156">
        <v>0.0</v>
      </c>
      <c r="H3836" s="156">
        <v>0.0</v>
      </c>
      <c r="I3836" s="154" t="s">
        <v>8501</v>
      </c>
      <c r="J3836" s="154" t="s">
        <v>8502</v>
      </c>
      <c r="K3836" s="154" t="s">
        <v>760</v>
      </c>
    </row>
    <row r="3837">
      <c r="A3837" s="154" t="s">
        <v>8498</v>
      </c>
      <c r="B3837" s="155"/>
      <c r="C3837" s="154" t="s">
        <v>8499</v>
      </c>
      <c r="D3837" s="155"/>
      <c r="E3837" s="155"/>
      <c r="F3837" s="154" t="s">
        <v>8500</v>
      </c>
      <c r="G3837" s="156">
        <v>0.0</v>
      </c>
      <c r="H3837" s="156">
        <v>0.0</v>
      </c>
      <c r="I3837" s="154" t="s">
        <v>8501</v>
      </c>
      <c r="J3837" s="154" t="s">
        <v>8502</v>
      </c>
      <c r="K3837" s="154" t="s">
        <v>760</v>
      </c>
    </row>
    <row r="3838">
      <c r="A3838" s="154" t="s">
        <v>8503</v>
      </c>
      <c r="B3838" s="155"/>
      <c r="C3838" s="154" t="s">
        <v>8504</v>
      </c>
      <c r="D3838" s="155"/>
      <c r="E3838" s="155"/>
      <c r="F3838" s="154" t="s">
        <v>8505</v>
      </c>
      <c r="G3838" s="154">
        <v>0.0</v>
      </c>
      <c r="H3838" s="156">
        <v>0.0</v>
      </c>
      <c r="I3838" s="154">
        <v>5.0375832E8</v>
      </c>
      <c r="J3838" s="156">
        <v>0.0</v>
      </c>
      <c r="K3838" s="154" t="s">
        <v>1059</v>
      </c>
    </row>
    <row r="3839">
      <c r="A3839" s="154" t="s">
        <v>8503</v>
      </c>
      <c r="B3839" s="154" t="s">
        <v>8504</v>
      </c>
      <c r="D3839" s="154">
        <v>2.0</v>
      </c>
      <c r="E3839" s="154" t="s">
        <v>761</v>
      </c>
      <c r="F3839" s="154" t="s">
        <v>8505</v>
      </c>
      <c r="G3839" s="154">
        <v>0.0</v>
      </c>
      <c r="H3839" s="156">
        <v>0.0</v>
      </c>
      <c r="I3839" s="154">
        <v>5.0375832E8</v>
      </c>
      <c r="J3839" s="156">
        <v>0.0</v>
      </c>
      <c r="K3839" s="154" t="s">
        <v>1059</v>
      </c>
    </row>
    <row r="3840">
      <c r="A3840" s="154" t="s">
        <v>8506</v>
      </c>
      <c r="B3840" s="154" t="s">
        <v>8507</v>
      </c>
      <c r="D3840" s="154">
        <v>2.0</v>
      </c>
      <c r="E3840" s="154" t="s">
        <v>761</v>
      </c>
      <c r="F3840" s="154" t="s">
        <v>8508</v>
      </c>
      <c r="G3840" s="154">
        <v>0.0</v>
      </c>
      <c r="H3840" s="156">
        <v>0.0</v>
      </c>
      <c r="I3840" s="154">
        <v>9.715073459937E12</v>
      </c>
      <c r="J3840" s="156">
        <v>0.0</v>
      </c>
      <c r="K3840" s="154" t="s">
        <v>2167</v>
      </c>
    </row>
    <row r="3841">
      <c r="A3841" s="154" t="s">
        <v>8506</v>
      </c>
      <c r="B3841" s="155"/>
      <c r="C3841" s="154" t="s">
        <v>8507</v>
      </c>
      <c r="D3841" s="155"/>
      <c r="E3841" s="155"/>
      <c r="F3841" s="154" t="s">
        <v>8508</v>
      </c>
      <c r="G3841" s="154">
        <v>0.0</v>
      </c>
      <c r="H3841" s="156">
        <v>0.0</v>
      </c>
      <c r="I3841" s="154">
        <v>9.715073459937E12</v>
      </c>
      <c r="J3841" s="156">
        <v>0.0</v>
      </c>
      <c r="K3841" s="154" t="s">
        <v>2167</v>
      </c>
    </row>
    <row r="3842">
      <c r="A3842" s="154" t="s">
        <v>8509</v>
      </c>
      <c r="B3842" s="154" t="s">
        <v>8510</v>
      </c>
      <c r="D3842" s="154">
        <v>2.0</v>
      </c>
      <c r="E3842" s="154" t="s">
        <v>761</v>
      </c>
      <c r="F3842" s="154" t="s">
        <v>8511</v>
      </c>
      <c r="G3842" s="156">
        <v>0.0</v>
      </c>
      <c r="H3842" s="154" t="s">
        <v>8512</v>
      </c>
      <c r="I3842" s="154" t="s">
        <v>8513</v>
      </c>
      <c r="J3842" s="154" t="s">
        <v>8514</v>
      </c>
      <c r="K3842" s="154" t="s">
        <v>361</v>
      </c>
    </row>
    <row r="3843">
      <c r="A3843" s="154" t="s">
        <v>8509</v>
      </c>
      <c r="B3843" s="155"/>
      <c r="C3843" s="154" t="s">
        <v>8510</v>
      </c>
      <c r="D3843" s="155"/>
      <c r="E3843" s="155"/>
      <c r="F3843" s="154" t="s">
        <v>8511</v>
      </c>
      <c r="G3843" s="156">
        <v>0.0</v>
      </c>
      <c r="H3843" s="154" t="s">
        <v>8512</v>
      </c>
      <c r="I3843" s="154" t="s">
        <v>8513</v>
      </c>
      <c r="J3843" s="154" t="s">
        <v>8514</v>
      </c>
      <c r="K3843" s="154" t="s">
        <v>361</v>
      </c>
    </row>
    <row r="3844">
      <c r="A3844" s="154" t="s">
        <v>8515</v>
      </c>
      <c r="B3844" s="155"/>
      <c r="C3844" s="154" t="s">
        <v>8516</v>
      </c>
      <c r="D3844" s="155"/>
      <c r="E3844" s="155"/>
      <c r="F3844" s="154" t="s">
        <v>8517</v>
      </c>
      <c r="G3844" s="156">
        <v>0.0</v>
      </c>
      <c r="H3844" s="156">
        <v>0.0</v>
      </c>
      <c r="I3844" s="156">
        <v>0.0</v>
      </c>
      <c r="J3844" s="156">
        <v>0.0</v>
      </c>
      <c r="K3844" s="154" t="s">
        <v>259</v>
      </c>
    </row>
    <row r="3845">
      <c r="A3845" s="154" t="s">
        <v>8515</v>
      </c>
      <c r="B3845" s="154" t="s">
        <v>8516</v>
      </c>
      <c r="D3845" s="154">
        <v>2.0</v>
      </c>
      <c r="E3845" s="154" t="s">
        <v>761</v>
      </c>
      <c r="F3845" s="154" t="s">
        <v>792</v>
      </c>
      <c r="G3845" s="154" t="s">
        <v>793</v>
      </c>
      <c r="H3845" s="154" t="s">
        <v>794</v>
      </c>
      <c r="I3845" s="156">
        <v>0.0</v>
      </c>
      <c r="J3845" s="156">
        <v>0.0</v>
      </c>
      <c r="K3845" s="156">
        <v>0.0</v>
      </c>
    </row>
    <row r="3846">
      <c r="A3846" s="154" t="s">
        <v>8518</v>
      </c>
      <c r="B3846" s="155"/>
      <c r="C3846" s="154" t="s">
        <v>8519</v>
      </c>
      <c r="D3846" s="155"/>
      <c r="E3846" s="155"/>
      <c r="F3846" s="154" t="s">
        <v>8520</v>
      </c>
      <c r="G3846" s="156">
        <v>0.0</v>
      </c>
      <c r="H3846" s="154" t="s">
        <v>8521</v>
      </c>
      <c r="I3846" s="154" t="s">
        <v>8522</v>
      </c>
      <c r="J3846" s="156">
        <v>0.0</v>
      </c>
      <c r="K3846" s="154" t="s">
        <v>361</v>
      </c>
    </row>
    <row r="3847">
      <c r="A3847" s="154" t="s">
        <v>8518</v>
      </c>
      <c r="B3847" s="154" t="s">
        <v>8519</v>
      </c>
      <c r="D3847" s="154">
        <v>2.0</v>
      </c>
      <c r="E3847" s="154" t="s">
        <v>761</v>
      </c>
      <c r="F3847" s="154" t="s">
        <v>8520</v>
      </c>
      <c r="G3847" s="156">
        <v>0.0</v>
      </c>
      <c r="H3847" s="154" t="s">
        <v>8521</v>
      </c>
      <c r="I3847" s="154" t="s">
        <v>8522</v>
      </c>
      <c r="J3847" s="156">
        <v>0.0</v>
      </c>
      <c r="K3847" s="154" t="s">
        <v>361</v>
      </c>
    </row>
    <row r="3848">
      <c r="A3848" s="154" t="s">
        <v>8523</v>
      </c>
      <c r="B3848" s="154" t="s">
        <v>8524</v>
      </c>
      <c r="D3848" s="154">
        <v>2.0</v>
      </c>
      <c r="E3848" s="154" t="s">
        <v>761</v>
      </c>
      <c r="F3848" s="154" t="s">
        <v>8525</v>
      </c>
      <c r="G3848" s="156">
        <v>0.0</v>
      </c>
      <c r="H3848" s="154" t="s">
        <v>8526</v>
      </c>
      <c r="I3848" s="154" t="s">
        <v>8527</v>
      </c>
      <c r="J3848" s="156">
        <v>0.0</v>
      </c>
      <c r="K3848" s="154" t="s">
        <v>1891</v>
      </c>
    </row>
    <row r="3849">
      <c r="A3849" s="154" t="s">
        <v>8523</v>
      </c>
      <c r="B3849" s="155"/>
      <c r="C3849" s="154" t="s">
        <v>8524</v>
      </c>
      <c r="D3849" s="155"/>
      <c r="E3849" s="155"/>
      <c r="F3849" s="154" t="s">
        <v>8525</v>
      </c>
      <c r="G3849" s="156">
        <v>0.0</v>
      </c>
      <c r="H3849" s="154" t="s">
        <v>8526</v>
      </c>
      <c r="I3849" s="154" t="s">
        <v>8527</v>
      </c>
      <c r="J3849" s="156">
        <v>0.0</v>
      </c>
      <c r="K3849" s="154" t="s">
        <v>1891</v>
      </c>
    </row>
    <row r="3850">
      <c r="A3850" s="154" t="s">
        <v>8528</v>
      </c>
      <c r="B3850" s="155"/>
      <c r="C3850" s="154" t="s">
        <v>8529</v>
      </c>
      <c r="D3850" s="155"/>
      <c r="E3850" s="155"/>
      <c r="F3850" s="154" t="s">
        <v>1619</v>
      </c>
      <c r="G3850" s="154">
        <v>4.3903333E7</v>
      </c>
      <c r="H3850" s="154" t="s">
        <v>1620</v>
      </c>
      <c r="I3850" s="156">
        <v>0.0</v>
      </c>
      <c r="J3850" s="156">
        <v>0.0</v>
      </c>
      <c r="K3850" s="156">
        <v>0.0</v>
      </c>
    </row>
    <row r="3851">
      <c r="A3851" s="154" t="s">
        <v>8528</v>
      </c>
      <c r="B3851" s="154" t="s">
        <v>8530</v>
      </c>
      <c r="D3851" s="154">
        <v>2.0</v>
      </c>
      <c r="E3851" s="154" t="s">
        <v>897</v>
      </c>
      <c r="F3851" s="154" t="s">
        <v>1619</v>
      </c>
      <c r="G3851" s="154">
        <v>4.3903333E7</v>
      </c>
      <c r="H3851" s="154" t="s">
        <v>1620</v>
      </c>
      <c r="I3851" s="156">
        <v>0.0</v>
      </c>
      <c r="J3851" s="156">
        <v>0.0</v>
      </c>
      <c r="K3851" s="156">
        <v>0.0</v>
      </c>
    </row>
    <row r="3852">
      <c r="A3852" s="154" t="s">
        <v>8531</v>
      </c>
      <c r="B3852" s="154" t="s">
        <v>8532</v>
      </c>
      <c r="D3852" s="154">
        <v>2.0</v>
      </c>
      <c r="E3852" s="154" t="s">
        <v>897</v>
      </c>
      <c r="F3852" s="154" t="s">
        <v>3015</v>
      </c>
      <c r="G3852" s="154" t="s">
        <v>3016</v>
      </c>
      <c r="H3852" s="154" t="s">
        <v>3017</v>
      </c>
      <c r="I3852" s="154" t="s">
        <v>3018</v>
      </c>
      <c r="J3852" s="154" t="s">
        <v>3016</v>
      </c>
      <c r="K3852" s="154" t="s">
        <v>3019</v>
      </c>
    </row>
    <row r="3853">
      <c r="A3853" s="154" t="s">
        <v>8531</v>
      </c>
      <c r="B3853" s="155"/>
      <c r="C3853" s="154" t="s">
        <v>8533</v>
      </c>
      <c r="D3853" s="155"/>
      <c r="E3853" s="155"/>
      <c r="F3853" s="154" t="s">
        <v>2844</v>
      </c>
      <c r="G3853" s="156">
        <v>0.0</v>
      </c>
      <c r="H3853" s="156">
        <v>0.0</v>
      </c>
      <c r="I3853" s="154" t="s">
        <v>2845</v>
      </c>
      <c r="J3853" s="154" t="s">
        <v>2846</v>
      </c>
      <c r="K3853" s="154" t="s">
        <v>207</v>
      </c>
    </row>
    <row r="3854">
      <c r="A3854" s="154" t="s">
        <v>8534</v>
      </c>
      <c r="B3854" s="154" t="s">
        <v>8535</v>
      </c>
      <c r="D3854" s="154">
        <v>2.0</v>
      </c>
      <c r="E3854" s="154" t="s">
        <v>897</v>
      </c>
      <c r="F3854" s="154" t="s">
        <v>1619</v>
      </c>
      <c r="G3854" s="154">
        <v>4.3903333E7</v>
      </c>
      <c r="H3854" s="154" t="s">
        <v>1620</v>
      </c>
      <c r="I3854" s="156">
        <v>0.0</v>
      </c>
      <c r="J3854" s="156">
        <v>0.0</v>
      </c>
      <c r="K3854" s="156">
        <v>0.0</v>
      </c>
    </row>
    <row r="3855">
      <c r="A3855" s="154" t="s">
        <v>8534</v>
      </c>
      <c r="B3855" s="155"/>
      <c r="C3855" s="154" t="s">
        <v>8536</v>
      </c>
      <c r="D3855" s="155"/>
      <c r="E3855" s="155"/>
      <c r="F3855" s="154" t="s">
        <v>1619</v>
      </c>
      <c r="G3855" s="154">
        <v>4.3903333E7</v>
      </c>
      <c r="H3855" s="154" t="s">
        <v>1620</v>
      </c>
      <c r="I3855" s="156">
        <v>0.0</v>
      </c>
      <c r="J3855" s="156">
        <v>0.0</v>
      </c>
      <c r="K3855" s="156">
        <v>0.0</v>
      </c>
    </row>
    <row r="3856">
      <c r="A3856" s="154" t="s">
        <v>8537</v>
      </c>
      <c r="B3856" s="154" t="s">
        <v>8538</v>
      </c>
      <c r="D3856" s="154">
        <v>2.0</v>
      </c>
      <c r="E3856" s="154" t="s">
        <v>897</v>
      </c>
      <c r="F3856" s="154" t="s">
        <v>3015</v>
      </c>
      <c r="G3856" s="154" t="s">
        <v>3016</v>
      </c>
      <c r="H3856" s="154" t="s">
        <v>3017</v>
      </c>
      <c r="I3856" s="154" t="s">
        <v>3018</v>
      </c>
      <c r="J3856" s="154" t="s">
        <v>3016</v>
      </c>
      <c r="K3856" s="154" t="s">
        <v>3019</v>
      </c>
    </row>
    <row r="3857">
      <c r="A3857" s="154" t="s">
        <v>8537</v>
      </c>
      <c r="B3857" s="155"/>
      <c r="C3857" s="154" t="s">
        <v>8539</v>
      </c>
      <c r="D3857" s="155"/>
      <c r="E3857" s="155"/>
      <c r="F3857" s="154" t="s">
        <v>1619</v>
      </c>
      <c r="G3857" s="154">
        <v>4.3903333E7</v>
      </c>
      <c r="H3857" s="154" t="s">
        <v>1620</v>
      </c>
      <c r="I3857" s="156">
        <v>0.0</v>
      </c>
      <c r="J3857" s="156">
        <v>0.0</v>
      </c>
      <c r="K3857" s="156">
        <v>0.0</v>
      </c>
    </row>
    <row r="3858">
      <c r="A3858" s="154" t="s">
        <v>8540</v>
      </c>
      <c r="B3858" s="155"/>
      <c r="C3858" s="154" t="s">
        <v>8541</v>
      </c>
      <c r="D3858" s="155"/>
      <c r="E3858" s="155"/>
      <c r="F3858" s="154" t="s">
        <v>2855</v>
      </c>
      <c r="G3858" s="156">
        <v>0.0</v>
      </c>
      <c r="H3858" s="154" t="s">
        <v>2856</v>
      </c>
      <c r="I3858" s="154" t="s">
        <v>2857</v>
      </c>
      <c r="J3858" s="156">
        <v>0.0</v>
      </c>
      <c r="K3858" s="154" t="s">
        <v>2858</v>
      </c>
    </row>
    <row r="3859">
      <c r="A3859" s="154" t="s">
        <v>8540</v>
      </c>
      <c r="B3859" s="154" t="s">
        <v>8542</v>
      </c>
      <c r="D3859" s="154">
        <v>2.0</v>
      </c>
      <c r="E3859" s="154" t="s">
        <v>897</v>
      </c>
      <c r="F3859" s="154" t="s">
        <v>1619</v>
      </c>
      <c r="G3859" s="154">
        <v>4.3903333E7</v>
      </c>
      <c r="H3859" s="154" t="s">
        <v>1620</v>
      </c>
      <c r="I3859" s="156">
        <v>0.0</v>
      </c>
      <c r="J3859" s="156">
        <v>0.0</v>
      </c>
      <c r="K3859" s="156">
        <v>0.0</v>
      </c>
    </row>
    <row r="3860">
      <c r="A3860" s="154" t="s">
        <v>8543</v>
      </c>
      <c r="B3860" s="155"/>
      <c r="C3860" s="154" t="s">
        <v>8544</v>
      </c>
      <c r="D3860" s="155"/>
      <c r="E3860" s="155"/>
      <c r="F3860" s="154" t="s">
        <v>1619</v>
      </c>
      <c r="G3860" s="154">
        <v>4.3903333E7</v>
      </c>
      <c r="H3860" s="154" t="s">
        <v>1620</v>
      </c>
      <c r="I3860" s="156">
        <v>0.0</v>
      </c>
      <c r="J3860" s="156">
        <v>0.0</v>
      </c>
      <c r="K3860" s="156">
        <v>0.0</v>
      </c>
    </row>
    <row r="3861">
      <c r="A3861" s="154" t="s">
        <v>8543</v>
      </c>
      <c r="B3861" s="154" t="s">
        <v>8544</v>
      </c>
      <c r="D3861" s="154">
        <v>2.0</v>
      </c>
      <c r="E3861" s="154" t="s">
        <v>761</v>
      </c>
      <c r="F3861" s="154" t="s">
        <v>1619</v>
      </c>
      <c r="G3861" s="154">
        <v>4.3903333E7</v>
      </c>
      <c r="H3861" s="154" t="s">
        <v>1620</v>
      </c>
      <c r="I3861" s="156">
        <v>0.0</v>
      </c>
      <c r="J3861" s="156">
        <v>0.0</v>
      </c>
      <c r="K3861" s="156">
        <v>0.0</v>
      </c>
    </row>
    <row r="3862">
      <c r="A3862" s="154" t="s">
        <v>8545</v>
      </c>
      <c r="B3862" s="154" t="s">
        <v>8546</v>
      </c>
      <c r="D3862" s="154">
        <v>2.0</v>
      </c>
      <c r="E3862" s="154" t="s">
        <v>761</v>
      </c>
      <c r="F3862" s="154" t="s">
        <v>8547</v>
      </c>
      <c r="G3862" s="154">
        <v>9.71506666666E11</v>
      </c>
      <c r="H3862" s="156">
        <v>0.0</v>
      </c>
      <c r="I3862" s="154">
        <v>9.71508444444E11</v>
      </c>
      <c r="J3862" s="156">
        <v>0.0</v>
      </c>
      <c r="K3862" s="154" t="s">
        <v>207</v>
      </c>
    </row>
    <row r="3863">
      <c r="A3863" s="154" t="s">
        <v>8545</v>
      </c>
      <c r="B3863" s="155"/>
      <c r="C3863" s="154" t="s">
        <v>8546</v>
      </c>
      <c r="D3863" s="155"/>
      <c r="E3863" s="155"/>
      <c r="F3863" s="154" t="s">
        <v>8547</v>
      </c>
      <c r="G3863" s="154">
        <v>9.71506666666E11</v>
      </c>
      <c r="H3863" s="156">
        <v>0.0</v>
      </c>
      <c r="I3863" s="154">
        <v>9.71508444444E11</v>
      </c>
      <c r="J3863" s="156">
        <v>0.0</v>
      </c>
      <c r="K3863" s="154" t="s">
        <v>207</v>
      </c>
    </row>
    <row r="3864">
      <c r="A3864" s="154" t="s">
        <v>8548</v>
      </c>
      <c r="B3864" s="155"/>
      <c r="C3864" s="154" t="s">
        <v>8549</v>
      </c>
      <c r="D3864" s="155"/>
      <c r="E3864" s="155"/>
      <c r="F3864" s="154" t="s">
        <v>8547</v>
      </c>
      <c r="G3864" s="154">
        <v>9.71506666666E11</v>
      </c>
      <c r="H3864" s="156">
        <v>0.0</v>
      </c>
      <c r="I3864" s="154">
        <v>9.71508444444E11</v>
      </c>
      <c r="J3864" s="156">
        <v>0.0</v>
      </c>
      <c r="K3864" s="154" t="s">
        <v>207</v>
      </c>
    </row>
    <row r="3865">
      <c r="A3865" s="154" t="s">
        <v>8548</v>
      </c>
      <c r="B3865" s="154" t="s">
        <v>8549</v>
      </c>
      <c r="D3865" s="154">
        <v>2.0</v>
      </c>
      <c r="E3865" s="154" t="s">
        <v>761</v>
      </c>
      <c r="F3865" s="154" t="s">
        <v>8547</v>
      </c>
      <c r="G3865" s="154">
        <v>9.71506666666E11</v>
      </c>
      <c r="H3865" s="156">
        <v>0.0</v>
      </c>
      <c r="I3865" s="154">
        <v>9.71508444444E11</v>
      </c>
      <c r="J3865" s="156">
        <v>0.0</v>
      </c>
      <c r="K3865" s="154" t="s">
        <v>207</v>
      </c>
    </row>
    <row r="3866">
      <c r="A3866" s="154" t="s">
        <v>8550</v>
      </c>
      <c r="B3866" s="154" t="s">
        <v>8551</v>
      </c>
      <c r="D3866" s="154">
        <v>2.0</v>
      </c>
      <c r="E3866" s="154" t="s">
        <v>761</v>
      </c>
      <c r="F3866" s="154" t="s">
        <v>8547</v>
      </c>
      <c r="G3866" s="154">
        <v>9.71506666666E11</v>
      </c>
      <c r="H3866" s="156">
        <v>0.0</v>
      </c>
      <c r="I3866" s="154">
        <v>9.71508444444E11</v>
      </c>
      <c r="J3866" s="156">
        <v>0.0</v>
      </c>
      <c r="K3866" s="154" t="s">
        <v>207</v>
      </c>
    </row>
    <row r="3867">
      <c r="A3867" s="154" t="s">
        <v>8550</v>
      </c>
      <c r="B3867" s="155"/>
      <c r="C3867" s="154" t="s">
        <v>8551</v>
      </c>
      <c r="D3867" s="155"/>
      <c r="E3867" s="155"/>
      <c r="F3867" s="154" t="s">
        <v>8547</v>
      </c>
      <c r="G3867" s="154">
        <v>9.71506666666E11</v>
      </c>
      <c r="H3867" s="156">
        <v>0.0</v>
      </c>
      <c r="I3867" s="154">
        <v>9.71508444444E11</v>
      </c>
      <c r="J3867" s="156">
        <v>0.0</v>
      </c>
      <c r="K3867" s="154" t="s">
        <v>207</v>
      </c>
    </row>
    <row r="3868">
      <c r="A3868" s="154" t="s">
        <v>8552</v>
      </c>
      <c r="B3868" s="154" t="s">
        <v>8553</v>
      </c>
      <c r="D3868" s="154">
        <v>2.0</v>
      </c>
      <c r="E3868" s="154" t="s">
        <v>761</v>
      </c>
      <c r="F3868" s="154" t="s">
        <v>8547</v>
      </c>
      <c r="G3868" s="154">
        <v>9.71506666666E11</v>
      </c>
      <c r="H3868" s="156">
        <v>0.0</v>
      </c>
      <c r="I3868" s="154">
        <v>9.71508444444E11</v>
      </c>
      <c r="J3868" s="156">
        <v>0.0</v>
      </c>
      <c r="K3868" s="154" t="s">
        <v>207</v>
      </c>
    </row>
    <row r="3869">
      <c r="A3869" s="154" t="s">
        <v>8552</v>
      </c>
      <c r="B3869" s="155"/>
      <c r="C3869" s="154" t="s">
        <v>8553</v>
      </c>
      <c r="D3869" s="155"/>
      <c r="E3869" s="155"/>
      <c r="F3869" s="154" t="s">
        <v>8547</v>
      </c>
      <c r="G3869" s="154">
        <v>9.71506666666E11</v>
      </c>
      <c r="H3869" s="156">
        <v>0.0</v>
      </c>
      <c r="I3869" s="154">
        <v>9.71508444444E11</v>
      </c>
      <c r="J3869" s="156">
        <v>0.0</v>
      </c>
      <c r="K3869" s="154" t="s">
        <v>207</v>
      </c>
    </row>
    <row r="3870">
      <c r="A3870" s="154" t="s">
        <v>8554</v>
      </c>
      <c r="B3870" s="154" t="s">
        <v>8555</v>
      </c>
      <c r="D3870" s="154">
        <v>2.0</v>
      </c>
      <c r="E3870" s="154" t="s">
        <v>761</v>
      </c>
      <c r="F3870" s="154" t="s">
        <v>8547</v>
      </c>
      <c r="G3870" s="154">
        <v>9.71506666666E11</v>
      </c>
      <c r="H3870" s="156">
        <v>0.0</v>
      </c>
      <c r="I3870" s="154">
        <v>9.71508444444E11</v>
      </c>
      <c r="J3870" s="156">
        <v>0.0</v>
      </c>
      <c r="K3870" s="154" t="s">
        <v>207</v>
      </c>
    </row>
    <row r="3871">
      <c r="A3871" s="154" t="s">
        <v>8554</v>
      </c>
      <c r="B3871" s="155"/>
      <c r="C3871" s="154" t="s">
        <v>8555</v>
      </c>
      <c r="D3871" s="155"/>
      <c r="E3871" s="155"/>
      <c r="F3871" s="154" t="s">
        <v>8547</v>
      </c>
      <c r="G3871" s="154">
        <v>9.71506666666E11</v>
      </c>
      <c r="H3871" s="156">
        <v>0.0</v>
      </c>
      <c r="I3871" s="154">
        <v>9.71508444444E11</v>
      </c>
      <c r="J3871" s="156">
        <v>0.0</v>
      </c>
      <c r="K3871" s="154" t="s">
        <v>207</v>
      </c>
    </row>
    <row r="3872">
      <c r="A3872" s="154" t="s">
        <v>8556</v>
      </c>
      <c r="B3872" s="155"/>
      <c r="C3872" s="154" t="s">
        <v>8557</v>
      </c>
      <c r="D3872" s="155"/>
      <c r="E3872" s="155"/>
      <c r="F3872" s="154" t="s">
        <v>8547</v>
      </c>
      <c r="G3872" s="154">
        <v>9.71506666666E11</v>
      </c>
      <c r="H3872" s="156">
        <v>0.0</v>
      </c>
      <c r="I3872" s="154">
        <v>9.71508444444E11</v>
      </c>
      <c r="J3872" s="156">
        <v>0.0</v>
      </c>
      <c r="K3872" s="154" t="s">
        <v>207</v>
      </c>
    </row>
    <row r="3873">
      <c r="A3873" s="154" t="s">
        <v>8556</v>
      </c>
      <c r="B3873" s="154" t="s">
        <v>8557</v>
      </c>
      <c r="D3873" s="154">
        <v>2.0</v>
      </c>
      <c r="E3873" s="154" t="s">
        <v>761</v>
      </c>
      <c r="F3873" s="154" t="s">
        <v>8547</v>
      </c>
      <c r="G3873" s="154">
        <v>9.71506666666E11</v>
      </c>
      <c r="H3873" s="156">
        <v>0.0</v>
      </c>
      <c r="I3873" s="154">
        <v>9.71508444444E11</v>
      </c>
      <c r="J3873" s="156">
        <v>0.0</v>
      </c>
      <c r="K3873" s="154" t="s">
        <v>207</v>
      </c>
    </row>
    <row r="3874">
      <c r="A3874" s="154" t="s">
        <v>8558</v>
      </c>
      <c r="B3874" s="155"/>
      <c r="C3874" s="154" t="s">
        <v>8559</v>
      </c>
      <c r="D3874" s="155"/>
      <c r="E3874" s="155"/>
      <c r="F3874" s="154" t="s">
        <v>8547</v>
      </c>
      <c r="G3874" s="154">
        <v>9.71506666666E11</v>
      </c>
      <c r="H3874" s="156">
        <v>0.0</v>
      </c>
      <c r="I3874" s="154">
        <v>9.71508444444E11</v>
      </c>
      <c r="J3874" s="156">
        <v>0.0</v>
      </c>
      <c r="K3874" s="154" t="s">
        <v>207</v>
      </c>
    </row>
    <row r="3875">
      <c r="A3875" s="154" t="s">
        <v>8558</v>
      </c>
      <c r="B3875" s="154" t="s">
        <v>8559</v>
      </c>
      <c r="D3875" s="154">
        <v>2.0</v>
      </c>
      <c r="E3875" s="154" t="s">
        <v>761</v>
      </c>
      <c r="F3875" s="154" t="s">
        <v>8547</v>
      </c>
      <c r="G3875" s="154">
        <v>9.71506666666E11</v>
      </c>
      <c r="H3875" s="156">
        <v>0.0</v>
      </c>
      <c r="I3875" s="154">
        <v>9.71508444444E11</v>
      </c>
      <c r="J3875" s="156">
        <v>0.0</v>
      </c>
      <c r="K3875" s="154" t="s">
        <v>207</v>
      </c>
    </row>
    <row r="3876">
      <c r="A3876" s="154" t="s">
        <v>8560</v>
      </c>
      <c r="B3876" s="154" t="s">
        <v>8561</v>
      </c>
      <c r="D3876" s="154">
        <v>2.0</v>
      </c>
      <c r="E3876" s="154" t="s">
        <v>761</v>
      </c>
      <c r="F3876" s="154" t="s">
        <v>8547</v>
      </c>
      <c r="G3876" s="154">
        <v>9.71506666666E11</v>
      </c>
      <c r="H3876" s="156">
        <v>0.0</v>
      </c>
      <c r="I3876" s="154">
        <v>9.71508444444E11</v>
      </c>
      <c r="J3876" s="156">
        <v>0.0</v>
      </c>
      <c r="K3876" s="154" t="s">
        <v>207</v>
      </c>
    </row>
    <row r="3877">
      <c r="A3877" s="154" t="s">
        <v>8560</v>
      </c>
      <c r="B3877" s="155"/>
      <c r="C3877" s="154" t="s">
        <v>8561</v>
      </c>
      <c r="D3877" s="155"/>
      <c r="E3877" s="155"/>
      <c r="F3877" s="154" t="s">
        <v>8547</v>
      </c>
      <c r="G3877" s="154">
        <v>9.71506666666E11</v>
      </c>
      <c r="H3877" s="156">
        <v>0.0</v>
      </c>
      <c r="I3877" s="154">
        <v>9.71508444444E11</v>
      </c>
      <c r="J3877" s="156">
        <v>0.0</v>
      </c>
      <c r="K3877" s="154" t="s">
        <v>207</v>
      </c>
    </row>
    <row r="3878">
      <c r="A3878" s="154" t="s">
        <v>8562</v>
      </c>
      <c r="B3878" s="154" t="s">
        <v>8563</v>
      </c>
      <c r="D3878" s="154">
        <v>2.0</v>
      </c>
      <c r="E3878" s="154" t="s">
        <v>761</v>
      </c>
      <c r="F3878" s="154" t="s">
        <v>8547</v>
      </c>
      <c r="G3878" s="154">
        <v>9.71506666666E11</v>
      </c>
      <c r="H3878" s="156">
        <v>0.0</v>
      </c>
      <c r="I3878" s="154">
        <v>9.71508444444E11</v>
      </c>
      <c r="J3878" s="156">
        <v>0.0</v>
      </c>
      <c r="K3878" s="154" t="s">
        <v>207</v>
      </c>
    </row>
    <row r="3879">
      <c r="A3879" s="154" t="s">
        <v>8562</v>
      </c>
      <c r="B3879" s="155"/>
      <c r="C3879" s="154" t="s">
        <v>8563</v>
      </c>
      <c r="D3879" s="155"/>
      <c r="E3879" s="155"/>
      <c r="F3879" s="154" t="s">
        <v>8547</v>
      </c>
      <c r="G3879" s="154">
        <v>9.71506666666E11</v>
      </c>
      <c r="H3879" s="156">
        <v>0.0</v>
      </c>
      <c r="I3879" s="154">
        <v>9.71508444444E11</v>
      </c>
      <c r="J3879" s="156">
        <v>0.0</v>
      </c>
      <c r="K3879" s="154" t="s">
        <v>207</v>
      </c>
    </row>
    <row r="3880">
      <c r="A3880" s="154" t="s">
        <v>8564</v>
      </c>
      <c r="B3880" s="155"/>
      <c r="C3880" s="154" t="s">
        <v>8565</v>
      </c>
      <c r="D3880" s="155"/>
      <c r="E3880" s="155"/>
      <c r="F3880" s="154" t="s">
        <v>8547</v>
      </c>
      <c r="G3880" s="154">
        <v>9.71506666666E11</v>
      </c>
      <c r="H3880" s="156">
        <v>0.0</v>
      </c>
      <c r="I3880" s="154">
        <v>9.71508444444E11</v>
      </c>
      <c r="J3880" s="156">
        <v>0.0</v>
      </c>
      <c r="K3880" s="154" t="s">
        <v>207</v>
      </c>
    </row>
    <row r="3881">
      <c r="A3881" s="154" t="s">
        <v>8564</v>
      </c>
      <c r="B3881" s="154" t="s">
        <v>8565</v>
      </c>
      <c r="D3881" s="154">
        <v>2.0</v>
      </c>
      <c r="E3881" s="154" t="s">
        <v>761</v>
      </c>
      <c r="F3881" s="154" t="s">
        <v>8547</v>
      </c>
      <c r="G3881" s="154">
        <v>9.71506666666E11</v>
      </c>
      <c r="H3881" s="156">
        <v>0.0</v>
      </c>
      <c r="I3881" s="154">
        <v>9.71508444444E11</v>
      </c>
      <c r="J3881" s="156">
        <v>0.0</v>
      </c>
      <c r="K3881" s="154" t="s">
        <v>207</v>
      </c>
    </row>
    <row r="3882">
      <c r="A3882" s="154" t="s">
        <v>8566</v>
      </c>
      <c r="B3882" s="154" t="s">
        <v>8567</v>
      </c>
      <c r="D3882" s="154">
        <v>2.0</v>
      </c>
      <c r="E3882" s="154" t="s">
        <v>761</v>
      </c>
      <c r="F3882" s="154" t="s">
        <v>8547</v>
      </c>
      <c r="G3882" s="154">
        <v>9.71506666666E11</v>
      </c>
      <c r="H3882" s="156">
        <v>0.0</v>
      </c>
      <c r="I3882" s="154">
        <v>9.71508444444E11</v>
      </c>
      <c r="J3882" s="156">
        <v>0.0</v>
      </c>
      <c r="K3882" s="154" t="s">
        <v>207</v>
      </c>
    </row>
    <row r="3883">
      <c r="A3883" s="154" t="s">
        <v>8566</v>
      </c>
      <c r="B3883" s="155"/>
      <c r="C3883" s="154" t="s">
        <v>8567</v>
      </c>
      <c r="D3883" s="155"/>
      <c r="E3883" s="155"/>
      <c r="F3883" s="154" t="s">
        <v>8547</v>
      </c>
      <c r="G3883" s="154">
        <v>9.71506666666E11</v>
      </c>
      <c r="H3883" s="156">
        <v>0.0</v>
      </c>
      <c r="I3883" s="154">
        <v>9.71508444444E11</v>
      </c>
      <c r="J3883" s="156">
        <v>0.0</v>
      </c>
      <c r="K3883" s="154" t="s">
        <v>207</v>
      </c>
    </row>
    <row r="3884">
      <c r="A3884" s="154" t="s">
        <v>8568</v>
      </c>
      <c r="B3884" s="154" t="s">
        <v>8569</v>
      </c>
      <c r="D3884" s="154">
        <v>2.0</v>
      </c>
      <c r="E3884" s="154" t="s">
        <v>897</v>
      </c>
      <c r="F3884" s="154" t="s">
        <v>8570</v>
      </c>
      <c r="G3884" s="154">
        <v>971.0</v>
      </c>
      <c r="H3884" s="156">
        <v>0.0</v>
      </c>
      <c r="I3884" s="154" t="s">
        <v>8571</v>
      </c>
      <c r="J3884" s="154" t="s">
        <v>8572</v>
      </c>
      <c r="K3884" s="154" t="s">
        <v>259</v>
      </c>
    </row>
    <row r="3885">
      <c r="A3885" s="154" t="s">
        <v>8568</v>
      </c>
      <c r="B3885" s="155"/>
      <c r="C3885" s="154" t="s">
        <v>8573</v>
      </c>
      <c r="D3885" s="155"/>
      <c r="E3885" s="155"/>
      <c r="F3885" s="154" t="s">
        <v>1619</v>
      </c>
      <c r="G3885" s="154">
        <v>4.3903333E7</v>
      </c>
      <c r="H3885" s="154" t="s">
        <v>1620</v>
      </c>
      <c r="I3885" s="156">
        <v>0.0</v>
      </c>
      <c r="J3885" s="156">
        <v>0.0</v>
      </c>
      <c r="K3885" s="156">
        <v>0.0</v>
      </c>
    </row>
    <row r="3886">
      <c r="A3886" s="154" t="s">
        <v>8574</v>
      </c>
      <c r="B3886" s="155"/>
      <c r="C3886" s="154" t="s">
        <v>8575</v>
      </c>
      <c r="D3886" s="155"/>
      <c r="E3886" s="155"/>
      <c r="F3886" s="154" t="s">
        <v>1619</v>
      </c>
      <c r="G3886" s="154">
        <v>4.3903333E7</v>
      </c>
      <c r="H3886" s="154" t="s">
        <v>1620</v>
      </c>
      <c r="I3886" s="156">
        <v>0.0</v>
      </c>
      <c r="J3886" s="156">
        <v>0.0</v>
      </c>
      <c r="K3886" s="156">
        <v>0.0</v>
      </c>
    </row>
    <row r="3887">
      <c r="A3887" s="154" t="s">
        <v>8574</v>
      </c>
      <c r="B3887" s="154" t="s">
        <v>8576</v>
      </c>
      <c r="D3887" s="154">
        <v>2.0</v>
      </c>
      <c r="E3887" s="154" t="s">
        <v>897</v>
      </c>
      <c r="F3887" s="154" t="s">
        <v>8577</v>
      </c>
      <c r="G3887" s="154" t="s">
        <v>8578</v>
      </c>
      <c r="H3887" s="156">
        <v>0.0</v>
      </c>
      <c r="I3887" s="154">
        <v>5.52774747E8</v>
      </c>
      <c r="J3887" s="156">
        <v>0.0</v>
      </c>
      <c r="K3887" s="154" t="s">
        <v>361</v>
      </c>
    </row>
    <row r="3888">
      <c r="A3888" s="154" t="s">
        <v>8579</v>
      </c>
      <c r="B3888" s="154" t="s">
        <v>8580</v>
      </c>
      <c r="D3888" s="154">
        <v>2.0</v>
      </c>
      <c r="E3888" s="154" t="s">
        <v>897</v>
      </c>
      <c r="F3888" s="154" t="s">
        <v>2806</v>
      </c>
      <c r="G3888" s="154">
        <v>5.5390465E8</v>
      </c>
      <c r="H3888" s="154" t="s">
        <v>2807</v>
      </c>
      <c r="I3888" s="154">
        <v>5.5390465E8</v>
      </c>
      <c r="J3888" s="156">
        <v>0.0</v>
      </c>
      <c r="K3888" s="154" t="s">
        <v>760</v>
      </c>
    </row>
    <row r="3889">
      <c r="A3889" s="154" t="s">
        <v>8579</v>
      </c>
      <c r="B3889" s="155"/>
      <c r="C3889" s="154" t="s">
        <v>8581</v>
      </c>
      <c r="D3889" s="155"/>
      <c r="E3889" s="155"/>
      <c r="F3889" s="154" t="s">
        <v>2806</v>
      </c>
      <c r="G3889" s="154">
        <v>5.5390465E8</v>
      </c>
      <c r="H3889" s="154" t="s">
        <v>2807</v>
      </c>
      <c r="I3889" s="154">
        <v>5.5390465E8</v>
      </c>
      <c r="J3889" s="156">
        <v>0.0</v>
      </c>
      <c r="K3889" s="154" t="s">
        <v>760</v>
      </c>
    </row>
    <row r="3890">
      <c r="A3890" s="154" t="s">
        <v>8582</v>
      </c>
      <c r="B3890" s="154" t="s">
        <v>8583</v>
      </c>
      <c r="D3890" s="154">
        <v>2.0</v>
      </c>
      <c r="E3890" s="154" t="s">
        <v>897</v>
      </c>
      <c r="F3890" s="154" t="s">
        <v>1619</v>
      </c>
      <c r="G3890" s="154">
        <v>4.3903333E7</v>
      </c>
      <c r="H3890" s="154" t="s">
        <v>1620</v>
      </c>
      <c r="I3890" s="156">
        <v>0.0</v>
      </c>
      <c r="J3890" s="156">
        <v>0.0</v>
      </c>
      <c r="K3890" s="156">
        <v>0.0</v>
      </c>
    </row>
    <row r="3891">
      <c r="A3891" s="154" t="s">
        <v>8582</v>
      </c>
      <c r="B3891" s="155"/>
      <c r="C3891" s="154" t="s">
        <v>8584</v>
      </c>
      <c r="D3891" s="155"/>
      <c r="E3891" s="155"/>
      <c r="F3891" s="154" t="s">
        <v>2903</v>
      </c>
      <c r="G3891" s="154">
        <v>4.3688808E7</v>
      </c>
      <c r="H3891" s="156">
        <v>0.0</v>
      </c>
      <c r="I3891" s="154">
        <v>0.0</v>
      </c>
      <c r="J3891" s="156">
        <v>0.0</v>
      </c>
      <c r="K3891" s="154" t="s">
        <v>301</v>
      </c>
    </row>
    <row r="3892">
      <c r="A3892" s="154" t="s">
        <v>8585</v>
      </c>
      <c r="B3892" s="154" t="s">
        <v>8586</v>
      </c>
      <c r="D3892" s="154">
        <v>2.0</v>
      </c>
      <c r="E3892" s="154" t="s">
        <v>897</v>
      </c>
      <c r="F3892" s="154" t="s">
        <v>2921</v>
      </c>
      <c r="G3892" s="156">
        <v>0.0</v>
      </c>
      <c r="H3892" s="156">
        <v>0.0</v>
      </c>
      <c r="I3892" s="154">
        <v>5.06178911E8</v>
      </c>
      <c r="J3892" s="156">
        <v>0.0</v>
      </c>
      <c r="K3892" s="154" t="s">
        <v>259</v>
      </c>
    </row>
    <row r="3893">
      <c r="A3893" s="154" t="s">
        <v>8585</v>
      </c>
      <c r="B3893" s="155"/>
      <c r="C3893" s="154" t="s">
        <v>8587</v>
      </c>
      <c r="D3893" s="155"/>
      <c r="E3893" s="155"/>
      <c r="F3893" s="154" t="s">
        <v>8588</v>
      </c>
      <c r="G3893" s="156">
        <v>0.0</v>
      </c>
      <c r="H3893" s="156">
        <v>0.0</v>
      </c>
      <c r="I3893" s="154">
        <v>5.06178911E8</v>
      </c>
      <c r="J3893" s="156">
        <v>0.0</v>
      </c>
      <c r="K3893" s="154" t="s">
        <v>259</v>
      </c>
    </row>
    <row r="3894">
      <c r="A3894" s="154" t="s">
        <v>8589</v>
      </c>
      <c r="B3894" s="154" t="s">
        <v>8590</v>
      </c>
      <c r="D3894" s="154">
        <v>2.0</v>
      </c>
      <c r="E3894" s="154" t="s">
        <v>897</v>
      </c>
      <c r="F3894" s="154" t="s">
        <v>6483</v>
      </c>
      <c r="G3894" s="156">
        <v>0.0</v>
      </c>
      <c r="H3894" s="154" t="s">
        <v>1838</v>
      </c>
      <c r="I3894" s="154" t="s">
        <v>6484</v>
      </c>
      <c r="J3894" s="154" t="s">
        <v>6485</v>
      </c>
      <c r="K3894" s="154" t="s">
        <v>361</v>
      </c>
    </row>
    <row r="3895">
      <c r="A3895" s="154" t="s">
        <v>8589</v>
      </c>
      <c r="B3895" s="155"/>
      <c r="C3895" s="154" t="s">
        <v>8591</v>
      </c>
      <c r="D3895" s="155"/>
      <c r="E3895" s="155"/>
      <c r="F3895" s="154" t="s">
        <v>8592</v>
      </c>
      <c r="G3895" s="154" t="s">
        <v>8593</v>
      </c>
      <c r="H3895" s="154" t="s">
        <v>8594</v>
      </c>
      <c r="I3895" s="154" t="s">
        <v>2825</v>
      </c>
      <c r="J3895" s="154" t="s">
        <v>2826</v>
      </c>
      <c r="K3895" s="154" t="s">
        <v>259</v>
      </c>
    </row>
    <row r="3896">
      <c r="A3896" s="154" t="s">
        <v>8595</v>
      </c>
      <c r="B3896" s="155"/>
      <c r="C3896" s="154" t="s">
        <v>8596</v>
      </c>
      <c r="D3896" s="155"/>
      <c r="E3896" s="155"/>
      <c r="F3896" s="154" t="s">
        <v>6483</v>
      </c>
      <c r="G3896" s="156">
        <v>0.0</v>
      </c>
      <c r="H3896" s="154" t="s">
        <v>1838</v>
      </c>
      <c r="I3896" s="154" t="s">
        <v>6484</v>
      </c>
      <c r="J3896" s="154" t="s">
        <v>6485</v>
      </c>
      <c r="K3896" s="154" t="s">
        <v>361</v>
      </c>
    </row>
    <row r="3897">
      <c r="A3897" s="154" t="s">
        <v>8595</v>
      </c>
      <c r="B3897" s="154" t="s">
        <v>8597</v>
      </c>
      <c r="D3897" s="154">
        <v>2.0</v>
      </c>
      <c r="E3897" s="154" t="s">
        <v>897</v>
      </c>
      <c r="F3897" s="154" t="s">
        <v>6483</v>
      </c>
      <c r="G3897" s="156">
        <v>0.0</v>
      </c>
      <c r="H3897" s="154" t="s">
        <v>1838</v>
      </c>
      <c r="I3897" s="154" t="s">
        <v>6484</v>
      </c>
      <c r="J3897" s="154" t="s">
        <v>6485</v>
      </c>
      <c r="K3897" s="154" t="s">
        <v>361</v>
      </c>
    </row>
    <row r="3898">
      <c r="A3898" s="154" t="s">
        <v>8598</v>
      </c>
      <c r="B3898" s="155"/>
      <c r="C3898" s="154" t="s">
        <v>8599</v>
      </c>
      <c r="D3898" s="155"/>
      <c r="E3898" s="155"/>
      <c r="F3898" s="154" t="s">
        <v>1619</v>
      </c>
      <c r="G3898" s="154">
        <v>4.3903333E7</v>
      </c>
      <c r="H3898" s="154" t="s">
        <v>1620</v>
      </c>
      <c r="I3898" s="156">
        <v>0.0</v>
      </c>
      <c r="J3898" s="156">
        <v>0.0</v>
      </c>
      <c r="K3898" s="156">
        <v>0.0</v>
      </c>
    </row>
    <row r="3899">
      <c r="A3899" s="154" t="s">
        <v>8598</v>
      </c>
      <c r="B3899" s="154" t="s">
        <v>8600</v>
      </c>
      <c r="D3899" s="154">
        <v>2.0</v>
      </c>
      <c r="E3899" s="154" t="s">
        <v>897</v>
      </c>
      <c r="F3899" s="154" t="s">
        <v>8601</v>
      </c>
      <c r="G3899" s="154">
        <v>4.3622292E7</v>
      </c>
      <c r="H3899" s="156">
        <v>0.0</v>
      </c>
      <c r="I3899" s="156">
        <v>0.0</v>
      </c>
      <c r="J3899" s="156">
        <v>0.0</v>
      </c>
      <c r="K3899" s="154" t="s">
        <v>197</v>
      </c>
    </row>
    <row r="3900">
      <c r="A3900" s="154" t="s">
        <v>8602</v>
      </c>
      <c r="B3900" s="155"/>
      <c r="C3900" s="154" t="s">
        <v>8603</v>
      </c>
      <c r="D3900" s="155"/>
      <c r="E3900" s="155"/>
      <c r="F3900" s="154" t="s">
        <v>1619</v>
      </c>
      <c r="G3900" s="154">
        <v>4.3903333E7</v>
      </c>
      <c r="H3900" s="154" t="s">
        <v>1620</v>
      </c>
      <c r="I3900" s="156">
        <v>0.0</v>
      </c>
      <c r="J3900" s="156">
        <v>0.0</v>
      </c>
      <c r="K3900" s="156">
        <v>0.0</v>
      </c>
    </row>
    <row r="3901">
      <c r="A3901" s="154" t="s">
        <v>8602</v>
      </c>
      <c r="B3901" s="154" t="s">
        <v>8604</v>
      </c>
      <c r="D3901" s="154">
        <v>2.0</v>
      </c>
      <c r="E3901" s="154" t="s">
        <v>897</v>
      </c>
      <c r="F3901" s="154" t="s">
        <v>8605</v>
      </c>
      <c r="G3901" s="156">
        <v>0.0</v>
      </c>
      <c r="H3901" s="156">
        <v>0.0</v>
      </c>
      <c r="I3901" s="154">
        <v>9.89121100324E11</v>
      </c>
      <c r="J3901" s="156">
        <v>0.0</v>
      </c>
      <c r="K3901" s="154" t="s">
        <v>776</v>
      </c>
    </row>
    <row r="3902">
      <c r="A3902" s="154" t="s">
        <v>8606</v>
      </c>
      <c r="B3902" s="155"/>
      <c r="C3902" s="154" t="s">
        <v>8607</v>
      </c>
      <c r="D3902" s="155"/>
      <c r="E3902" s="155"/>
      <c r="F3902" s="154" t="s">
        <v>1619</v>
      </c>
      <c r="G3902" s="154">
        <v>4.3903333E7</v>
      </c>
      <c r="H3902" s="154" t="s">
        <v>1620</v>
      </c>
      <c r="I3902" s="156">
        <v>0.0</v>
      </c>
      <c r="J3902" s="156">
        <v>0.0</v>
      </c>
      <c r="K3902" s="156">
        <v>0.0</v>
      </c>
    </row>
    <row r="3903">
      <c r="A3903" s="154" t="s">
        <v>8606</v>
      </c>
      <c r="B3903" s="154" t="s">
        <v>8608</v>
      </c>
      <c r="D3903" s="154">
        <v>2.0</v>
      </c>
      <c r="E3903" s="154" t="s">
        <v>897</v>
      </c>
      <c r="F3903" s="154" t="s">
        <v>1619</v>
      </c>
      <c r="G3903" s="154">
        <v>4.3903333E7</v>
      </c>
      <c r="H3903" s="154" t="s">
        <v>1620</v>
      </c>
      <c r="I3903" s="156">
        <v>0.0</v>
      </c>
      <c r="J3903" s="156">
        <v>0.0</v>
      </c>
      <c r="K3903" s="156">
        <v>0.0</v>
      </c>
    </row>
    <row r="3904">
      <c r="A3904" s="154" t="s">
        <v>8609</v>
      </c>
      <c r="B3904" s="154" t="s">
        <v>8610</v>
      </c>
      <c r="D3904" s="154">
        <v>2.0</v>
      </c>
      <c r="E3904" s="154" t="s">
        <v>897</v>
      </c>
      <c r="F3904" s="154" t="s">
        <v>8611</v>
      </c>
      <c r="G3904" s="156">
        <v>0.0</v>
      </c>
      <c r="H3904" s="156">
        <v>0.0</v>
      </c>
      <c r="I3904" s="156">
        <v>0.0</v>
      </c>
      <c r="J3904" s="156">
        <v>0.0</v>
      </c>
      <c r="K3904" s="154" t="s">
        <v>914</v>
      </c>
    </row>
    <row r="3905">
      <c r="A3905" s="154" t="s">
        <v>8609</v>
      </c>
      <c r="B3905" s="155"/>
      <c r="C3905" s="154" t="s">
        <v>8612</v>
      </c>
      <c r="D3905" s="155"/>
      <c r="E3905" s="155"/>
      <c r="F3905" s="154" t="s">
        <v>8613</v>
      </c>
      <c r="G3905" s="154" t="s">
        <v>8614</v>
      </c>
      <c r="H3905" s="154" t="s">
        <v>8615</v>
      </c>
      <c r="I3905" s="154" t="s">
        <v>8616</v>
      </c>
      <c r="J3905" s="156">
        <v>0.0</v>
      </c>
      <c r="K3905" s="154" t="s">
        <v>259</v>
      </c>
    </row>
    <row r="3906">
      <c r="A3906" s="154" t="s">
        <v>8617</v>
      </c>
      <c r="B3906" s="154" t="s">
        <v>8618</v>
      </c>
      <c r="D3906" s="154">
        <v>2.0</v>
      </c>
      <c r="E3906" s="154" t="s">
        <v>761</v>
      </c>
      <c r="F3906" s="154" t="s">
        <v>8547</v>
      </c>
      <c r="G3906" s="154">
        <v>9.71506666666E11</v>
      </c>
      <c r="H3906" s="156">
        <v>0.0</v>
      </c>
      <c r="I3906" s="154">
        <v>9.71508444444E11</v>
      </c>
      <c r="J3906" s="156">
        <v>0.0</v>
      </c>
      <c r="K3906" s="154" t="s">
        <v>207</v>
      </c>
    </row>
    <row r="3907">
      <c r="A3907" s="154" t="s">
        <v>8617</v>
      </c>
      <c r="B3907" s="155"/>
      <c r="C3907" s="154" t="s">
        <v>8618</v>
      </c>
      <c r="D3907" s="155"/>
      <c r="E3907" s="155"/>
      <c r="F3907" s="154" t="s">
        <v>8547</v>
      </c>
      <c r="G3907" s="154">
        <v>9.71506666666E11</v>
      </c>
      <c r="H3907" s="156">
        <v>0.0</v>
      </c>
      <c r="I3907" s="154">
        <v>9.71508444444E11</v>
      </c>
      <c r="J3907" s="156">
        <v>0.0</v>
      </c>
      <c r="K3907" s="154" t="s">
        <v>207</v>
      </c>
    </row>
    <row r="3908">
      <c r="A3908" s="154" t="s">
        <v>8619</v>
      </c>
      <c r="B3908" s="154" t="s">
        <v>8620</v>
      </c>
      <c r="D3908" s="154">
        <v>2.0</v>
      </c>
      <c r="E3908" s="154" t="s">
        <v>761</v>
      </c>
      <c r="F3908" s="154" t="s">
        <v>8547</v>
      </c>
      <c r="G3908" s="154">
        <v>9.71506666666E11</v>
      </c>
      <c r="H3908" s="156">
        <v>0.0</v>
      </c>
      <c r="I3908" s="154">
        <v>9.71508444444E11</v>
      </c>
      <c r="J3908" s="156">
        <v>0.0</v>
      </c>
      <c r="K3908" s="154" t="s">
        <v>207</v>
      </c>
    </row>
    <row r="3909">
      <c r="A3909" s="154" t="s">
        <v>8619</v>
      </c>
      <c r="B3909" s="155"/>
      <c r="C3909" s="154" t="s">
        <v>8620</v>
      </c>
      <c r="D3909" s="155"/>
      <c r="E3909" s="155"/>
      <c r="F3909" s="154" t="s">
        <v>8547</v>
      </c>
      <c r="G3909" s="154">
        <v>9.71506666666E11</v>
      </c>
      <c r="H3909" s="156">
        <v>0.0</v>
      </c>
      <c r="I3909" s="154">
        <v>9.71508444444E11</v>
      </c>
      <c r="J3909" s="156">
        <v>0.0</v>
      </c>
      <c r="K3909" s="154" t="s">
        <v>207</v>
      </c>
    </row>
    <row r="3910">
      <c r="A3910" s="154" t="s">
        <v>8621</v>
      </c>
      <c r="B3910" s="154" t="s">
        <v>8622</v>
      </c>
      <c r="D3910" s="154">
        <v>2.0</v>
      </c>
      <c r="E3910" s="154" t="s">
        <v>761</v>
      </c>
      <c r="F3910" s="154" t="s">
        <v>8547</v>
      </c>
      <c r="G3910" s="154">
        <v>9.71506666666E11</v>
      </c>
      <c r="H3910" s="156">
        <v>0.0</v>
      </c>
      <c r="I3910" s="154">
        <v>9.71508444444E11</v>
      </c>
      <c r="J3910" s="156">
        <v>0.0</v>
      </c>
      <c r="K3910" s="154" t="s">
        <v>207</v>
      </c>
    </row>
    <row r="3911">
      <c r="A3911" s="154" t="s">
        <v>8621</v>
      </c>
      <c r="B3911" s="155"/>
      <c r="C3911" s="154" t="s">
        <v>8622</v>
      </c>
      <c r="D3911" s="155"/>
      <c r="E3911" s="155"/>
      <c r="F3911" s="154" t="s">
        <v>8547</v>
      </c>
      <c r="G3911" s="154">
        <v>9.71506666666E11</v>
      </c>
      <c r="H3911" s="156">
        <v>0.0</v>
      </c>
      <c r="I3911" s="154">
        <v>9.71508444444E11</v>
      </c>
      <c r="J3911" s="156">
        <v>0.0</v>
      </c>
      <c r="K3911" s="154" t="s">
        <v>207</v>
      </c>
    </row>
    <row r="3912">
      <c r="A3912" s="154" t="s">
        <v>8623</v>
      </c>
      <c r="B3912" s="155"/>
      <c r="C3912" s="154" t="s">
        <v>8624</v>
      </c>
      <c r="D3912" s="155"/>
      <c r="E3912" s="155"/>
      <c r="F3912" s="154" t="s">
        <v>8547</v>
      </c>
      <c r="G3912" s="154">
        <v>9.71506666666E11</v>
      </c>
      <c r="H3912" s="156">
        <v>0.0</v>
      </c>
      <c r="I3912" s="154">
        <v>9.71508444444E11</v>
      </c>
      <c r="J3912" s="156">
        <v>0.0</v>
      </c>
      <c r="K3912" s="154" t="s">
        <v>207</v>
      </c>
    </row>
    <row r="3913">
      <c r="A3913" s="154" t="s">
        <v>8623</v>
      </c>
      <c r="B3913" s="154" t="s">
        <v>8624</v>
      </c>
      <c r="D3913" s="154">
        <v>2.0</v>
      </c>
      <c r="E3913" s="154" t="s">
        <v>761</v>
      </c>
      <c r="F3913" s="154" t="s">
        <v>8547</v>
      </c>
      <c r="G3913" s="154">
        <v>9.71506666666E11</v>
      </c>
      <c r="H3913" s="156">
        <v>0.0</v>
      </c>
      <c r="I3913" s="154">
        <v>9.71508444444E11</v>
      </c>
      <c r="J3913" s="156">
        <v>0.0</v>
      </c>
      <c r="K3913" s="154" t="s">
        <v>207</v>
      </c>
    </row>
    <row r="3914">
      <c r="A3914" s="154" t="s">
        <v>8625</v>
      </c>
      <c r="B3914" s="155"/>
      <c r="C3914" s="154" t="s">
        <v>8626</v>
      </c>
      <c r="D3914" s="155"/>
      <c r="E3914" s="155"/>
      <c r="F3914" s="154" t="s">
        <v>8547</v>
      </c>
      <c r="G3914" s="154">
        <v>9.71506666666E11</v>
      </c>
      <c r="H3914" s="156">
        <v>0.0</v>
      </c>
      <c r="I3914" s="154">
        <v>9.71508444444E11</v>
      </c>
      <c r="J3914" s="156">
        <v>0.0</v>
      </c>
      <c r="K3914" s="154" t="s">
        <v>207</v>
      </c>
    </row>
    <row r="3915">
      <c r="A3915" s="154" t="s">
        <v>8625</v>
      </c>
      <c r="B3915" s="154" t="s">
        <v>8626</v>
      </c>
      <c r="D3915" s="154">
        <v>2.0</v>
      </c>
      <c r="E3915" s="154" t="s">
        <v>761</v>
      </c>
      <c r="F3915" s="154" t="s">
        <v>8547</v>
      </c>
      <c r="G3915" s="154">
        <v>9.71506666666E11</v>
      </c>
      <c r="H3915" s="156">
        <v>0.0</v>
      </c>
      <c r="I3915" s="154">
        <v>9.71508444444E11</v>
      </c>
      <c r="J3915" s="156">
        <v>0.0</v>
      </c>
      <c r="K3915" s="154" t="s">
        <v>207</v>
      </c>
    </row>
    <row r="3916">
      <c r="A3916" s="154" t="s">
        <v>8627</v>
      </c>
      <c r="B3916" s="155"/>
      <c r="C3916" s="154" t="s">
        <v>8628</v>
      </c>
      <c r="D3916" s="155"/>
      <c r="E3916" s="155"/>
      <c r="F3916" s="154" t="s">
        <v>8547</v>
      </c>
      <c r="G3916" s="154">
        <v>9.71506666666E11</v>
      </c>
      <c r="H3916" s="156">
        <v>0.0</v>
      </c>
      <c r="I3916" s="154">
        <v>9.71508444444E11</v>
      </c>
      <c r="J3916" s="156">
        <v>0.0</v>
      </c>
      <c r="K3916" s="154" t="s">
        <v>207</v>
      </c>
    </row>
    <row r="3917">
      <c r="A3917" s="154" t="s">
        <v>8627</v>
      </c>
      <c r="B3917" s="154" t="s">
        <v>8628</v>
      </c>
      <c r="D3917" s="154">
        <v>2.0</v>
      </c>
      <c r="E3917" s="154" t="s">
        <v>761</v>
      </c>
      <c r="F3917" s="154" t="s">
        <v>8547</v>
      </c>
      <c r="G3917" s="154">
        <v>9.71506666666E11</v>
      </c>
      <c r="H3917" s="156">
        <v>0.0</v>
      </c>
      <c r="I3917" s="154">
        <v>9.71508444444E11</v>
      </c>
      <c r="J3917" s="156">
        <v>0.0</v>
      </c>
      <c r="K3917" s="154" t="s">
        <v>207</v>
      </c>
    </row>
    <row r="3918">
      <c r="A3918" s="154" t="s">
        <v>8629</v>
      </c>
      <c r="B3918" s="155"/>
      <c r="C3918" s="154" t="s">
        <v>8630</v>
      </c>
      <c r="D3918" s="155"/>
      <c r="E3918" s="155"/>
      <c r="F3918" s="154" t="s">
        <v>8547</v>
      </c>
      <c r="G3918" s="154">
        <v>9.71506666666E11</v>
      </c>
      <c r="H3918" s="156">
        <v>0.0</v>
      </c>
      <c r="I3918" s="154">
        <v>9.71508444444E11</v>
      </c>
      <c r="J3918" s="156">
        <v>0.0</v>
      </c>
      <c r="K3918" s="154" t="s">
        <v>207</v>
      </c>
    </row>
    <row r="3919">
      <c r="A3919" s="154" t="s">
        <v>8629</v>
      </c>
      <c r="B3919" s="154" t="s">
        <v>8630</v>
      </c>
      <c r="D3919" s="154">
        <v>2.0</v>
      </c>
      <c r="E3919" s="154" t="s">
        <v>761</v>
      </c>
      <c r="F3919" s="154" t="s">
        <v>8547</v>
      </c>
      <c r="G3919" s="154">
        <v>9.71506666666E11</v>
      </c>
      <c r="H3919" s="156">
        <v>0.0</v>
      </c>
      <c r="I3919" s="154">
        <v>9.71508444444E11</v>
      </c>
      <c r="J3919" s="156">
        <v>0.0</v>
      </c>
      <c r="K3919" s="154" t="s">
        <v>207</v>
      </c>
    </row>
    <row r="3920">
      <c r="A3920" s="154" t="s">
        <v>8631</v>
      </c>
      <c r="B3920" s="154" t="s">
        <v>8632</v>
      </c>
      <c r="D3920" s="154">
        <v>2.0</v>
      </c>
      <c r="E3920" s="154" t="s">
        <v>761</v>
      </c>
      <c r="F3920" s="154" t="s">
        <v>8547</v>
      </c>
      <c r="G3920" s="154">
        <v>9.71506666666E11</v>
      </c>
      <c r="H3920" s="156">
        <v>0.0</v>
      </c>
      <c r="I3920" s="154">
        <v>9.71508444444E11</v>
      </c>
      <c r="J3920" s="156">
        <v>0.0</v>
      </c>
      <c r="K3920" s="154" t="s">
        <v>207</v>
      </c>
    </row>
    <row r="3921">
      <c r="A3921" s="154" t="s">
        <v>8631</v>
      </c>
      <c r="B3921" s="155"/>
      <c r="C3921" s="154" t="s">
        <v>8632</v>
      </c>
      <c r="D3921" s="155"/>
      <c r="E3921" s="155"/>
      <c r="F3921" s="154" t="s">
        <v>8547</v>
      </c>
      <c r="G3921" s="154">
        <v>9.71506666666E11</v>
      </c>
      <c r="H3921" s="156">
        <v>0.0</v>
      </c>
      <c r="I3921" s="154">
        <v>9.71508444444E11</v>
      </c>
      <c r="J3921" s="156">
        <v>0.0</v>
      </c>
      <c r="K3921" s="154" t="s">
        <v>207</v>
      </c>
    </row>
    <row r="3922">
      <c r="A3922" s="154" t="s">
        <v>8633</v>
      </c>
      <c r="B3922" s="154" t="s">
        <v>8634</v>
      </c>
      <c r="D3922" s="154">
        <v>2.0</v>
      </c>
      <c r="E3922" s="154" t="s">
        <v>761</v>
      </c>
      <c r="F3922" s="154" t="s">
        <v>8547</v>
      </c>
      <c r="G3922" s="154">
        <v>9.71506666666E11</v>
      </c>
      <c r="H3922" s="156">
        <v>0.0</v>
      </c>
      <c r="I3922" s="154">
        <v>9.71508444444E11</v>
      </c>
      <c r="J3922" s="156">
        <v>0.0</v>
      </c>
      <c r="K3922" s="154" t="s">
        <v>207</v>
      </c>
    </row>
    <row r="3923">
      <c r="A3923" s="154" t="s">
        <v>8633</v>
      </c>
      <c r="B3923" s="155"/>
      <c r="C3923" s="154" t="s">
        <v>8634</v>
      </c>
      <c r="D3923" s="155"/>
      <c r="E3923" s="155"/>
      <c r="F3923" s="154" t="s">
        <v>8547</v>
      </c>
      <c r="G3923" s="154">
        <v>9.71506666666E11</v>
      </c>
      <c r="H3923" s="156">
        <v>0.0</v>
      </c>
      <c r="I3923" s="154">
        <v>9.71508444444E11</v>
      </c>
      <c r="J3923" s="156">
        <v>0.0</v>
      </c>
      <c r="K3923" s="154" t="s">
        <v>207</v>
      </c>
    </row>
    <row r="3924">
      <c r="A3924" s="154" t="s">
        <v>8635</v>
      </c>
      <c r="B3924" s="155"/>
      <c r="C3924" s="154" t="s">
        <v>8636</v>
      </c>
      <c r="D3924" s="155"/>
      <c r="E3924" s="155"/>
      <c r="F3924" s="154" t="s">
        <v>8547</v>
      </c>
      <c r="G3924" s="154">
        <v>9.71506666666E11</v>
      </c>
      <c r="H3924" s="156">
        <v>0.0</v>
      </c>
      <c r="I3924" s="154">
        <v>9.71508444444E11</v>
      </c>
      <c r="J3924" s="156">
        <v>0.0</v>
      </c>
      <c r="K3924" s="154" t="s">
        <v>207</v>
      </c>
    </row>
    <row r="3925">
      <c r="A3925" s="154" t="s">
        <v>8635</v>
      </c>
      <c r="B3925" s="154" t="s">
        <v>8636</v>
      </c>
      <c r="D3925" s="154">
        <v>2.0</v>
      </c>
      <c r="E3925" s="154" t="s">
        <v>761</v>
      </c>
      <c r="F3925" s="154" t="s">
        <v>8547</v>
      </c>
      <c r="G3925" s="154">
        <v>9.71506666666E11</v>
      </c>
      <c r="H3925" s="156">
        <v>0.0</v>
      </c>
      <c r="I3925" s="154">
        <v>9.71508444444E11</v>
      </c>
      <c r="J3925" s="156">
        <v>0.0</v>
      </c>
      <c r="K3925" s="154" t="s">
        <v>207</v>
      </c>
    </row>
    <row r="3926">
      <c r="A3926" s="154" t="s">
        <v>8637</v>
      </c>
      <c r="B3926" s="154" t="s">
        <v>8638</v>
      </c>
      <c r="D3926" s="154">
        <v>2.0</v>
      </c>
      <c r="E3926" s="154" t="s">
        <v>761</v>
      </c>
      <c r="F3926" s="154" t="s">
        <v>8547</v>
      </c>
      <c r="G3926" s="154">
        <v>9.71506666666E11</v>
      </c>
      <c r="H3926" s="156">
        <v>0.0</v>
      </c>
      <c r="I3926" s="154">
        <v>9.71508444444E11</v>
      </c>
      <c r="J3926" s="156">
        <v>0.0</v>
      </c>
      <c r="K3926" s="154" t="s">
        <v>207</v>
      </c>
    </row>
    <row r="3927">
      <c r="A3927" s="154" t="s">
        <v>8637</v>
      </c>
      <c r="B3927" s="155"/>
      <c r="C3927" s="154" t="s">
        <v>8638</v>
      </c>
      <c r="D3927" s="155"/>
      <c r="E3927" s="155"/>
      <c r="F3927" s="154" t="s">
        <v>8547</v>
      </c>
      <c r="G3927" s="154">
        <v>9.71506666666E11</v>
      </c>
      <c r="H3927" s="156">
        <v>0.0</v>
      </c>
      <c r="I3927" s="154">
        <v>9.71508444444E11</v>
      </c>
      <c r="J3927" s="156">
        <v>0.0</v>
      </c>
      <c r="K3927" s="154" t="s">
        <v>207</v>
      </c>
    </row>
    <row r="3928">
      <c r="A3928" s="154" t="s">
        <v>8639</v>
      </c>
      <c r="B3928" s="154" t="s">
        <v>8640</v>
      </c>
      <c r="D3928" s="154">
        <v>2.0</v>
      </c>
      <c r="E3928" s="154" t="s">
        <v>761</v>
      </c>
      <c r="F3928" s="154" t="s">
        <v>8547</v>
      </c>
      <c r="G3928" s="154">
        <v>9.71506666666E11</v>
      </c>
      <c r="H3928" s="156">
        <v>0.0</v>
      </c>
      <c r="I3928" s="154">
        <v>9.71508444444E11</v>
      </c>
      <c r="J3928" s="156">
        <v>0.0</v>
      </c>
      <c r="K3928" s="154" t="s">
        <v>207</v>
      </c>
    </row>
    <row r="3929">
      <c r="A3929" s="154" t="s">
        <v>8639</v>
      </c>
      <c r="B3929" s="155"/>
      <c r="C3929" s="154" t="s">
        <v>8640</v>
      </c>
      <c r="D3929" s="155"/>
      <c r="E3929" s="155"/>
      <c r="F3929" s="154" t="s">
        <v>8547</v>
      </c>
      <c r="G3929" s="154">
        <v>9.71506666666E11</v>
      </c>
      <c r="H3929" s="156">
        <v>0.0</v>
      </c>
      <c r="I3929" s="154">
        <v>9.71508444444E11</v>
      </c>
      <c r="J3929" s="156">
        <v>0.0</v>
      </c>
      <c r="K3929" s="154" t="s">
        <v>207</v>
      </c>
    </row>
    <row r="3930">
      <c r="A3930" s="154" t="s">
        <v>8641</v>
      </c>
      <c r="B3930" s="155"/>
      <c r="C3930" s="154" t="s">
        <v>8642</v>
      </c>
      <c r="D3930" s="155"/>
      <c r="E3930" s="155"/>
      <c r="F3930" s="154" t="s">
        <v>8643</v>
      </c>
      <c r="G3930" s="156">
        <v>0.0</v>
      </c>
      <c r="H3930" s="156">
        <v>0.0</v>
      </c>
      <c r="I3930" s="154" t="s">
        <v>8644</v>
      </c>
      <c r="J3930" s="154" t="s">
        <v>8645</v>
      </c>
      <c r="K3930" s="154" t="s">
        <v>207</v>
      </c>
    </row>
    <row r="3931">
      <c r="A3931" s="154" t="s">
        <v>8641</v>
      </c>
      <c r="B3931" s="154" t="s">
        <v>8642</v>
      </c>
      <c r="D3931" s="154">
        <v>2.0</v>
      </c>
      <c r="E3931" s="154" t="s">
        <v>761</v>
      </c>
      <c r="F3931" s="154" t="s">
        <v>8643</v>
      </c>
      <c r="G3931" s="156">
        <v>0.0</v>
      </c>
      <c r="H3931" s="156">
        <v>0.0</v>
      </c>
      <c r="I3931" s="154" t="s">
        <v>8644</v>
      </c>
      <c r="J3931" s="154" t="s">
        <v>8645</v>
      </c>
      <c r="K3931" s="154" t="s">
        <v>207</v>
      </c>
    </row>
    <row r="3932">
      <c r="A3932" s="154" t="s">
        <v>8646</v>
      </c>
      <c r="B3932" s="154" t="s">
        <v>8647</v>
      </c>
      <c r="D3932" s="154">
        <v>2.0</v>
      </c>
      <c r="E3932" s="154" t="s">
        <v>897</v>
      </c>
      <c r="F3932" s="154" t="s">
        <v>1619</v>
      </c>
      <c r="G3932" s="154">
        <v>4.3903333E7</v>
      </c>
      <c r="H3932" s="154" t="s">
        <v>1620</v>
      </c>
      <c r="I3932" s="156">
        <v>0.0</v>
      </c>
      <c r="J3932" s="156">
        <v>0.0</v>
      </c>
      <c r="K3932" s="156">
        <v>0.0</v>
      </c>
    </row>
    <row r="3933">
      <c r="A3933" s="154" t="s">
        <v>8646</v>
      </c>
      <c r="B3933" s="155"/>
      <c r="C3933" s="154" t="s">
        <v>8648</v>
      </c>
      <c r="D3933" s="155"/>
      <c r="E3933" s="155"/>
      <c r="F3933" s="154" t="s">
        <v>8649</v>
      </c>
      <c r="G3933" s="154">
        <v>5.08744466E8</v>
      </c>
      <c r="H3933" s="156">
        <v>0.0</v>
      </c>
      <c r="I3933" s="154">
        <v>5.08744466E8</v>
      </c>
      <c r="J3933" s="156">
        <v>0.0</v>
      </c>
      <c r="K3933" s="154" t="s">
        <v>240</v>
      </c>
    </row>
    <row r="3934">
      <c r="A3934" s="154" t="s">
        <v>8650</v>
      </c>
      <c r="B3934" s="155"/>
      <c r="C3934" s="154" t="s">
        <v>8651</v>
      </c>
      <c r="D3934" s="155"/>
      <c r="E3934" s="155"/>
      <c r="F3934" s="154" t="s">
        <v>8652</v>
      </c>
      <c r="G3934" s="156">
        <v>0.0</v>
      </c>
      <c r="H3934" s="156">
        <v>0.0</v>
      </c>
      <c r="I3934" s="154">
        <v>5.03540574E8</v>
      </c>
      <c r="J3934" s="156">
        <v>0.0</v>
      </c>
      <c r="K3934" s="154" t="s">
        <v>939</v>
      </c>
    </row>
    <row r="3935">
      <c r="A3935" s="154" t="s">
        <v>8650</v>
      </c>
      <c r="B3935" s="154" t="s">
        <v>8651</v>
      </c>
      <c r="D3935" s="154">
        <v>2.0</v>
      </c>
      <c r="E3935" s="154" t="s">
        <v>761</v>
      </c>
      <c r="F3935" s="154" t="s">
        <v>8652</v>
      </c>
      <c r="G3935" s="156">
        <v>0.0</v>
      </c>
      <c r="H3935" s="156">
        <v>0.0</v>
      </c>
      <c r="I3935" s="154">
        <v>5.03540574E8</v>
      </c>
      <c r="J3935" s="156">
        <v>0.0</v>
      </c>
      <c r="K3935" s="154" t="s">
        <v>939</v>
      </c>
    </row>
    <row r="3936">
      <c r="A3936" s="154" t="s">
        <v>8653</v>
      </c>
      <c r="B3936" s="155"/>
      <c r="C3936" s="154" t="s">
        <v>8654</v>
      </c>
      <c r="D3936" s="155"/>
      <c r="E3936" s="155"/>
      <c r="F3936" s="154" t="s">
        <v>8655</v>
      </c>
      <c r="G3936" s="154">
        <v>971.0</v>
      </c>
      <c r="H3936" s="156">
        <v>0.0</v>
      </c>
      <c r="I3936" s="154" t="s">
        <v>8656</v>
      </c>
      <c r="J3936" s="154" t="s">
        <v>8657</v>
      </c>
      <c r="K3936" s="154" t="s">
        <v>760</v>
      </c>
    </row>
    <row r="3937">
      <c r="A3937" s="154" t="s">
        <v>8653</v>
      </c>
      <c r="B3937" s="154" t="s">
        <v>8654</v>
      </c>
      <c r="D3937" s="154">
        <v>2.0</v>
      </c>
      <c r="E3937" s="154" t="s">
        <v>761</v>
      </c>
      <c r="F3937" s="154" t="s">
        <v>8658</v>
      </c>
      <c r="G3937" s="154">
        <v>9.7144885E9</v>
      </c>
      <c r="H3937" s="154" t="s">
        <v>8659</v>
      </c>
      <c r="I3937" s="154">
        <v>5.0395885E8</v>
      </c>
      <c r="J3937" s="154" t="s">
        <v>8660</v>
      </c>
      <c r="K3937" s="154" t="s">
        <v>760</v>
      </c>
    </row>
    <row r="3938">
      <c r="A3938" s="154" t="s">
        <v>8661</v>
      </c>
      <c r="B3938" s="155"/>
      <c r="C3938" s="154" t="s">
        <v>8662</v>
      </c>
      <c r="D3938" s="155"/>
      <c r="E3938" s="155"/>
      <c r="F3938" s="154" t="s">
        <v>8663</v>
      </c>
      <c r="G3938" s="154">
        <v>4.8114E7</v>
      </c>
      <c r="H3938" s="156">
        <v>0.0</v>
      </c>
      <c r="I3938" s="154">
        <v>5.29943932E8</v>
      </c>
      <c r="J3938" s="156">
        <v>0.0</v>
      </c>
      <c r="K3938" s="154" t="s">
        <v>3055</v>
      </c>
    </row>
    <row r="3939">
      <c r="A3939" s="154" t="s">
        <v>8661</v>
      </c>
      <c r="B3939" s="154" t="s">
        <v>8662</v>
      </c>
      <c r="D3939" s="154">
        <v>2.0</v>
      </c>
      <c r="E3939" s="154" t="s">
        <v>761</v>
      </c>
      <c r="F3939" s="154" t="s">
        <v>8663</v>
      </c>
      <c r="G3939" s="154">
        <v>4.8114E7</v>
      </c>
      <c r="H3939" s="156">
        <v>0.0</v>
      </c>
      <c r="I3939" s="154">
        <v>5.29943932E8</v>
      </c>
      <c r="J3939" s="156">
        <v>0.0</v>
      </c>
      <c r="K3939" s="154" t="s">
        <v>3055</v>
      </c>
    </row>
    <row r="3940">
      <c r="A3940" s="154" t="s">
        <v>8664</v>
      </c>
      <c r="B3940" s="154" t="s">
        <v>8665</v>
      </c>
      <c r="D3940" s="154">
        <v>2.0</v>
      </c>
      <c r="E3940" s="154" t="s">
        <v>761</v>
      </c>
      <c r="F3940" s="154" t="s">
        <v>8666</v>
      </c>
      <c r="G3940" s="156">
        <v>0.0</v>
      </c>
      <c r="H3940" s="154" t="s">
        <v>1193</v>
      </c>
      <c r="I3940" s="154" t="s">
        <v>1194</v>
      </c>
      <c r="J3940" s="154" t="s">
        <v>1195</v>
      </c>
      <c r="K3940" s="154" t="s">
        <v>361</v>
      </c>
    </row>
    <row r="3941">
      <c r="A3941" s="154" t="s">
        <v>8664</v>
      </c>
      <c r="B3941" s="155"/>
      <c r="C3941" s="154" t="s">
        <v>8665</v>
      </c>
      <c r="D3941" s="155"/>
      <c r="E3941" s="155"/>
      <c r="F3941" s="154" t="s">
        <v>8667</v>
      </c>
      <c r="G3941" s="156">
        <v>0.0</v>
      </c>
      <c r="H3941" s="154" t="s">
        <v>1193</v>
      </c>
      <c r="I3941" s="154" t="s">
        <v>1194</v>
      </c>
      <c r="J3941" s="154" t="s">
        <v>1195</v>
      </c>
      <c r="K3941" s="154" t="s">
        <v>361</v>
      </c>
    </row>
    <row r="3942">
      <c r="A3942" s="154" t="s">
        <v>8668</v>
      </c>
      <c r="B3942" s="154" t="s">
        <v>8669</v>
      </c>
      <c r="D3942" s="154">
        <v>2.0</v>
      </c>
      <c r="E3942" s="154" t="s">
        <v>761</v>
      </c>
      <c r="F3942" s="154" t="s">
        <v>8670</v>
      </c>
      <c r="G3942" s="154">
        <v>971.0</v>
      </c>
      <c r="H3942" s="154" t="s">
        <v>8671</v>
      </c>
      <c r="I3942" s="154" t="s">
        <v>8672</v>
      </c>
      <c r="J3942" s="154" t="s">
        <v>809</v>
      </c>
      <c r="K3942" s="154" t="s">
        <v>207</v>
      </c>
    </row>
    <row r="3943">
      <c r="A3943" s="154" t="s">
        <v>8668</v>
      </c>
      <c r="B3943" s="155"/>
      <c r="C3943" s="154" t="s">
        <v>8669</v>
      </c>
      <c r="D3943" s="155"/>
      <c r="E3943" s="155"/>
      <c r="F3943" s="154" t="s">
        <v>8670</v>
      </c>
      <c r="G3943" s="154">
        <v>971.0</v>
      </c>
      <c r="H3943" s="154" t="s">
        <v>8671</v>
      </c>
      <c r="I3943" s="154" t="s">
        <v>8672</v>
      </c>
      <c r="J3943" s="154" t="s">
        <v>809</v>
      </c>
      <c r="K3943" s="154" t="s">
        <v>207</v>
      </c>
    </row>
    <row r="3944">
      <c r="A3944" s="154" t="s">
        <v>8673</v>
      </c>
      <c r="B3944" s="155"/>
      <c r="C3944" s="154" t="s">
        <v>8674</v>
      </c>
      <c r="D3944" s="155"/>
      <c r="E3944" s="155"/>
      <c r="F3944" s="154" t="s">
        <v>8675</v>
      </c>
      <c r="G3944" s="154">
        <v>4.4370201E7</v>
      </c>
      <c r="H3944" s="156">
        <v>0.0</v>
      </c>
      <c r="I3944" s="156">
        <v>0.0</v>
      </c>
      <c r="J3944" s="156">
        <v>0.0</v>
      </c>
      <c r="K3944" s="156">
        <v>0.0</v>
      </c>
    </row>
    <row r="3945">
      <c r="A3945" s="154" t="s">
        <v>8673</v>
      </c>
      <c r="B3945" s="154" t="s">
        <v>8674</v>
      </c>
      <c r="D3945" s="154">
        <v>2.0</v>
      </c>
      <c r="E3945" s="154" t="s">
        <v>761</v>
      </c>
      <c r="F3945" s="154" t="s">
        <v>8675</v>
      </c>
      <c r="G3945" s="154">
        <v>4.4370201E7</v>
      </c>
      <c r="H3945" s="156">
        <v>0.0</v>
      </c>
      <c r="I3945" s="156">
        <v>0.0</v>
      </c>
      <c r="J3945" s="156">
        <v>0.0</v>
      </c>
      <c r="K3945" s="156">
        <v>0.0</v>
      </c>
    </row>
    <row r="3946">
      <c r="A3946" s="154" t="s">
        <v>8676</v>
      </c>
      <c r="B3946" s="154" t="s">
        <v>8677</v>
      </c>
      <c r="D3946" s="154">
        <v>2.0</v>
      </c>
      <c r="E3946" s="154" t="s">
        <v>761</v>
      </c>
      <c r="F3946" s="154" t="s">
        <v>792</v>
      </c>
      <c r="G3946" s="154" t="s">
        <v>793</v>
      </c>
      <c r="H3946" s="154" t="s">
        <v>794</v>
      </c>
      <c r="I3946" s="156">
        <v>0.0</v>
      </c>
      <c r="J3946" s="156">
        <v>0.0</v>
      </c>
      <c r="K3946" s="156">
        <v>0.0</v>
      </c>
    </row>
    <row r="3947">
      <c r="A3947" s="154" t="s">
        <v>8676</v>
      </c>
      <c r="B3947" s="155"/>
      <c r="C3947" s="154" t="s">
        <v>8677</v>
      </c>
      <c r="D3947" s="155"/>
      <c r="E3947" s="155"/>
      <c r="F3947" s="154" t="s">
        <v>8678</v>
      </c>
      <c r="G3947" s="154">
        <v>0.0</v>
      </c>
      <c r="H3947" s="156">
        <v>0.0</v>
      </c>
      <c r="I3947" s="154">
        <v>5.06733658E8</v>
      </c>
      <c r="J3947" s="156">
        <v>0.0</v>
      </c>
      <c r="K3947" s="154" t="s">
        <v>760</v>
      </c>
    </row>
    <row r="3948">
      <c r="A3948" s="154" t="s">
        <v>8679</v>
      </c>
      <c r="B3948" s="155"/>
      <c r="C3948" s="154" t="s">
        <v>8680</v>
      </c>
      <c r="D3948" s="155"/>
      <c r="E3948" s="155"/>
      <c r="F3948" s="154" t="s">
        <v>8681</v>
      </c>
      <c r="G3948" s="154">
        <v>5.551488E7</v>
      </c>
      <c r="H3948" s="156">
        <v>0.0</v>
      </c>
      <c r="I3948" s="154">
        <v>5.551488E7</v>
      </c>
      <c r="J3948" s="156">
        <v>0.0</v>
      </c>
      <c r="K3948" s="154" t="s">
        <v>361</v>
      </c>
    </row>
    <row r="3949">
      <c r="A3949" s="154" t="s">
        <v>8679</v>
      </c>
      <c r="B3949" s="154" t="s">
        <v>8680</v>
      </c>
      <c r="D3949" s="154">
        <v>2.0</v>
      </c>
      <c r="E3949" s="154" t="s">
        <v>761</v>
      </c>
      <c r="F3949" s="154" t="s">
        <v>8681</v>
      </c>
      <c r="G3949" s="154">
        <v>5.551488E7</v>
      </c>
      <c r="H3949" s="156">
        <v>0.0</v>
      </c>
      <c r="I3949" s="154">
        <v>5.551488E7</v>
      </c>
      <c r="J3949" s="156">
        <v>0.0</v>
      </c>
      <c r="K3949" s="154" t="s">
        <v>361</v>
      </c>
    </row>
    <row r="3950">
      <c r="A3950" s="154" t="s">
        <v>8682</v>
      </c>
      <c r="B3950" s="155"/>
      <c r="C3950" s="154" t="s">
        <v>8683</v>
      </c>
      <c r="D3950" s="155"/>
      <c r="E3950" s="155"/>
      <c r="F3950" s="154" t="s">
        <v>8684</v>
      </c>
      <c r="G3950" s="154">
        <v>4.2131716E7</v>
      </c>
      <c r="H3950" s="156">
        <v>0.0</v>
      </c>
      <c r="I3950" s="154">
        <v>9.71502452436E11</v>
      </c>
      <c r="J3950" s="156">
        <v>0.0</v>
      </c>
      <c r="K3950" s="154" t="s">
        <v>206</v>
      </c>
    </row>
    <row r="3951">
      <c r="A3951" s="154" t="s">
        <v>8682</v>
      </c>
      <c r="B3951" s="154" t="s">
        <v>8683</v>
      </c>
      <c r="D3951" s="154">
        <v>2.0</v>
      </c>
      <c r="E3951" s="154" t="s">
        <v>761</v>
      </c>
      <c r="F3951" s="154" t="s">
        <v>8684</v>
      </c>
      <c r="G3951" s="154">
        <v>4.2131716E7</v>
      </c>
      <c r="H3951" s="156">
        <v>0.0</v>
      </c>
      <c r="I3951" s="154">
        <v>9.71502452436E11</v>
      </c>
      <c r="J3951" s="156">
        <v>0.0</v>
      </c>
      <c r="K3951" s="154" t="s">
        <v>206</v>
      </c>
    </row>
    <row r="3952">
      <c r="A3952" s="154" t="s">
        <v>8685</v>
      </c>
      <c r="B3952" s="154" t="s">
        <v>8686</v>
      </c>
      <c r="D3952" s="154">
        <v>2.0</v>
      </c>
      <c r="E3952" s="154" t="s">
        <v>761</v>
      </c>
      <c r="F3952" s="154" t="s">
        <v>8687</v>
      </c>
      <c r="G3952" s="156">
        <v>0.0</v>
      </c>
      <c r="H3952" s="156">
        <v>0.0</v>
      </c>
      <c r="I3952" s="154" t="s">
        <v>8688</v>
      </c>
      <c r="J3952" s="156">
        <v>0.0</v>
      </c>
      <c r="K3952" s="154" t="s">
        <v>939</v>
      </c>
    </row>
    <row r="3953">
      <c r="A3953" s="154" t="s">
        <v>8685</v>
      </c>
      <c r="B3953" s="155"/>
      <c r="C3953" s="154" t="s">
        <v>8686</v>
      </c>
      <c r="D3953" s="155"/>
      <c r="E3953" s="155"/>
      <c r="F3953" s="154" t="s">
        <v>8687</v>
      </c>
      <c r="G3953" s="156">
        <v>0.0</v>
      </c>
      <c r="H3953" s="156">
        <v>0.0</v>
      </c>
      <c r="I3953" s="154" t="s">
        <v>8688</v>
      </c>
      <c r="J3953" s="156">
        <v>0.0</v>
      </c>
      <c r="K3953" s="154" t="s">
        <v>939</v>
      </c>
    </row>
    <row r="3954">
      <c r="A3954" s="154" t="s">
        <v>8689</v>
      </c>
      <c r="B3954" s="155"/>
      <c r="C3954" s="154" t="s">
        <v>8690</v>
      </c>
      <c r="D3954" s="155"/>
      <c r="E3954" s="155"/>
      <c r="F3954" s="154" t="s">
        <v>8691</v>
      </c>
      <c r="G3954" s="156">
        <v>0.0</v>
      </c>
      <c r="H3954" s="154" t="s">
        <v>8692</v>
      </c>
      <c r="I3954" s="154" t="s">
        <v>8693</v>
      </c>
      <c r="J3954" s="156">
        <v>0.0</v>
      </c>
      <c r="K3954" s="154" t="s">
        <v>776</v>
      </c>
    </row>
    <row r="3955">
      <c r="A3955" s="154" t="s">
        <v>8689</v>
      </c>
      <c r="B3955" s="154" t="s">
        <v>8690</v>
      </c>
      <c r="D3955" s="154">
        <v>2.0</v>
      </c>
      <c r="E3955" s="154" t="s">
        <v>761</v>
      </c>
      <c r="F3955" s="154" t="s">
        <v>8691</v>
      </c>
      <c r="G3955" s="156">
        <v>0.0</v>
      </c>
      <c r="H3955" s="154" t="s">
        <v>8692</v>
      </c>
      <c r="I3955" s="154" t="s">
        <v>8693</v>
      </c>
      <c r="J3955" s="156">
        <v>0.0</v>
      </c>
      <c r="K3955" s="154" t="s">
        <v>776</v>
      </c>
    </row>
    <row r="3956">
      <c r="A3956" s="154" t="s">
        <v>8694</v>
      </c>
      <c r="B3956" s="154" t="s">
        <v>8695</v>
      </c>
      <c r="D3956" s="154">
        <v>2.0</v>
      </c>
      <c r="E3956" s="154" t="s">
        <v>761</v>
      </c>
      <c r="F3956" s="154" t="s">
        <v>8696</v>
      </c>
      <c r="G3956" s="154">
        <v>1.0</v>
      </c>
      <c r="H3956" s="156">
        <v>0.0</v>
      </c>
      <c r="I3956" s="156">
        <v>0.0</v>
      </c>
      <c r="J3956" s="156">
        <v>0.0</v>
      </c>
      <c r="K3956" s="154" t="s">
        <v>361</v>
      </c>
    </row>
    <row r="3957">
      <c r="A3957" s="154" t="s">
        <v>8694</v>
      </c>
      <c r="B3957" s="155"/>
      <c r="C3957" s="154" t="s">
        <v>8695</v>
      </c>
      <c r="D3957" s="155"/>
      <c r="E3957" s="155"/>
      <c r="F3957" s="154" t="s">
        <v>8696</v>
      </c>
      <c r="G3957" s="154">
        <v>1.0</v>
      </c>
      <c r="H3957" s="156">
        <v>0.0</v>
      </c>
      <c r="I3957" s="156">
        <v>0.0</v>
      </c>
      <c r="J3957" s="156">
        <v>0.0</v>
      </c>
      <c r="K3957" s="154" t="s">
        <v>361</v>
      </c>
    </row>
    <row r="3958">
      <c r="A3958" s="154" t="s">
        <v>8697</v>
      </c>
      <c r="B3958" s="154" t="s">
        <v>8698</v>
      </c>
      <c r="D3958" s="154">
        <v>2.0</v>
      </c>
      <c r="E3958" s="154" t="s">
        <v>761</v>
      </c>
      <c r="F3958" s="154" t="s">
        <v>8699</v>
      </c>
      <c r="G3958" s="156">
        <v>0.0</v>
      </c>
      <c r="H3958" s="156">
        <v>0.0</v>
      </c>
      <c r="I3958" s="154" t="s">
        <v>8700</v>
      </c>
      <c r="J3958" s="156">
        <v>0.0</v>
      </c>
      <c r="K3958" s="154" t="s">
        <v>361</v>
      </c>
    </row>
    <row r="3959">
      <c r="A3959" s="154" t="s">
        <v>8697</v>
      </c>
      <c r="B3959" s="155"/>
      <c r="C3959" s="154" t="s">
        <v>8698</v>
      </c>
      <c r="D3959" s="155"/>
      <c r="E3959" s="155"/>
      <c r="F3959" s="154" t="s">
        <v>8699</v>
      </c>
      <c r="G3959" s="156">
        <v>0.0</v>
      </c>
      <c r="H3959" s="156">
        <v>0.0</v>
      </c>
      <c r="I3959" s="154" t="s">
        <v>8700</v>
      </c>
      <c r="J3959" s="156">
        <v>0.0</v>
      </c>
      <c r="K3959" s="154" t="s">
        <v>361</v>
      </c>
    </row>
    <row r="3960">
      <c r="A3960" s="154" t="s">
        <v>8701</v>
      </c>
      <c r="B3960" s="154" t="s">
        <v>8702</v>
      </c>
      <c r="D3960" s="154">
        <v>2.0</v>
      </c>
      <c r="E3960" s="154" t="s">
        <v>761</v>
      </c>
      <c r="F3960" s="154" t="s">
        <v>8703</v>
      </c>
      <c r="G3960" s="154">
        <v>5.08925141E8</v>
      </c>
      <c r="H3960" s="156">
        <v>0.0</v>
      </c>
      <c r="I3960" s="154">
        <v>5.08925141E8</v>
      </c>
      <c r="J3960" s="156">
        <v>0.0</v>
      </c>
      <c r="K3960" s="154" t="s">
        <v>914</v>
      </c>
    </row>
    <row r="3961">
      <c r="A3961" s="154" t="s">
        <v>8701</v>
      </c>
      <c r="B3961" s="155"/>
      <c r="C3961" s="154" t="s">
        <v>8702</v>
      </c>
      <c r="D3961" s="155"/>
      <c r="E3961" s="155"/>
      <c r="F3961" s="154" t="s">
        <v>8703</v>
      </c>
      <c r="G3961" s="154">
        <v>5.08925141E8</v>
      </c>
      <c r="H3961" s="156">
        <v>0.0</v>
      </c>
      <c r="I3961" s="154">
        <v>5.08925141E8</v>
      </c>
      <c r="J3961" s="156">
        <v>0.0</v>
      </c>
      <c r="K3961" s="154" t="s">
        <v>914</v>
      </c>
    </row>
    <row r="3962">
      <c r="A3962" s="154" t="s">
        <v>8704</v>
      </c>
      <c r="B3962" s="154" t="s">
        <v>8705</v>
      </c>
      <c r="D3962" s="154">
        <v>2.0</v>
      </c>
      <c r="E3962" s="154" t="s">
        <v>761</v>
      </c>
      <c r="F3962" s="154" t="s">
        <v>8706</v>
      </c>
      <c r="G3962" s="154">
        <v>4.226501E7</v>
      </c>
      <c r="H3962" s="156">
        <v>0.0</v>
      </c>
      <c r="I3962" s="154">
        <v>9.71504284466E11</v>
      </c>
      <c r="J3962" s="156">
        <v>0.0</v>
      </c>
      <c r="K3962" s="154" t="s">
        <v>776</v>
      </c>
    </row>
    <row r="3963">
      <c r="A3963" s="154" t="s">
        <v>8704</v>
      </c>
      <c r="B3963" s="155"/>
      <c r="C3963" s="154" t="s">
        <v>8705</v>
      </c>
      <c r="D3963" s="155"/>
      <c r="E3963" s="155"/>
      <c r="F3963" s="154" t="s">
        <v>8706</v>
      </c>
      <c r="G3963" s="154">
        <v>4.226501E7</v>
      </c>
      <c r="H3963" s="156">
        <v>0.0</v>
      </c>
      <c r="I3963" s="154">
        <v>9.71504284466E11</v>
      </c>
      <c r="J3963" s="156">
        <v>0.0</v>
      </c>
      <c r="K3963" s="154" t="s">
        <v>776</v>
      </c>
    </row>
    <row r="3964">
      <c r="A3964" s="154" t="s">
        <v>8707</v>
      </c>
      <c r="B3964" s="154" t="s">
        <v>8708</v>
      </c>
      <c r="D3964" s="154">
        <v>2.0</v>
      </c>
      <c r="E3964" s="154" t="s">
        <v>761</v>
      </c>
      <c r="F3964" s="154" t="s">
        <v>8709</v>
      </c>
      <c r="G3964" s="154">
        <v>2.6272E7</v>
      </c>
      <c r="H3964" s="156">
        <v>0.0</v>
      </c>
      <c r="I3964" s="154">
        <v>5.06119097E8</v>
      </c>
      <c r="J3964" s="156">
        <v>0.0</v>
      </c>
      <c r="K3964" s="154" t="s">
        <v>207</v>
      </c>
    </row>
    <row r="3965">
      <c r="A3965" s="154" t="s">
        <v>8707</v>
      </c>
      <c r="B3965" s="155"/>
      <c r="C3965" s="154" t="s">
        <v>8708</v>
      </c>
      <c r="D3965" s="155"/>
      <c r="E3965" s="155"/>
      <c r="F3965" s="154" t="s">
        <v>8709</v>
      </c>
      <c r="G3965" s="154">
        <v>2.6272E7</v>
      </c>
      <c r="H3965" s="156">
        <v>0.0</v>
      </c>
      <c r="I3965" s="154">
        <v>5.06119097E8</v>
      </c>
      <c r="J3965" s="156">
        <v>0.0</v>
      </c>
      <c r="K3965" s="154" t="s">
        <v>207</v>
      </c>
    </row>
    <row r="3966">
      <c r="A3966" s="154" t="s">
        <v>8710</v>
      </c>
      <c r="B3966" s="155"/>
      <c r="C3966" s="154" t="s">
        <v>8711</v>
      </c>
      <c r="D3966" s="155"/>
      <c r="E3966" s="155"/>
      <c r="F3966" s="154" t="s">
        <v>8712</v>
      </c>
      <c r="G3966" s="154">
        <v>5.61301325E8</v>
      </c>
      <c r="H3966" s="156">
        <v>0.0</v>
      </c>
      <c r="I3966" s="156">
        <v>0.0</v>
      </c>
      <c r="J3966" s="156">
        <v>0.0</v>
      </c>
      <c r="K3966" s="154" t="s">
        <v>223</v>
      </c>
    </row>
    <row r="3967">
      <c r="A3967" s="154" t="s">
        <v>8710</v>
      </c>
      <c r="B3967" s="154" t="s">
        <v>8711</v>
      </c>
      <c r="D3967" s="154">
        <v>2.0</v>
      </c>
      <c r="E3967" s="154" t="s">
        <v>761</v>
      </c>
      <c r="F3967" s="154" t="s">
        <v>8712</v>
      </c>
      <c r="G3967" s="154">
        <v>5.61301325E8</v>
      </c>
      <c r="H3967" s="156">
        <v>0.0</v>
      </c>
      <c r="I3967" s="156">
        <v>0.0</v>
      </c>
      <c r="J3967" s="156">
        <v>0.0</v>
      </c>
      <c r="K3967" s="154" t="s">
        <v>223</v>
      </c>
    </row>
    <row r="3968">
      <c r="A3968" s="154" t="s">
        <v>8713</v>
      </c>
      <c r="B3968" s="154" t="s">
        <v>8714</v>
      </c>
      <c r="D3968" s="154">
        <v>2.0</v>
      </c>
      <c r="E3968" s="154" t="s">
        <v>761</v>
      </c>
      <c r="F3968" s="154" t="s">
        <v>8715</v>
      </c>
      <c r="G3968" s="156">
        <v>0.0</v>
      </c>
      <c r="H3968" s="156">
        <v>0.0</v>
      </c>
      <c r="I3968" s="156">
        <v>0.0</v>
      </c>
      <c r="J3968" s="156">
        <v>0.0</v>
      </c>
      <c r="K3968" s="154" t="s">
        <v>361</v>
      </c>
    </row>
    <row r="3969">
      <c r="A3969" s="154" t="s">
        <v>8713</v>
      </c>
      <c r="B3969" s="155"/>
      <c r="C3969" s="154" t="s">
        <v>8714</v>
      </c>
      <c r="D3969" s="155"/>
      <c r="E3969" s="155"/>
      <c r="F3969" s="154" t="s">
        <v>8715</v>
      </c>
      <c r="G3969" s="156">
        <v>0.0</v>
      </c>
      <c r="H3969" s="156">
        <v>0.0</v>
      </c>
      <c r="I3969" s="156">
        <v>0.0</v>
      </c>
      <c r="J3969" s="156">
        <v>0.0</v>
      </c>
      <c r="K3969" s="154" t="s">
        <v>361</v>
      </c>
    </row>
    <row r="3970">
      <c r="A3970" s="154" t="s">
        <v>8716</v>
      </c>
      <c r="B3970" s="154" t="s">
        <v>8717</v>
      </c>
      <c r="D3970" s="154">
        <v>2.0</v>
      </c>
      <c r="E3970" s="154" t="s">
        <v>761</v>
      </c>
      <c r="F3970" s="154" t="s">
        <v>8718</v>
      </c>
      <c r="G3970" s="154">
        <v>5.06476833E8</v>
      </c>
      <c r="H3970" s="156">
        <v>0.0</v>
      </c>
      <c r="I3970" s="154" t="s">
        <v>8719</v>
      </c>
      <c r="J3970" s="156">
        <v>0.0</v>
      </c>
      <c r="K3970" s="154" t="s">
        <v>361</v>
      </c>
    </row>
    <row r="3971">
      <c r="A3971" s="154" t="s">
        <v>8716</v>
      </c>
      <c r="B3971" s="155"/>
      <c r="C3971" s="154" t="s">
        <v>8717</v>
      </c>
      <c r="D3971" s="155"/>
      <c r="E3971" s="155"/>
      <c r="F3971" s="154" t="s">
        <v>8720</v>
      </c>
      <c r="G3971" s="154">
        <v>4.386224E7</v>
      </c>
      <c r="H3971" s="156">
        <v>0.0</v>
      </c>
      <c r="I3971" s="154" t="s">
        <v>8721</v>
      </c>
      <c r="J3971" s="156">
        <v>0.0</v>
      </c>
      <c r="K3971" s="154" t="s">
        <v>361</v>
      </c>
    </row>
    <row r="3972">
      <c r="A3972" s="154" t="s">
        <v>8722</v>
      </c>
      <c r="B3972" s="155"/>
      <c r="C3972" s="154" t="s">
        <v>8723</v>
      </c>
      <c r="D3972" s="155"/>
      <c r="E3972" s="155"/>
      <c r="F3972" s="154" t="s">
        <v>8724</v>
      </c>
      <c r="G3972" s="156">
        <v>0.0</v>
      </c>
      <c r="H3972" s="156">
        <v>0.0</v>
      </c>
      <c r="I3972" s="154" t="s">
        <v>8725</v>
      </c>
      <c r="J3972" s="156">
        <v>0.0</v>
      </c>
      <c r="K3972" s="154" t="s">
        <v>776</v>
      </c>
    </row>
    <row r="3973">
      <c r="A3973" s="154" t="s">
        <v>8722</v>
      </c>
      <c r="B3973" s="154" t="s">
        <v>8723</v>
      </c>
      <c r="D3973" s="154">
        <v>2.0</v>
      </c>
      <c r="E3973" s="154" t="s">
        <v>761</v>
      </c>
      <c r="F3973" s="154" t="s">
        <v>8724</v>
      </c>
      <c r="G3973" s="156">
        <v>0.0</v>
      </c>
      <c r="H3973" s="156">
        <v>0.0</v>
      </c>
      <c r="I3973" s="154" t="s">
        <v>8725</v>
      </c>
      <c r="J3973" s="156">
        <v>0.0</v>
      </c>
      <c r="K3973" s="154" t="s">
        <v>776</v>
      </c>
    </row>
    <row r="3974">
      <c r="A3974" s="154" t="s">
        <v>8726</v>
      </c>
      <c r="B3974" s="155"/>
      <c r="C3974" s="154" t="s">
        <v>8727</v>
      </c>
      <c r="D3974" s="155"/>
      <c r="E3974" s="155"/>
      <c r="F3974" s="154" t="s">
        <v>8728</v>
      </c>
      <c r="G3974" s="156">
        <v>0.0</v>
      </c>
      <c r="H3974" s="156">
        <v>0.0</v>
      </c>
      <c r="I3974" s="154">
        <v>5.0659674E8</v>
      </c>
      <c r="J3974" s="156">
        <v>0.0</v>
      </c>
      <c r="K3974" s="154" t="s">
        <v>320</v>
      </c>
    </row>
    <row r="3975">
      <c r="A3975" s="154" t="s">
        <v>8726</v>
      </c>
      <c r="B3975" s="154" t="s">
        <v>8727</v>
      </c>
      <c r="D3975" s="154">
        <v>2.0</v>
      </c>
      <c r="E3975" s="154" t="s">
        <v>761</v>
      </c>
      <c r="F3975" s="154" t="s">
        <v>8728</v>
      </c>
      <c r="G3975" s="156">
        <v>0.0</v>
      </c>
      <c r="H3975" s="156">
        <v>0.0</v>
      </c>
      <c r="I3975" s="154">
        <v>5.0659674E8</v>
      </c>
      <c r="J3975" s="156">
        <v>0.0</v>
      </c>
      <c r="K3975" s="154" t="s">
        <v>320</v>
      </c>
    </row>
    <row r="3976">
      <c r="A3976" s="154" t="s">
        <v>8729</v>
      </c>
      <c r="B3976" s="154" t="s">
        <v>8730</v>
      </c>
      <c r="D3976" s="154">
        <v>2.0</v>
      </c>
      <c r="E3976" s="154" t="s">
        <v>761</v>
      </c>
      <c r="F3976" s="154" t="s">
        <v>8731</v>
      </c>
      <c r="G3976" s="154">
        <v>2995555.0</v>
      </c>
      <c r="H3976" s="156">
        <v>0.0</v>
      </c>
      <c r="I3976" s="154">
        <v>5.02995555E8</v>
      </c>
      <c r="J3976" s="156">
        <v>0.0</v>
      </c>
      <c r="K3976" s="154" t="s">
        <v>776</v>
      </c>
    </row>
    <row r="3977">
      <c r="A3977" s="154" t="s">
        <v>8729</v>
      </c>
      <c r="B3977" s="155"/>
      <c r="C3977" s="154" t="s">
        <v>8730</v>
      </c>
      <c r="D3977" s="155"/>
      <c r="E3977" s="155"/>
      <c r="F3977" s="154" t="s">
        <v>8731</v>
      </c>
      <c r="G3977" s="154">
        <v>2995555.0</v>
      </c>
      <c r="H3977" s="156">
        <v>0.0</v>
      </c>
      <c r="I3977" s="154">
        <v>5.02995555E8</v>
      </c>
      <c r="J3977" s="156">
        <v>0.0</v>
      </c>
      <c r="K3977" s="154" t="s">
        <v>776</v>
      </c>
    </row>
    <row r="3978">
      <c r="A3978" s="154" t="s">
        <v>8732</v>
      </c>
      <c r="B3978" s="154" t="s">
        <v>8733</v>
      </c>
      <c r="D3978" s="154">
        <v>2.0</v>
      </c>
      <c r="E3978" s="154" t="s">
        <v>761</v>
      </c>
      <c r="F3978" s="154" t="s">
        <v>8734</v>
      </c>
      <c r="G3978" s="154">
        <v>5.05008008E8</v>
      </c>
      <c r="H3978" s="156">
        <v>0.0</v>
      </c>
      <c r="I3978" s="156">
        <v>0.0</v>
      </c>
      <c r="J3978" s="156">
        <v>0.0</v>
      </c>
      <c r="K3978" s="154" t="s">
        <v>207</v>
      </c>
    </row>
    <row r="3979">
      <c r="A3979" s="154" t="s">
        <v>8732</v>
      </c>
      <c r="B3979" s="155"/>
      <c r="C3979" s="154" t="s">
        <v>8733</v>
      </c>
      <c r="D3979" s="155"/>
      <c r="E3979" s="155"/>
      <c r="F3979" s="154" t="s">
        <v>8734</v>
      </c>
      <c r="G3979" s="154">
        <v>5.05008008E8</v>
      </c>
      <c r="H3979" s="156">
        <v>0.0</v>
      </c>
      <c r="I3979" s="156">
        <v>0.0</v>
      </c>
      <c r="J3979" s="156">
        <v>0.0</v>
      </c>
      <c r="K3979" s="154" t="s">
        <v>207</v>
      </c>
    </row>
    <row r="3980">
      <c r="A3980" s="154" t="s">
        <v>8735</v>
      </c>
      <c r="B3980" s="154" t="s">
        <v>8736</v>
      </c>
      <c r="D3980" s="154">
        <v>2.0</v>
      </c>
      <c r="E3980" s="154" t="s">
        <v>761</v>
      </c>
      <c r="F3980" s="154" t="s">
        <v>8737</v>
      </c>
      <c r="G3980" s="156">
        <v>0.0</v>
      </c>
      <c r="H3980" s="156">
        <v>0.0</v>
      </c>
      <c r="I3980" s="154">
        <v>5.66562826E8</v>
      </c>
      <c r="J3980" s="156">
        <v>0.0</v>
      </c>
      <c r="K3980" s="154" t="s">
        <v>361</v>
      </c>
    </row>
    <row r="3981">
      <c r="A3981" s="154" t="s">
        <v>8735</v>
      </c>
      <c r="B3981" s="155"/>
      <c r="C3981" s="154" t="s">
        <v>8736</v>
      </c>
      <c r="D3981" s="155"/>
      <c r="E3981" s="155"/>
      <c r="F3981" s="154" t="s">
        <v>8738</v>
      </c>
      <c r="G3981" s="156">
        <v>0.0</v>
      </c>
      <c r="H3981" s="156">
        <v>0.0</v>
      </c>
      <c r="I3981" s="154">
        <v>5.66562826E8</v>
      </c>
      <c r="J3981" s="156">
        <v>0.0</v>
      </c>
      <c r="K3981" s="154" t="s">
        <v>361</v>
      </c>
    </row>
    <row r="3982">
      <c r="A3982" s="154" t="s">
        <v>8739</v>
      </c>
      <c r="B3982" s="154" t="s">
        <v>8740</v>
      </c>
      <c r="D3982" s="154">
        <v>2.0</v>
      </c>
      <c r="E3982" s="154" t="s">
        <v>761</v>
      </c>
      <c r="F3982" s="154" t="s">
        <v>8741</v>
      </c>
      <c r="G3982" s="154">
        <v>5.53558747E8</v>
      </c>
      <c r="H3982" s="156">
        <v>0.0</v>
      </c>
      <c r="I3982" s="154">
        <v>5.09044E8</v>
      </c>
      <c r="J3982" s="156">
        <v>0.0</v>
      </c>
      <c r="K3982" s="154" t="s">
        <v>259</v>
      </c>
    </row>
    <row r="3983">
      <c r="A3983" s="154" t="s">
        <v>8739</v>
      </c>
      <c r="B3983" s="155"/>
      <c r="C3983" s="154" t="s">
        <v>8740</v>
      </c>
      <c r="D3983" s="155"/>
      <c r="E3983" s="155"/>
      <c r="F3983" s="154" t="s">
        <v>8742</v>
      </c>
      <c r="G3983" s="154">
        <v>5.53558747E8</v>
      </c>
      <c r="H3983" s="156">
        <v>0.0</v>
      </c>
      <c r="I3983" s="154">
        <v>5.67891989E8</v>
      </c>
      <c r="J3983" s="156">
        <v>0.0</v>
      </c>
      <c r="K3983" s="154" t="s">
        <v>259</v>
      </c>
    </row>
    <row r="3984">
      <c r="A3984" s="154" t="s">
        <v>8743</v>
      </c>
      <c r="B3984" s="155"/>
      <c r="C3984" s="154" t="s">
        <v>8744</v>
      </c>
      <c r="D3984" s="155"/>
      <c r="E3984" s="155"/>
      <c r="F3984" s="154" t="s">
        <v>8745</v>
      </c>
      <c r="G3984" s="154">
        <v>4.3379525E7</v>
      </c>
      <c r="H3984" s="156">
        <v>0.0</v>
      </c>
      <c r="I3984" s="155" t="str">
        <f>+971 (50) 6242235</f>
        <v>#ERROR!</v>
      </c>
      <c r="J3984" s="156">
        <v>0.0</v>
      </c>
      <c r="K3984" s="154" t="s">
        <v>760</v>
      </c>
    </row>
    <row r="3985">
      <c r="A3985" s="154" t="s">
        <v>8743</v>
      </c>
      <c r="B3985" s="154" t="s">
        <v>8744</v>
      </c>
      <c r="D3985" s="154">
        <v>2.0</v>
      </c>
      <c r="E3985" s="154" t="s">
        <v>761</v>
      </c>
      <c r="F3985" s="154" t="s">
        <v>8745</v>
      </c>
      <c r="G3985" s="154">
        <v>4.3379525E7</v>
      </c>
      <c r="H3985" s="156">
        <v>0.0</v>
      </c>
      <c r="I3985" s="155" t="str">
        <f>+971 (50) 6242235</f>
        <v>#ERROR!</v>
      </c>
      <c r="J3985" s="156">
        <v>0.0</v>
      </c>
      <c r="K3985" s="154" t="s">
        <v>760</v>
      </c>
    </row>
    <row r="3986">
      <c r="A3986" s="154" t="s">
        <v>8746</v>
      </c>
      <c r="B3986" s="154" t="s">
        <v>8747</v>
      </c>
      <c r="D3986" s="154">
        <v>2.0</v>
      </c>
      <c r="E3986" s="154" t="s">
        <v>761</v>
      </c>
      <c r="F3986" s="154" t="s">
        <v>8748</v>
      </c>
      <c r="G3986" s="156">
        <v>0.0</v>
      </c>
      <c r="H3986" s="156">
        <v>0.0</v>
      </c>
      <c r="I3986" s="154">
        <v>5.04507282E8</v>
      </c>
      <c r="J3986" s="156">
        <v>0.0</v>
      </c>
      <c r="K3986" s="154" t="s">
        <v>361</v>
      </c>
    </row>
    <row r="3987">
      <c r="A3987" s="154" t="s">
        <v>8746</v>
      </c>
      <c r="B3987" s="155"/>
      <c r="C3987" s="154" t="s">
        <v>8747</v>
      </c>
      <c r="D3987" s="155"/>
      <c r="E3987" s="155"/>
      <c r="F3987" s="154" t="s">
        <v>8749</v>
      </c>
      <c r="G3987" s="156">
        <v>0.0</v>
      </c>
      <c r="H3987" s="156">
        <v>0.0</v>
      </c>
      <c r="I3987" s="154">
        <v>5.04507282E8</v>
      </c>
      <c r="J3987" s="156">
        <v>0.0</v>
      </c>
      <c r="K3987" s="154" t="s">
        <v>361</v>
      </c>
    </row>
    <row r="3988">
      <c r="A3988" s="154" t="s">
        <v>8750</v>
      </c>
      <c r="B3988" s="155"/>
      <c r="C3988" s="154" t="s">
        <v>8751</v>
      </c>
      <c r="D3988" s="155"/>
      <c r="E3988" s="155"/>
      <c r="F3988" s="154" t="s">
        <v>4864</v>
      </c>
      <c r="G3988" s="156">
        <v>0.0</v>
      </c>
      <c r="H3988" s="156">
        <v>0.0</v>
      </c>
      <c r="I3988" s="154" t="s">
        <v>4865</v>
      </c>
      <c r="J3988" s="154" t="s">
        <v>809</v>
      </c>
      <c r="K3988" s="154" t="s">
        <v>760</v>
      </c>
    </row>
    <row r="3989">
      <c r="A3989" s="154" t="s">
        <v>8750</v>
      </c>
      <c r="B3989" s="154" t="s">
        <v>8751</v>
      </c>
      <c r="D3989" s="154">
        <v>2.0</v>
      </c>
      <c r="E3989" s="154" t="s">
        <v>761</v>
      </c>
      <c r="F3989" s="154" t="s">
        <v>4864</v>
      </c>
      <c r="G3989" s="156">
        <v>0.0</v>
      </c>
      <c r="H3989" s="156">
        <v>0.0</v>
      </c>
      <c r="I3989" s="154" t="s">
        <v>4865</v>
      </c>
      <c r="J3989" s="154" t="s">
        <v>809</v>
      </c>
      <c r="K3989" s="154" t="s">
        <v>760</v>
      </c>
    </row>
    <row r="3990">
      <c r="A3990" s="154" t="s">
        <v>8752</v>
      </c>
      <c r="B3990" s="155"/>
      <c r="C3990" s="154" t="s">
        <v>8753</v>
      </c>
      <c r="D3990" s="155"/>
      <c r="E3990" s="155"/>
      <c r="F3990" s="154" t="s">
        <v>6968</v>
      </c>
      <c r="G3990" s="154" t="s">
        <v>4329</v>
      </c>
      <c r="H3990" s="154" t="s">
        <v>4330</v>
      </c>
      <c r="I3990" s="154" t="s">
        <v>4331</v>
      </c>
      <c r="J3990" s="156">
        <v>0.0</v>
      </c>
      <c r="K3990" s="154" t="s">
        <v>361</v>
      </c>
    </row>
    <row r="3991">
      <c r="A3991" s="154" t="s">
        <v>8752</v>
      </c>
      <c r="B3991" s="154" t="s">
        <v>8753</v>
      </c>
      <c r="D3991" s="154">
        <v>2.0</v>
      </c>
      <c r="E3991" s="154" t="s">
        <v>761</v>
      </c>
      <c r="F3991" s="154" t="s">
        <v>6968</v>
      </c>
      <c r="G3991" s="154" t="s">
        <v>4329</v>
      </c>
      <c r="H3991" s="154" t="s">
        <v>4330</v>
      </c>
      <c r="I3991" s="154" t="s">
        <v>4331</v>
      </c>
      <c r="J3991" s="156">
        <v>0.0</v>
      </c>
      <c r="K3991" s="154" t="s">
        <v>361</v>
      </c>
    </row>
    <row r="3992">
      <c r="A3992" s="154" t="s">
        <v>8754</v>
      </c>
      <c r="B3992" s="155"/>
      <c r="C3992" s="154" t="s">
        <v>8755</v>
      </c>
      <c r="D3992" s="155"/>
      <c r="E3992" s="155"/>
      <c r="F3992" s="154" t="s">
        <v>8756</v>
      </c>
      <c r="G3992" s="154" t="s">
        <v>8757</v>
      </c>
      <c r="H3992" s="154" t="s">
        <v>8758</v>
      </c>
      <c r="I3992" s="154" t="s">
        <v>8759</v>
      </c>
      <c r="J3992" s="154" t="s">
        <v>8760</v>
      </c>
      <c r="K3992" s="154" t="s">
        <v>207</v>
      </c>
    </row>
    <row r="3993">
      <c r="A3993" s="154" t="s">
        <v>8754</v>
      </c>
      <c r="B3993" s="154" t="s">
        <v>8755</v>
      </c>
      <c r="D3993" s="154">
        <v>2.0</v>
      </c>
      <c r="E3993" s="154" t="s">
        <v>761</v>
      </c>
      <c r="F3993" s="154" t="s">
        <v>8756</v>
      </c>
      <c r="G3993" s="154" t="s">
        <v>8757</v>
      </c>
      <c r="H3993" s="154" t="s">
        <v>8758</v>
      </c>
      <c r="I3993" s="154" t="s">
        <v>8759</v>
      </c>
      <c r="J3993" s="154" t="s">
        <v>8760</v>
      </c>
      <c r="K3993" s="154" t="s">
        <v>207</v>
      </c>
    </row>
    <row r="3994">
      <c r="A3994" s="154" t="s">
        <v>8761</v>
      </c>
      <c r="B3994" s="155"/>
      <c r="C3994" s="154" t="s">
        <v>8762</v>
      </c>
      <c r="D3994" s="155"/>
      <c r="E3994" s="155"/>
      <c r="F3994" s="154" t="s">
        <v>8763</v>
      </c>
      <c r="G3994" s="156">
        <v>0.0</v>
      </c>
      <c r="H3994" s="156">
        <v>0.0</v>
      </c>
      <c r="I3994" s="154">
        <v>5.56299591E8</v>
      </c>
      <c r="J3994" s="156">
        <v>0.0</v>
      </c>
      <c r="K3994" s="154" t="s">
        <v>760</v>
      </c>
    </row>
    <row r="3995">
      <c r="A3995" s="154" t="s">
        <v>8761</v>
      </c>
      <c r="B3995" s="154" t="s">
        <v>8764</v>
      </c>
      <c r="D3995" s="154">
        <v>2.0</v>
      </c>
      <c r="E3995" s="154" t="s">
        <v>761</v>
      </c>
      <c r="F3995" s="154" t="s">
        <v>8763</v>
      </c>
      <c r="G3995" s="156">
        <v>0.0</v>
      </c>
      <c r="H3995" s="156">
        <v>0.0</v>
      </c>
      <c r="I3995" s="154">
        <v>5.56299591E8</v>
      </c>
      <c r="J3995" s="156">
        <v>0.0</v>
      </c>
      <c r="K3995" s="154" t="s">
        <v>760</v>
      </c>
    </row>
    <row r="3996">
      <c r="A3996" s="154" t="s">
        <v>8765</v>
      </c>
      <c r="B3996" s="154" t="s">
        <v>8766</v>
      </c>
      <c r="D3996" s="154">
        <v>2.0</v>
      </c>
      <c r="E3996" s="154" t="s">
        <v>761</v>
      </c>
      <c r="F3996" s="154" t="s">
        <v>2203</v>
      </c>
      <c r="G3996" s="154">
        <v>5.09126362E8</v>
      </c>
      <c r="H3996" s="154" t="s">
        <v>2204</v>
      </c>
      <c r="I3996" s="155">
        <f t="shared" ref="I3996:I3997" si="17">+923218209698</f>
        <v>923218209698</v>
      </c>
      <c r="J3996" s="156">
        <v>0.0</v>
      </c>
      <c r="K3996" s="154" t="s">
        <v>760</v>
      </c>
    </row>
    <row r="3997">
      <c r="A3997" s="154" t="s">
        <v>8765</v>
      </c>
      <c r="B3997" s="155"/>
      <c r="C3997" s="154" t="s">
        <v>8767</v>
      </c>
      <c r="D3997" s="155"/>
      <c r="E3997" s="155"/>
      <c r="F3997" s="154" t="s">
        <v>2203</v>
      </c>
      <c r="G3997" s="154">
        <v>5.09126362E8</v>
      </c>
      <c r="H3997" s="154" t="s">
        <v>2204</v>
      </c>
      <c r="I3997" s="155">
        <f t="shared" si="17"/>
        <v>923218209698</v>
      </c>
      <c r="J3997" s="156">
        <v>0.0</v>
      </c>
      <c r="K3997" s="154" t="s">
        <v>760</v>
      </c>
    </row>
    <row r="3998">
      <c r="A3998" s="154" t="s">
        <v>8768</v>
      </c>
      <c r="B3998" s="154" t="s">
        <v>8769</v>
      </c>
      <c r="D3998" s="154">
        <v>2.0</v>
      </c>
      <c r="E3998" s="154" t="s">
        <v>761</v>
      </c>
      <c r="F3998" s="154" t="s">
        <v>8770</v>
      </c>
      <c r="G3998" s="156">
        <v>0.0</v>
      </c>
      <c r="H3998" s="154" t="s">
        <v>8771</v>
      </c>
      <c r="I3998" s="154" t="s">
        <v>8772</v>
      </c>
      <c r="J3998" s="156">
        <v>0.0</v>
      </c>
      <c r="K3998" s="154" t="s">
        <v>361</v>
      </c>
    </row>
    <row r="3999">
      <c r="A3999" s="154" t="s">
        <v>8768</v>
      </c>
      <c r="B3999" s="155"/>
      <c r="C3999" s="154" t="s">
        <v>8773</v>
      </c>
      <c r="D3999" s="155"/>
      <c r="E3999" s="155"/>
      <c r="F3999" s="154" t="s">
        <v>8770</v>
      </c>
      <c r="G3999" s="156">
        <v>0.0</v>
      </c>
      <c r="H3999" s="154" t="s">
        <v>8771</v>
      </c>
      <c r="I3999" s="154" t="s">
        <v>8772</v>
      </c>
      <c r="J3999" s="156">
        <v>0.0</v>
      </c>
      <c r="K3999" s="154" t="s">
        <v>361</v>
      </c>
    </row>
    <row r="4000">
      <c r="A4000" s="154" t="s">
        <v>8774</v>
      </c>
      <c r="B4000" s="155"/>
      <c r="C4000" s="154" t="s">
        <v>8775</v>
      </c>
      <c r="D4000" s="155"/>
      <c r="E4000" s="155"/>
      <c r="F4000" s="154" t="s">
        <v>8776</v>
      </c>
      <c r="G4000" s="154">
        <v>1.0</v>
      </c>
      <c r="H4000" s="156">
        <v>0.0</v>
      </c>
      <c r="I4000" s="156">
        <v>0.0</v>
      </c>
      <c r="J4000" s="156">
        <v>0.0</v>
      </c>
      <c r="K4000" s="156">
        <v>0.0</v>
      </c>
    </row>
    <row r="4001">
      <c r="A4001" s="154" t="s">
        <v>8774</v>
      </c>
      <c r="B4001" s="154" t="s">
        <v>8777</v>
      </c>
      <c r="D4001" s="154">
        <v>2.0</v>
      </c>
      <c r="E4001" s="154" t="s">
        <v>761</v>
      </c>
      <c r="F4001" s="154" t="s">
        <v>8776</v>
      </c>
      <c r="G4001" s="154">
        <v>1.0</v>
      </c>
      <c r="H4001" s="156">
        <v>0.0</v>
      </c>
      <c r="I4001" s="156">
        <v>0.0</v>
      </c>
      <c r="J4001" s="156">
        <v>0.0</v>
      </c>
      <c r="K4001" s="156">
        <v>0.0</v>
      </c>
    </row>
    <row r="4002">
      <c r="A4002" s="154" t="s">
        <v>8778</v>
      </c>
      <c r="B4002" s="154" t="s">
        <v>8779</v>
      </c>
      <c r="D4002" s="154">
        <v>2.0</v>
      </c>
      <c r="E4002" s="154" t="s">
        <v>761</v>
      </c>
      <c r="F4002" s="154" t="s">
        <v>8780</v>
      </c>
      <c r="G4002" s="154">
        <v>4.4588266E7</v>
      </c>
      <c r="H4002" s="156">
        <v>0.0</v>
      </c>
      <c r="I4002" s="154">
        <v>5.08772234E8</v>
      </c>
      <c r="J4002" s="156">
        <v>0.0</v>
      </c>
      <c r="K4002" s="154" t="s">
        <v>776</v>
      </c>
    </row>
    <row r="4003">
      <c r="A4003" s="154" t="s">
        <v>8778</v>
      </c>
      <c r="B4003" s="155"/>
      <c r="C4003" s="154" t="s">
        <v>8781</v>
      </c>
      <c r="D4003" s="155"/>
      <c r="E4003" s="155"/>
      <c r="F4003" s="154" t="s">
        <v>8780</v>
      </c>
      <c r="G4003" s="154">
        <v>4.4588266E7</v>
      </c>
      <c r="H4003" s="156">
        <v>0.0</v>
      </c>
      <c r="I4003" s="154">
        <v>5.08772234E8</v>
      </c>
      <c r="J4003" s="156">
        <v>0.0</v>
      </c>
      <c r="K4003" s="154" t="s">
        <v>776</v>
      </c>
    </row>
    <row r="4004">
      <c r="A4004" s="154" t="s">
        <v>8782</v>
      </c>
      <c r="B4004" s="155"/>
      <c r="C4004" s="154" t="s">
        <v>8783</v>
      </c>
      <c r="D4004" s="155"/>
      <c r="E4004" s="155"/>
      <c r="F4004" s="154" t="s">
        <v>8784</v>
      </c>
      <c r="G4004" s="154">
        <v>5.07517106E8</v>
      </c>
      <c r="H4004" s="156">
        <v>0.0</v>
      </c>
      <c r="I4004" s="154">
        <v>5.07517106E8</v>
      </c>
      <c r="J4004" s="156">
        <v>0.0</v>
      </c>
      <c r="K4004" s="154" t="s">
        <v>240</v>
      </c>
    </row>
    <row r="4005">
      <c r="A4005" s="154" t="s">
        <v>8782</v>
      </c>
      <c r="B4005" s="154" t="s">
        <v>8785</v>
      </c>
      <c r="D4005" s="154">
        <v>2.0</v>
      </c>
      <c r="E4005" s="154" t="s">
        <v>761</v>
      </c>
      <c r="F4005" s="154" t="s">
        <v>8784</v>
      </c>
      <c r="G4005" s="154">
        <v>5.07517106E8</v>
      </c>
      <c r="H4005" s="156">
        <v>0.0</v>
      </c>
      <c r="I4005" s="154">
        <v>5.07517106E8</v>
      </c>
      <c r="J4005" s="156">
        <v>0.0</v>
      </c>
      <c r="K4005" s="154" t="s">
        <v>240</v>
      </c>
    </row>
    <row r="4006">
      <c r="A4006" s="154" t="s">
        <v>8786</v>
      </c>
      <c r="B4006" s="154" t="s">
        <v>8787</v>
      </c>
      <c r="D4006" s="154">
        <v>2.0</v>
      </c>
      <c r="E4006" s="154" t="s">
        <v>761</v>
      </c>
      <c r="F4006" s="154" t="s">
        <v>8788</v>
      </c>
      <c r="G4006" s="154">
        <v>5.6972085E8</v>
      </c>
      <c r="H4006" s="156">
        <v>0.0</v>
      </c>
      <c r="I4006" s="156">
        <v>0.0</v>
      </c>
      <c r="J4006" s="156">
        <v>0.0</v>
      </c>
      <c r="K4006" s="156">
        <v>0.0</v>
      </c>
    </row>
    <row r="4007">
      <c r="A4007" s="154" t="s">
        <v>8786</v>
      </c>
      <c r="B4007" s="155"/>
      <c r="C4007" s="154" t="s">
        <v>8789</v>
      </c>
      <c r="D4007" s="155"/>
      <c r="E4007" s="155"/>
      <c r="F4007" s="154" t="s">
        <v>8788</v>
      </c>
      <c r="G4007" s="154">
        <v>5.6972085E8</v>
      </c>
      <c r="H4007" s="156">
        <v>0.0</v>
      </c>
      <c r="I4007" s="156">
        <v>0.0</v>
      </c>
      <c r="J4007" s="156">
        <v>0.0</v>
      </c>
      <c r="K4007" s="156">
        <v>0.0</v>
      </c>
    </row>
    <row r="4008">
      <c r="A4008" s="154" t="s">
        <v>8790</v>
      </c>
      <c r="B4008" s="155"/>
      <c r="C4008" s="154" t="s">
        <v>8791</v>
      </c>
      <c r="D4008" s="155"/>
      <c r="E4008" s="155"/>
      <c r="F4008" s="154" t="s">
        <v>792</v>
      </c>
      <c r="G4008" s="154" t="s">
        <v>793</v>
      </c>
      <c r="H4008" s="154" t="s">
        <v>794</v>
      </c>
      <c r="I4008" s="156">
        <v>0.0</v>
      </c>
      <c r="J4008" s="156">
        <v>0.0</v>
      </c>
      <c r="K4008" s="156">
        <v>0.0</v>
      </c>
    </row>
    <row r="4009">
      <c r="A4009" s="154" t="s">
        <v>8790</v>
      </c>
      <c r="B4009" s="154" t="s">
        <v>8792</v>
      </c>
      <c r="D4009" s="154">
        <v>2.0</v>
      </c>
      <c r="E4009" s="154" t="s">
        <v>761</v>
      </c>
      <c r="F4009" s="154" t="s">
        <v>8793</v>
      </c>
      <c r="G4009" s="154">
        <v>5.03267326E8</v>
      </c>
      <c r="H4009" s="156">
        <v>0.0</v>
      </c>
      <c r="I4009" s="154">
        <v>9.71503267326E11</v>
      </c>
      <c r="J4009" s="156">
        <v>0.0</v>
      </c>
      <c r="K4009" s="154" t="s">
        <v>207</v>
      </c>
    </row>
    <row r="4010">
      <c r="A4010" s="154" t="s">
        <v>8794</v>
      </c>
      <c r="B4010" s="155"/>
      <c r="C4010" s="154" t="s">
        <v>8795</v>
      </c>
      <c r="D4010" s="155"/>
      <c r="E4010" s="155"/>
      <c r="F4010" s="154" t="s">
        <v>8796</v>
      </c>
      <c r="G4010" s="154">
        <v>5.28734674E8</v>
      </c>
      <c r="H4010" s="156">
        <v>0.0</v>
      </c>
      <c r="I4010" s="156">
        <v>0.0</v>
      </c>
      <c r="J4010" s="156">
        <v>0.0</v>
      </c>
      <c r="K4010" s="154" t="s">
        <v>1110</v>
      </c>
    </row>
    <row r="4011">
      <c r="A4011" s="154" t="s">
        <v>8794</v>
      </c>
      <c r="B4011" s="154" t="s">
        <v>8797</v>
      </c>
      <c r="D4011" s="154">
        <v>2.0</v>
      </c>
      <c r="E4011" s="154" t="s">
        <v>761</v>
      </c>
      <c r="F4011" s="154" t="s">
        <v>8798</v>
      </c>
      <c r="G4011" s="156">
        <v>0.0</v>
      </c>
      <c r="H4011" s="156">
        <v>0.0</v>
      </c>
      <c r="I4011" s="154">
        <v>5.02384031E8</v>
      </c>
      <c r="J4011" s="156">
        <v>0.0</v>
      </c>
      <c r="K4011" s="154" t="s">
        <v>1110</v>
      </c>
    </row>
    <row r="4012">
      <c r="A4012" s="154" t="s">
        <v>8799</v>
      </c>
      <c r="B4012" s="154" t="s">
        <v>8800</v>
      </c>
      <c r="D4012" s="154">
        <v>2.0</v>
      </c>
      <c r="E4012" s="154" t="s">
        <v>761</v>
      </c>
      <c r="F4012" s="154" t="s">
        <v>8801</v>
      </c>
      <c r="G4012" s="154">
        <v>4.3911111E7</v>
      </c>
      <c r="H4012" s="156">
        <v>0.0</v>
      </c>
      <c r="I4012" s="154">
        <v>5.04569241E8</v>
      </c>
      <c r="J4012" s="156">
        <v>0.0</v>
      </c>
      <c r="K4012" s="154" t="s">
        <v>206</v>
      </c>
    </row>
    <row r="4013">
      <c r="A4013" s="154" t="s">
        <v>8799</v>
      </c>
      <c r="B4013" s="155"/>
      <c r="C4013" s="154" t="s">
        <v>8802</v>
      </c>
      <c r="D4013" s="155"/>
      <c r="E4013" s="155"/>
      <c r="F4013" s="154" t="s">
        <v>8801</v>
      </c>
      <c r="G4013" s="154">
        <v>4.3911111E7</v>
      </c>
      <c r="H4013" s="156">
        <v>0.0</v>
      </c>
      <c r="I4013" s="154">
        <v>5.04569241E8</v>
      </c>
      <c r="J4013" s="156">
        <v>0.0</v>
      </c>
      <c r="K4013" s="154" t="s">
        <v>206</v>
      </c>
    </row>
    <row r="4014">
      <c r="A4014" s="154" t="s">
        <v>8803</v>
      </c>
      <c r="B4014" s="155"/>
      <c r="C4014" s="154" t="s">
        <v>8804</v>
      </c>
      <c r="D4014" s="155"/>
      <c r="E4014" s="155"/>
      <c r="F4014" s="154" t="s">
        <v>8805</v>
      </c>
      <c r="G4014" s="154">
        <v>5.56031454E8</v>
      </c>
      <c r="H4014" s="156">
        <v>0.0</v>
      </c>
      <c r="I4014" s="154">
        <v>5.56031454E8</v>
      </c>
      <c r="J4014" s="156">
        <v>0.0</v>
      </c>
      <c r="K4014" s="154" t="s">
        <v>206</v>
      </c>
    </row>
    <row r="4015">
      <c r="A4015" s="154" t="s">
        <v>8803</v>
      </c>
      <c r="B4015" s="154" t="s">
        <v>8806</v>
      </c>
      <c r="D4015" s="154">
        <v>2.0</v>
      </c>
      <c r="E4015" s="154" t="s">
        <v>761</v>
      </c>
      <c r="F4015" s="154" t="s">
        <v>8805</v>
      </c>
      <c r="G4015" s="154">
        <v>5.56031454E8</v>
      </c>
      <c r="H4015" s="156">
        <v>0.0</v>
      </c>
      <c r="I4015" s="154">
        <v>5.56031454E8</v>
      </c>
      <c r="J4015" s="156">
        <v>0.0</v>
      </c>
      <c r="K4015" s="154" t="s">
        <v>206</v>
      </c>
    </row>
    <row r="4016">
      <c r="A4016" s="154" t="s">
        <v>8807</v>
      </c>
      <c r="B4016" s="154" t="s">
        <v>8808</v>
      </c>
      <c r="D4016" s="154">
        <v>2.0</v>
      </c>
      <c r="E4016" s="154" t="s">
        <v>761</v>
      </c>
      <c r="F4016" s="154" t="s">
        <v>8809</v>
      </c>
      <c r="G4016" s="156">
        <v>0.0</v>
      </c>
      <c r="H4016" s="156">
        <v>0.0</v>
      </c>
      <c r="I4016" s="154" t="s">
        <v>8810</v>
      </c>
      <c r="J4016" s="154" t="s">
        <v>8811</v>
      </c>
      <c r="K4016" s="154" t="s">
        <v>361</v>
      </c>
    </row>
    <row r="4017">
      <c r="A4017" s="154" t="s">
        <v>8807</v>
      </c>
      <c r="B4017" s="155"/>
      <c r="C4017" s="154" t="s">
        <v>8812</v>
      </c>
      <c r="D4017" s="155"/>
      <c r="E4017" s="155"/>
      <c r="F4017" s="154" t="s">
        <v>8813</v>
      </c>
      <c r="G4017" s="156">
        <v>0.0</v>
      </c>
      <c r="H4017" s="156">
        <v>0.0</v>
      </c>
      <c r="I4017" s="154" t="s">
        <v>8810</v>
      </c>
      <c r="J4017" s="154" t="s">
        <v>8811</v>
      </c>
      <c r="K4017" s="154" t="s">
        <v>361</v>
      </c>
    </row>
    <row r="4018">
      <c r="A4018" s="154" t="s">
        <v>8814</v>
      </c>
      <c r="B4018" s="154" t="s">
        <v>8815</v>
      </c>
      <c r="D4018" s="154">
        <v>2.0</v>
      </c>
      <c r="E4018" s="154" t="s">
        <v>761</v>
      </c>
      <c r="F4018" s="154" t="s">
        <v>8816</v>
      </c>
      <c r="G4018" s="154">
        <v>4.4558455E7</v>
      </c>
      <c r="H4018" s="156">
        <v>0.0</v>
      </c>
      <c r="I4018" s="154">
        <v>0.0</v>
      </c>
      <c r="J4018" s="156">
        <v>0.0</v>
      </c>
      <c r="K4018" s="154" t="s">
        <v>259</v>
      </c>
    </row>
    <row r="4019">
      <c r="A4019" s="154" t="s">
        <v>8814</v>
      </c>
      <c r="B4019" s="155"/>
      <c r="C4019" s="154" t="s">
        <v>8817</v>
      </c>
      <c r="D4019" s="155"/>
      <c r="E4019" s="155"/>
      <c r="F4019" s="154" t="s">
        <v>8816</v>
      </c>
      <c r="G4019" s="154">
        <v>4.4558455E7</v>
      </c>
      <c r="H4019" s="156">
        <v>0.0</v>
      </c>
      <c r="I4019" s="154">
        <v>0.0</v>
      </c>
      <c r="J4019" s="156">
        <v>0.0</v>
      </c>
      <c r="K4019" s="154" t="s">
        <v>259</v>
      </c>
    </row>
    <row r="4020">
      <c r="A4020" s="154" t="s">
        <v>8818</v>
      </c>
      <c r="B4020" s="154" t="s">
        <v>8819</v>
      </c>
      <c r="D4020" s="154">
        <v>2.0</v>
      </c>
      <c r="E4020" s="154" t="s">
        <v>761</v>
      </c>
      <c r="F4020" s="154" t="s">
        <v>8820</v>
      </c>
      <c r="G4020" s="154">
        <v>0.0</v>
      </c>
      <c r="H4020" s="156">
        <v>0.0</v>
      </c>
      <c r="I4020" s="154">
        <v>5.08189981E8</v>
      </c>
      <c r="J4020" s="156">
        <v>0.0</v>
      </c>
      <c r="K4020" s="154" t="s">
        <v>197</v>
      </c>
    </row>
    <row r="4021">
      <c r="A4021" s="154" t="s">
        <v>8818</v>
      </c>
      <c r="B4021" s="155"/>
      <c r="C4021" s="154" t="s">
        <v>8821</v>
      </c>
      <c r="D4021" s="155"/>
      <c r="E4021" s="155"/>
      <c r="F4021" s="154" t="s">
        <v>8820</v>
      </c>
      <c r="G4021" s="154">
        <v>0.0</v>
      </c>
      <c r="H4021" s="156">
        <v>0.0</v>
      </c>
      <c r="I4021" s="154">
        <v>5.08189981E8</v>
      </c>
      <c r="J4021" s="156">
        <v>0.0</v>
      </c>
      <c r="K4021" s="154" t="s">
        <v>197</v>
      </c>
    </row>
    <row r="4022">
      <c r="A4022" s="154" t="s">
        <v>8822</v>
      </c>
      <c r="B4022" s="154" t="s">
        <v>8823</v>
      </c>
      <c r="D4022" s="154">
        <v>2.0</v>
      </c>
      <c r="E4022" s="154" t="s">
        <v>761</v>
      </c>
      <c r="F4022" s="154" t="s">
        <v>8824</v>
      </c>
      <c r="G4022" s="156">
        <v>0.0</v>
      </c>
      <c r="H4022" s="156">
        <v>0.0</v>
      </c>
      <c r="I4022" s="154" t="s">
        <v>8825</v>
      </c>
      <c r="J4022" s="156">
        <v>0.0</v>
      </c>
      <c r="K4022" s="154" t="s">
        <v>361</v>
      </c>
    </row>
    <row r="4023">
      <c r="A4023" s="154" t="s">
        <v>8822</v>
      </c>
      <c r="B4023" s="155"/>
      <c r="C4023" s="154" t="s">
        <v>8826</v>
      </c>
      <c r="D4023" s="155"/>
      <c r="E4023" s="155"/>
      <c r="F4023" s="154" t="s">
        <v>8824</v>
      </c>
      <c r="G4023" s="156">
        <v>0.0</v>
      </c>
      <c r="H4023" s="156">
        <v>0.0</v>
      </c>
      <c r="I4023" s="154" t="s">
        <v>8825</v>
      </c>
      <c r="J4023" s="156">
        <v>0.0</v>
      </c>
      <c r="K4023" s="154" t="s">
        <v>361</v>
      </c>
    </row>
    <row r="4024">
      <c r="A4024" s="154" t="s">
        <v>8827</v>
      </c>
      <c r="B4024" s="154" t="s">
        <v>8828</v>
      </c>
      <c r="D4024" s="154">
        <v>2.0</v>
      </c>
      <c r="E4024" s="154" t="s">
        <v>761</v>
      </c>
      <c r="F4024" s="154" t="s">
        <v>8829</v>
      </c>
      <c r="G4024" s="154">
        <v>5.06447935E8</v>
      </c>
      <c r="H4024" s="156">
        <v>0.0</v>
      </c>
      <c r="I4024" s="154">
        <v>5.06447935E8</v>
      </c>
      <c r="J4024" s="156">
        <v>0.0</v>
      </c>
      <c r="K4024" s="154" t="s">
        <v>361</v>
      </c>
    </row>
    <row r="4025">
      <c r="A4025" s="154" t="s">
        <v>8827</v>
      </c>
      <c r="B4025" s="155"/>
      <c r="C4025" s="154" t="s">
        <v>8830</v>
      </c>
      <c r="D4025" s="155"/>
      <c r="E4025" s="155"/>
      <c r="F4025" s="154" t="s">
        <v>8829</v>
      </c>
      <c r="G4025" s="154">
        <v>5.06447935E8</v>
      </c>
      <c r="H4025" s="156">
        <v>0.0</v>
      </c>
      <c r="I4025" s="154">
        <v>5.06447935E8</v>
      </c>
      <c r="J4025" s="156">
        <v>0.0</v>
      </c>
      <c r="K4025" s="154" t="s">
        <v>361</v>
      </c>
    </row>
    <row r="4026">
      <c r="A4026" s="154" t="s">
        <v>8831</v>
      </c>
      <c r="B4026" s="154" t="s">
        <v>8832</v>
      </c>
      <c r="D4026" s="154">
        <v>2.0</v>
      </c>
      <c r="E4026" s="154" t="s">
        <v>761</v>
      </c>
      <c r="F4026" s="154" t="s">
        <v>8833</v>
      </c>
      <c r="G4026" s="154">
        <v>5.07988428E8</v>
      </c>
      <c r="H4026" s="156">
        <v>0.0</v>
      </c>
      <c r="I4026" s="156">
        <v>0.0</v>
      </c>
      <c r="J4026" s="156">
        <v>0.0</v>
      </c>
      <c r="K4026" s="156">
        <v>0.0</v>
      </c>
    </row>
    <row r="4027">
      <c r="A4027" s="154" t="s">
        <v>8831</v>
      </c>
      <c r="B4027" s="155"/>
      <c r="C4027" s="154" t="s">
        <v>8834</v>
      </c>
      <c r="D4027" s="155"/>
      <c r="E4027" s="155"/>
      <c r="F4027" s="154" t="s">
        <v>8833</v>
      </c>
      <c r="G4027" s="154">
        <v>5.07988428E8</v>
      </c>
      <c r="H4027" s="156">
        <v>0.0</v>
      </c>
      <c r="I4027" s="156">
        <v>0.0</v>
      </c>
      <c r="J4027" s="156">
        <v>0.0</v>
      </c>
      <c r="K4027" s="156">
        <v>0.0</v>
      </c>
    </row>
    <row r="4028">
      <c r="A4028" s="154" t="s">
        <v>8835</v>
      </c>
      <c r="B4028" s="154" t="s">
        <v>8836</v>
      </c>
      <c r="D4028" s="154">
        <v>2.0</v>
      </c>
      <c r="E4028" s="154" t="s">
        <v>761</v>
      </c>
      <c r="F4028" s="154" t="s">
        <v>8837</v>
      </c>
      <c r="G4028" s="154">
        <v>5.51001009E8</v>
      </c>
      <c r="H4028" s="154" t="s">
        <v>8838</v>
      </c>
      <c r="I4028" s="154" t="s">
        <v>8839</v>
      </c>
      <c r="J4028" s="156">
        <v>0.0</v>
      </c>
      <c r="K4028" s="154" t="s">
        <v>207</v>
      </c>
    </row>
    <row r="4029">
      <c r="A4029" s="154" t="s">
        <v>8835</v>
      </c>
      <c r="B4029" s="155"/>
      <c r="C4029" s="154" t="s">
        <v>8840</v>
      </c>
      <c r="D4029" s="155"/>
      <c r="E4029" s="155"/>
      <c r="F4029" s="154" t="s">
        <v>8837</v>
      </c>
      <c r="G4029" s="154">
        <v>5.51001009E8</v>
      </c>
      <c r="H4029" s="154" t="s">
        <v>8838</v>
      </c>
      <c r="I4029" s="154" t="s">
        <v>8839</v>
      </c>
      <c r="J4029" s="156">
        <v>0.0</v>
      </c>
      <c r="K4029" s="154" t="s">
        <v>207</v>
      </c>
    </row>
    <row r="4030">
      <c r="A4030" s="154" t="s">
        <v>8841</v>
      </c>
      <c r="B4030" s="155"/>
      <c r="C4030" s="154" t="s">
        <v>8842</v>
      </c>
      <c r="D4030" s="155"/>
      <c r="E4030" s="155"/>
      <c r="F4030" s="154" t="s">
        <v>3439</v>
      </c>
      <c r="G4030" s="154" t="s">
        <v>335</v>
      </c>
      <c r="H4030" s="156">
        <v>0.0</v>
      </c>
      <c r="I4030" s="154" t="s">
        <v>335</v>
      </c>
      <c r="J4030" s="156">
        <v>0.0</v>
      </c>
      <c r="K4030" s="154" t="s">
        <v>776</v>
      </c>
    </row>
    <row r="4031">
      <c r="A4031" s="154" t="s">
        <v>8841</v>
      </c>
      <c r="B4031" s="154" t="s">
        <v>8843</v>
      </c>
      <c r="D4031" s="154">
        <v>2.0</v>
      </c>
      <c r="E4031" s="154" t="s">
        <v>761</v>
      </c>
      <c r="F4031" s="154" t="s">
        <v>3439</v>
      </c>
      <c r="G4031" s="154" t="s">
        <v>335</v>
      </c>
      <c r="H4031" s="156">
        <v>0.0</v>
      </c>
      <c r="I4031" s="154" t="s">
        <v>335</v>
      </c>
      <c r="J4031" s="156">
        <v>0.0</v>
      </c>
      <c r="K4031" s="154" t="s">
        <v>776</v>
      </c>
    </row>
    <row r="4032">
      <c r="A4032" s="154" t="s">
        <v>8844</v>
      </c>
      <c r="B4032" s="155"/>
      <c r="C4032" s="154" t="s">
        <v>8845</v>
      </c>
      <c r="D4032" s="155"/>
      <c r="E4032" s="155"/>
      <c r="F4032" s="154" t="s">
        <v>3439</v>
      </c>
      <c r="G4032" s="154" t="s">
        <v>335</v>
      </c>
      <c r="H4032" s="156">
        <v>0.0</v>
      </c>
      <c r="I4032" s="154" t="s">
        <v>335</v>
      </c>
      <c r="J4032" s="156">
        <v>0.0</v>
      </c>
      <c r="K4032" s="154" t="s">
        <v>776</v>
      </c>
    </row>
    <row r="4033">
      <c r="A4033" s="154" t="s">
        <v>8844</v>
      </c>
      <c r="B4033" s="154" t="s">
        <v>8846</v>
      </c>
      <c r="D4033" s="154">
        <v>2.0</v>
      </c>
      <c r="E4033" s="154" t="s">
        <v>761</v>
      </c>
      <c r="F4033" s="154" t="s">
        <v>1619</v>
      </c>
      <c r="G4033" s="154">
        <v>4.3903333E7</v>
      </c>
      <c r="H4033" s="154" t="s">
        <v>1620</v>
      </c>
      <c r="I4033" s="156">
        <v>0.0</v>
      </c>
      <c r="J4033" s="156">
        <v>0.0</v>
      </c>
      <c r="K4033" s="156">
        <v>0.0</v>
      </c>
    </row>
    <row r="4034">
      <c r="A4034" s="154" t="s">
        <v>8847</v>
      </c>
      <c r="B4034" s="154" t="s">
        <v>8848</v>
      </c>
      <c r="D4034" s="154">
        <v>2.0</v>
      </c>
      <c r="E4034" s="154" t="s">
        <v>761</v>
      </c>
      <c r="F4034" s="154" t="s">
        <v>8849</v>
      </c>
      <c r="G4034" s="154">
        <v>5.09004219E8</v>
      </c>
      <c r="H4034" s="156">
        <v>0.0</v>
      </c>
      <c r="I4034" s="154" t="s">
        <v>8850</v>
      </c>
      <c r="J4034" s="156">
        <v>0.0</v>
      </c>
      <c r="K4034" s="154" t="s">
        <v>240</v>
      </c>
    </row>
    <row r="4035">
      <c r="A4035" s="154" t="s">
        <v>8847</v>
      </c>
      <c r="B4035" s="155"/>
      <c r="C4035" s="154" t="s">
        <v>8851</v>
      </c>
      <c r="D4035" s="155"/>
      <c r="E4035" s="155"/>
      <c r="F4035" s="154" t="s">
        <v>8849</v>
      </c>
      <c r="G4035" s="154">
        <v>5.09004219E8</v>
      </c>
      <c r="H4035" s="156">
        <v>0.0</v>
      </c>
      <c r="I4035" s="154" t="s">
        <v>8850</v>
      </c>
      <c r="J4035" s="156">
        <v>0.0</v>
      </c>
      <c r="K4035" s="154" t="s">
        <v>240</v>
      </c>
    </row>
    <row r="4036">
      <c r="A4036" s="154" t="s">
        <v>8852</v>
      </c>
      <c r="B4036" s="155"/>
      <c r="C4036" s="154" t="s">
        <v>8853</v>
      </c>
      <c r="D4036" s="155"/>
      <c r="E4036" s="155"/>
      <c r="F4036" s="154" t="s">
        <v>8854</v>
      </c>
      <c r="G4036" s="154">
        <v>5454545.0</v>
      </c>
      <c r="H4036" s="156">
        <v>0.0</v>
      </c>
      <c r="I4036" s="154">
        <v>5.4512112E7</v>
      </c>
      <c r="J4036" s="156">
        <v>0.0</v>
      </c>
      <c r="K4036" s="154" t="s">
        <v>914</v>
      </c>
    </row>
    <row r="4037">
      <c r="A4037" s="154" t="s">
        <v>8852</v>
      </c>
      <c r="B4037" s="154" t="s">
        <v>8855</v>
      </c>
      <c r="D4037" s="154">
        <v>2.0</v>
      </c>
      <c r="E4037" s="154" t="s">
        <v>761</v>
      </c>
      <c r="F4037" s="154" t="s">
        <v>849</v>
      </c>
      <c r="G4037" s="154" t="s">
        <v>850</v>
      </c>
      <c r="H4037" s="154" t="s">
        <v>851</v>
      </c>
      <c r="I4037" s="156">
        <v>0.0</v>
      </c>
      <c r="J4037" s="156">
        <v>0.0</v>
      </c>
      <c r="K4037" s="156">
        <v>0.0</v>
      </c>
    </row>
    <row r="4038">
      <c r="A4038" s="154" t="s">
        <v>8856</v>
      </c>
      <c r="B4038" s="154" t="s">
        <v>8857</v>
      </c>
      <c r="D4038" s="154">
        <v>2.0</v>
      </c>
      <c r="E4038" s="154" t="s">
        <v>761</v>
      </c>
      <c r="F4038" s="154" t="s">
        <v>8858</v>
      </c>
      <c r="G4038" s="154">
        <v>4150000.0</v>
      </c>
      <c r="H4038" s="156">
        <v>0.0</v>
      </c>
      <c r="I4038" s="154">
        <v>5.07918938E8</v>
      </c>
      <c r="J4038" s="156">
        <v>0.0</v>
      </c>
      <c r="K4038" s="154" t="s">
        <v>259</v>
      </c>
    </row>
    <row r="4039">
      <c r="A4039" s="154" t="s">
        <v>8856</v>
      </c>
      <c r="B4039" s="155"/>
      <c r="C4039" s="154" t="s">
        <v>8859</v>
      </c>
      <c r="D4039" s="155"/>
      <c r="E4039" s="155"/>
      <c r="F4039" s="154" t="s">
        <v>8858</v>
      </c>
      <c r="G4039" s="154">
        <v>4150000.0</v>
      </c>
      <c r="H4039" s="156">
        <v>0.0</v>
      </c>
      <c r="I4039" s="154">
        <v>5.07918938E8</v>
      </c>
      <c r="J4039" s="156">
        <v>0.0</v>
      </c>
      <c r="K4039" s="154" t="s">
        <v>259</v>
      </c>
    </row>
    <row r="4040">
      <c r="A4040" s="154" t="s">
        <v>8860</v>
      </c>
      <c r="B4040" s="155"/>
      <c r="C4040" s="154" t="s">
        <v>8861</v>
      </c>
      <c r="D4040" s="155"/>
      <c r="E4040" s="155"/>
      <c r="F4040" s="154" t="s">
        <v>8862</v>
      </c>
      <c r="G4040" s="156">
        <v>0.0</v>
      </c>
      <c r="H4040" s="154" t="s">
        <v>8863</v>
      </c>
      <c r="I4040" s="154" t="s">
        <v>8864</v>
      </c>
      <c r="J4040" s="156">
        <v>0.0</v>
      </c>
      <c r="K4040" s="154" t="s">
        <v>361</v>
      </c>
    </row>
    <row r="4041">
      <c r="A4041" s="154" t="s">
        <v>8860</v>
      </c>
      <c r="B4041" s="154" t="s">
        <v>8865</v>
      </c>
      <c r="D4041" s="154">
        <v>2.0</v>
      </c>
      <c r="E4041" s="154" t="s">
        <v>761</v>
      </c>
      <c r="F4041" s="154" t="s">
        <v>8862</v>
      </c>
      <c r="G4041" s="156">
        <v>0.0</v>
      </c>
      <c r="H4041" s="154" t="s">
        <v>8863</v>
      </c>
      <c r="I4041" s="154" t="s">
        <v>8864</v>
      </c>
      <c r="J4041" s="156">
        <v>0.0</v>
      </c>
      <c r="K4041" s="154" t="s">
        <v>361</v>
      </c>
    </row>
    <row r="4042">
      <c r="A4042" s="154" t="s">
        <v>8866</v>
      </c>
      <c r="B4042" s="155"/>
      <c r="C4042" s="154" t="s">
        <v>8867</v>
      </c>
      <c r="D4042" s="155"/>
      <c r="E4042" s="155"/>
      <c r="F4042" s="154" t="s">
        <v>8868</v>
      </c>
      <c r="G4042" s="154">
        <v>4.6652323E7</v>
      </c>
      <c r="H4042" s="156">
        <v>0.0</v>
      </c>
      <c r="I4042" s="154">
        <v>5.07517106E8</v>
      </c>
      <c r="J4042" s="156">
        <v>0.0</v>
      </c>
      <c r="K4042" s="154" t="s">
        <v>240</v>
      </c>
    </row>
    <row r="4043">
      <c r="A4043" s="154" t="s">
        <v>8866</v>
      </c>
      <c r="B4043" s="154" t="s">
        <v>8869</v>
      </c>
      <c r="D4043" s="154">
        <v>2.0</v>
      </c>
      <c r="E4043" s="154" t="s">
        <v>761</v>
      </c>
      <c r="F4043" s="154" t="s">
        <v>8868</v>
      </c>
      <c r="G4043" s="154">
        <v>4.6652323E7</v>
      </c>
      <c r="H4043" s="156">
        <v>0.0</v>
      </c>
      <c r="I4043" s="154">
        <v>5.07517106E8</v>
      </c>
      <c r="J4043" s="156">
        <v>0.0</v>
      </c>
      <c r="K4043" s="154" t="s">
        <v>240</v>
      </c>
    </row>
    <row r="4044">
      <c r="A4044" s="154" t="s">
        <v>8870</v>
      </c>
      <c r="B4044" s="154" t="s">
        <v>8871</v>
      </c>
      <c r="D4044" s="154">
        <v>2.0</v>
      </c>
      <c r="E4044" s="154" t="s">
        <v>761</v>
      </c>
      <c r="F4044" s="154" t="s">
        <v>8872</v>
      </c>
      <c r="G4044" s="156">
        <v>0.0</v>
      </c>
      <c r="H4044" s="156">
        <v>0.0</v>
      </c>
      <c r="I4044" s="154">
        <v>5.05598054E8</v>
      </c>
      <c r="J4044" s="156">
        <v>0.0</v>
      </c>
      <c r="K4044" s="154" t="s">
        <v>206</v>
      </c>
    </row>
    <row r="4045">
      <c r="A4045" s="154" t="s">
        <v>8870</v>
      </c>
      <c r="B4045" s="155"/>
      <c r="C4045" s="154" t="s">
        <v>8873</v>
      </c>
      <c r="D4045" s="155"/>
      <c r="E4045" s="155"/>
      <c r="F4045" s="154" t="s">
        <v>8872</v>
      </c>
      <c r="G4045" s="156">
        <v>0.0</v>
      </c>
      <c r="H4045" s="156">
        <v>0.0</v>
      </c>
      <c r="I4045" s="154">
        <v>5.05598054E8</v>
      </c>
      <c r="J4045" s="156">
        <v>0.0</v>
      </c>
      <c r="K4045" s="154" t="s">
        <v>206</v>
      </c>
    </row>
    <row r="4046">
      <c r="A4046" s="154" t="s">
        <v>8874</v>
      </c>
      <c r="B4046" s="154" t="s">
        <v>8875</v>
      </c>
      <c r="D4046" s="154">
        <v>2.0</v>
      </c>
      <c r="E4046" s="154" t="s">
        <v>761</v>
      </c>
      <c r="F4046" s="154" t="s">
        <v>2947</v>
      </c>
      <c r="G4046" s="154">
        <v>4.0</v>
      </c>
      <c r="H4046" s="154" t="s">
        <v>2948</v>
      </c>
      <c r="I4046" s="156">
        <v>0.0</v>
      </c>
      <c r="J4046" s="156">
        <v>0.0</v>
      </c>
      <c r="K4046" s="156">
        <v>0.0</v>
      </c>
    </row>
    <row r="4047">
      <c r="A4047" s="154" t="s">
        <v>8874</v>
      </c>
      <c r="B4047" s="155"/>
      <c r="C4047" s="154" t="s">
        <v>8876</v>
      </c>
      <c r="D4047" s="155"/>
      <c r="E4047" s="155"/>
      <c r="F4047" s="154" t="s">
        <v>2947</v>
      </c>
      <c r="G4047" s="154">
        <v>4.0</v>
      </c>
      <c r="H4047" s="154" t="s">
        <v>2948</v>
      </c>
      <c r="I4047" s="156">
        <v>0.0</v>
      </c>
      <c r="J4047" s="156">
        <v>0.0</v>
      </c>
      <c r="K4047" s="156">
        <v>0.0</v>
      </c>
    </row>
    <row r="4048">
      <c r="A4048" s="154" t="s">
        <v>8877</v>
      </c>
      <c r="B4048" s="154" t="s">
        <v>8878</v>
      </c>
      <c r="D4048" s="154">
        <v>2.0</v>
      </c>
      <c r="E4048" s="154" t="s">
        <v>761</v>
      </c>
      <c r="F4048" s="154" t="s">
        <v>8879</v>
      </c>
      <c r="G4048" s="154">
        <v>0.0</v>
      </c>
      <c r="H4048" s="156">
        <v>0.0</v>
      </c>
      <c r="I4048" s="154">
        <v>0.0</v>
      </c>
      <c r="J4048" s="156">
        <v>0.0</v>
      </c>
      <c r="K4048" s="154" t="s">
        <v>206</v>
      </c>
    </row>
    <row r="4049">
      <c r="A4049" s="154" t="s">
        <v>8877</v>
      </c>
      <c r="B4049" s="155"/>
      <c r="C4049" s="154" t="s">
        <v>8880</v>
      </c>
      <c r="D4049" s="155"/>
      <c r="E4049" s="155"/>
      <c r="F4049" s="154" t="s">
        <v>8879</v>
      </c>
      <c r="G4049" s="154">
        <v>0.0</v>
      </c>
      <c r="H4049" s="156">
        <v>0.0</v>
      </c>
      <c r="I4049" s="154">
        <v>0.0</v>
      </c>
      <c r="J4049" s="156">
        <v>0.0</v>
      </c>
      <c r="K4049" s="154" t="s">
        <v>206</v>
      </c>
    </row>
    <row r="4050">
      <c r="A4050" s="154" t="s">
        <v>8881</v>
      </c>
      <c r="B4050" s="154" t="s">
        <v>8882</v>
      </c>
      <c r="D4050" s="154">
        <v>2.0</v>
      </c>
      <c r="E4050" s="154" t="s">
        <v>761</v>
      </c>
      <c r="F4050" s="154" t="s">
        <v>8883</v>
      </c>
      <c r="G4050" s="154">
        <v>5.0656391E8</v>
      </c>
      <c r="H4050" s="156">
        <v>0.0</v>
      </c>
      <c r="I4050" s="154">
        <v>5.0656391E8</v>
      </c>
      <c r="J4050" s="156">
        <v>0.0</v>
      </c>
      <c r="K4050" s="154" t="s">
        <v>361</v>
      </c>
    </row>
    <row r="4051">
      <c r="A4051" s="154" t="s">
        <v>8881</v>
      </c>
      <c r="B4051" s="155"/>
      <c r="C4051" s="154" t="s">
        <v>8884</v>
      </c>
      <c r="D4051" s="155"/>
      <c r="E4051" s="155"/>
      <c r="F4051" s="154" t="s">
        <v>8883</v>
      </c>
      <c r="G4051" s="154">
        <v>5.0656391E8</v>
      </c>
      <c r="H4051" s="156">
        <v>0.0</v>
      </c>
      <c r="I4051" s="154">
        <v>5.0656391E8</v>
      </c>
      <c r="J4051" s="156">
        <v>0.0</v>
      </c>
      <c r="K4051" s="154" t="s">
        <v>361</v>
      </c>
    </row>
    <row r="4052">
      <c r="A4052" s="154" t="s">
        <v>8885</v>
      </c>
      <c r="B4052" s="155"/>
      <c r="C4052" s="154" t="s">
        <v>8886</v>
      </c>
      <c r="D4052" s="155"/>
      <c r="E4052" s="155"/>
      <c r="F4052" s="154" t="s">
        <v>1619</v>
      </c>
      <c r="G4052" s="154">
        <v>4.3903333E7</v>
      </c>
      <c r="H4052" s="154" t="s">
        <v>1620</v>
      </c>
      <c r="I4052" s="156">
        <v>0.0</v>
      </c>
      <c r="J4052" s="156">
        <v>0.0</v>
      </c>
      <c r="K4052" s="156">
        <v>0.0</v>
      </c>
    </row>
    <row r="4053">
      <c r="A4053" s="154" t="s">
        <v>8885</v>
      </c>
      <c r="B4053" s="154" t="s">
        <v>8887</v>
      </c>
      <c r="D4053" s="154">
        <v>2.0</v>
      </c>
      <c r="E4053" s="154" t="s">
        <v>761</v>
      </c>
      <c r="F4053" s="154" t="s">
        <v>8888</v>
      </c>
      <c r="G4053" s="156">
        <v>0.0</v>
      </c>
      <c r="H4053" s="156">
        <v>0.0</v>
      </c>
      <c r="I4053" s="154">
        <v>0.0</v>
      </c>
      <c r="J4053" s="156">
        <v>0.0</v>
      </c>
      <c r="K4053" s="154" t="s">
        <v>6852</v>
      </c>
    </row>
    <row r="4054">
      <c r="A4054" s="154" t="s">
        <v>8889</v>
      </c>
      <c r="B4054" s="155"/>
      <c r="C4054" s="154" t="s">
        <v>8890</v>
      </c>
      <c r="D4054" s="155"/>
      <c r="E4054" s="155"/>
      <c r="F4054" s="154" t="s">
        <v>8891</v>
      </c>
      <c r="G4054" s="154">
        <v>4.4082462E7</v>
      </c>
      <c r="H4054" s="156">
        <v>0.0</v>
      </c>
      <c r="I4054" s="154">
        <v>5.08427786E8</v>
      </c>
      <c r="J4054" s="156">
        <v>0.0</v>
      </c>
      <c r="K4054" s="154" t="s">
        <v>361</v>
      </c>
    </row>
    <row r="4055">
      <c r="A4055" s="154" t="s">
        <v>8889</v>
      </c>
      <c r="B4055" s="154" t="s">
        <v>8892</v>
      </c>
      <c r="D4055" s="154">
        <v>2.0</v>
      </c>
      <c r="E4055" s="154" t="s">
        <v>761</v>
      </c>
      <c r="F4055" s="154" t="s">
        <v>8891</v>
      </c>
      <c r="G4055" s="154">
        <v>4.4082462E7</v>
      </c>
      <c r="H4055" s="156">
        <v>0.0</v>
      </c>
      <c r="I4055" s="154">
        <v>5.08427786E8</v>
      </c>
      <c r="J4055" s="156">
        <v>0.0</v>
      </c>
      <c r="K4055" s="154" t="s">
        <v>361</v>
      </c>
    </row>
    <row r="4056">
      <c r="A4056" s="154" t="s">
        <v>8893</v>
      </c>
      <c r="B4056" s="154" t="s">
        <v>8894</v>
      </c>
      <c r="D4056" s="154">
        <v>2.0</v>
      </c>
      <c r="E4056" s="154" t="s">
        <v>761</v>
      </c>
      <c r="F4056" s="154" t="s">
        <v>8895</v>
      </c>
      <c r="G4056" s="154">
        <v>5.03430954E8</v>
      </c>
      <c r="H4056" s="154" t="s">
        <v>8896</v>
      </c>
      <c r="I4056" s="154" t="s">
        <v>8897</v>
      </c>
      <c r="J4056" s="156">
        <v>0.0</v>
      </c>
      <c r="K4056" s="154" t="s">
        <v>760</v>
      </c>
    </row>
    <row r="4057">
      <c r="A4057" s="154" t="s">
        <v>8893</v>
      </c>
      <c r="B4057" s="155"/>
      <c r="C4057" s="154" t="s">
        <v>8898</v>
      </c>
      <c r="D4057" s="155"/>
      <c r="E4057" s="155"/>
      <c r="F4057" s="154" t="s">
        <v>8895</v>
      </c>
      <c r="G4057" s="154">
        <v>5.03430954E8</v>
      </c>
      <c r="H4057" s="154" t="s">
        <v>8896</v>
      </c>
      <c r="I4057" s="154" t="s">
        <v>8897</v>
      </c>
      <c r="J4057" s="156">
        <v>0.0</v>
      </c>
      <c r="K4057" s="154" t="s">
        <v>760</v>
      </c>
    </row>
    <row r="4058">
      <c r="A4058" s="154" t="s">
        <v>8899</v>
      </c>
      <c r="B4058" s="154" t="s">
        <v>8900</v>
      </c>
      <c r="D4058" s="154">
        <v>2.0</v>
      </c>
      <c r="E4058" s="154" t="s">
        <v>761</v>
      </c>
      <c r="F4058" s="154" t="s">
        <v>8901</v>
      </c>
      <c r="G4058" s="154" t="s">
        <v>8902</v>
      </c>
      <c r="H4058" s="156">
        <v>0.0</v>
      </c>
      <c r="I4058" s="154">
        <v>9.7150644038E11</v>
      </c>
      <c r="J4058" s="156">
        <v>0.0</v>
      </c>
      <c r="K4058" s="154" t="s">
        <v>361</v>
      </c>
    </row>
    <row r="4059">
      <c r="A4059" s="154" t="s">
        <v>8899</v>
      </c>
      <c r="B4059" s="155"/>
      <c r="C4059" s="154" t="s">
        <v>8903</v>
      </c>
      <c r="D4059" s="155"/>
      <c r="E4059" s="155"/>
      <c r="F4059" s="154" t="s">
        <v>8901</v>
      </c>
      <c r="G4059" s="154" t="s">
        <v>8902</v>
      </c>
      <c r="H4059" s="156">
        <v>0.0</v>
      </c>
      <c r="I4059" s="154">
        <v>9.7150644038E11</v>
      </c>
      <c r="J4059" s="156">
        <v>0.0</v>
      </c>
      <c r="K4059" s="154" t="s">
        <v>361</v>
      </c>
    </row>
    <row r="4060">
      <c r="A4060" s="154" t="s">
        <v>8904</v>
      </c>
      <c r="B4060" s="155"/>
      <c r="C4060" s="154" t="s">
        <v>8905</v>
      </c>
      <c r="D4060" s="155"/>
      <c r="E4060" s="155"/>
      <c r="F4060" s="154" t="s">
        <v>8906</v>
      </c>
      <c r="G4060" s="154">
        <v>4.228808E7</v>
      </c>
      <c r="H4060" s="156">
        <v>0.0</v>
      </c>
      <c r="I4060" s="154">
        <v>9.71504508455E11</v>
      </c>
      <c r="J4060" s="156">
        <v>0.0</v>
      </c>
      <c r="K4060" s="154" t="s">
        <v>361</v>
      </c>
    </row>
    <row r="4061">
      <c r="A4061" s="154" t="s">
        <v>8904</v>
      </c>
      <c r="B4061" s="154" t="s">
        <v>8907</v>
      </c>
      <c r="D4061" s="154">
        <v>2.0</v>
      </c>
      <c r="E4061" s="154" t="s">
        <v>761</v>
      </c>
      <c r="F4061" s="154" t="s">
        <v>8906</v>
      </c>
      <c r="G4061" s="154">
        <v>4.228808E7</v>
      </c>
      <c r="H4061" s="156">
        <v>0.0</v>
      </c>
      <c r="I4061" s="154">
        <v>9.71504508455E11</v>
      </c>
      <c r="J4061" s="156">
        <v>0.0</v>
      </c>
      <c r="K4061" s="154" t="s">
        <v>361</v>
      </c>
    </row>
    <row r="4062">
      <c r="A4062" s="154" t="s">
        <v>8908</v>
      </c>
      <c r="B4062" s="155"/>
      <c r="C4062" s="154" t="s">
        <v>8909</v>
      </c>
      <c r="D4062" s="155"/>
      <c r="E4062" s="155"/>
      <c r="F4062" s="154" t="s">
        <v>8910</v>
      </c>
      <c r="G4062" s="154">
        <v>5.065184984E9</v>
      </c>
      <c r="H4062" s="156">
        <v>0.0</v>
      </c>
      <c r="I4062" s="156">
        <v>0.0</v>
      </c>
      <c r="J4062" s="156">
        <v>0.0</v>
      </c>
      <c r="K4062" s="154" t="s">
        <v>361</v>
      </c>
    </row>
    <row r="4063">
      <c r="A4063" s="154" t="s">
        <v>8908</v>
      </c>
      <c r="B4063" s="154" t="s">
        <v>8911</v>
      </c>
      <c r="D4063" s="154">
        <v>2.0</v>
      </c>
      <c r="E4063" s="154" t="s">
        <v>761</v>
      </c>
      <c r="F4063" s="154" t="s">
        <v>8910</v>
      </c>
      <c r="G4063" s="154">
        <v>5.065184984E9</v>
      </c>
      <c r="H4063" s="156">
        <v>0.0</v>
      </c>
      <c r="I4063" s="156">
        <v>0.0</v>
      </c>
      <c r="J4063" s="156">
        <v>0.0</v>
      </c>
      <c r="K4063" s="154" t="s">
        <v>361</v>
      </c>
    </row>
    <row r="4064">
      <c r="A4064" s="154" t="s">
        <v>8912</v>
      </c>
      <c r="B4064" s="155"/>
      <c r="C4064" s="154" t="s">
        <v>8913</v>
      </c>
      <c r="D4064" s="155"/>
      <c r="E4064" s="155"/>
      <c r="F4064" s="154" t="s">
        <v>8914</v>
      </c>
      <c r="G4064" s="154">
        <v>5.58299602E8</v>
      </c>
      <c r="H4064" s="156">
        <v>0.0</v>
      </c>
      <c r="I4064" s="154">
        <v>5.58299602E8</v>
      </c>
      <c r="J4064" s="156">
        <v>0.0</v>
      </c>
      <c r="K4064" s="154" t="s">
        <v>259</v>
      </c>
    </row>
    <row r="4065">
      <c r="A4065" s="154" t="s">
        <v>8912</v>
      </c>
      <c r="B4065" s="154" t="s">
        <v>8915</v>
      </c>
      <c r="D4065" s="154">
        <v>2.0</v>
      </c>
      <c r="E4065" s="154" t="s">
        <v>761</v>
      </c>
      <c r="F4065" s="154" t="s">
        <v>8914</v>
      </c>
      <c r="G4065" s="154">
        <v>5.58299602E8</v>
      </c>
      <c r="H4065" s="156">
        <v>0.0</v>
      </c>
      <c r="I4065" s="154">
        <v>5.58299602E8</v>
      </c>
      <c r="J4065" s="156">
        <v>0.0</v>
      </c>
      <c r="K4065" s="154" t="s">
        <v>259</v>
      </c>
    </row>
    <row r="4066">
      <c r="A4066" s="154" t="s">
        <v>8916</v>
      </c>
      <c r="B4066" s="154" t="s">
        <v>8917</v>
      </c>
      <c r="D4066" s="154">
        <v>2.0</v>
      </c>
      <c r="E4066" s="154" t="s">
        <v>761</v>
      </c>
      <c r="F4066" s="154" t="s">
        <v>8918</v>
      </c>
      <c r="G4066" s="156">
        <v>0.0</v>
      </c>
      <c r="H4066" s="156">
        <v>0.0</v>
      </c>
      <c r="I4066" s="154" t="s">
        <v>1692</v>
      </c>
      <c r="J4066" s="156">
        <v>0.0</v>
      </c>
      <c r="K4066" s="154" t="s">
        <v>259</v>
      </c>
    </row>
    <row r="4067">
      <c r="A4067" s="154" t="s">
        <v>8916</v>
      </c>
      <c r="B4067" s="155"/>
      <c r="C4067" s="154" t="s">
        <v>8919</v>
      </c>
      <c r="D4067" s="155"/>
      <c r="E4067" s="155"/>
      <c r="F4067" s="154" t="s">
        <v>8918</v>
      </c>
      <c r="G4067" s="156">
        <v>0.0</v>
      </c>
      <c r="H4067" s="156">
        <v>0.0</v>
      </c>
      <c r="I4067" s="154" t="s">
        <v>1692</v>
      </c>
      <c r="J4067" s="156">
        <v>0.0</v>
      </c>
      <c r="K4067" s="154" t="s">
        <v>259</v>
      </c>
    </row>
    <row r="4068">
      <c r="A4068" s="154" t="s">
        <v>8920</v>
      </c>
      <c r="B4068" s="155"/>
      <c r="C4068" s="154" t="s">
        <v>8921</v>
      </c>
      <c r="D4068" s="155"/>
      <c r="E4068" s="155"/>
      <c r="F4068" s="154" t="s">
        <v>8922</v>
      </c>
      <c r="G4068" s="156">
        <v>0.0</v>
      </c>
      <c r="H4068" s="156">
        <v>0.0</v>
      </c>
      <c r="I4068" s="154" t="s">
        <v>8923</v>
      </c>
      <c r="J4068" s="154" t="s">
        <v>8924</v>
      </c>
      <c r="K4068" s="154" t="s">
        <v>223</v>
      </c>
    </row>
    <row r="4069">
      <c r="A4069" s="154" t="s">
        <v>8920</v>
      </c>
      <c r="B4069" s="154" t="s">
        <v>8925</v>
      </c>
      <c r="D4069" s="154">
        <v>2.0</v>
      </c>
      <c r="E4069" s="154" t="s">
        <v>761</v>
      </c>
      <c r="F4069" s="154" t="s">
        <v>8922</v>
      </c>
      <c r="G4069" s="156">
        <v>0.0</v>
      </c>
      <c r="H4069" s="156">
        <v>0.0</v>
      </c>
      <c r="I4069" s="154" t="s">
        <v>8923</v>
      </c>
      <c r="J4069" s="154" t="s">
        <v>8924</v>
      </c>
      <c r="K4069" s="154" t="s">
        <v>223</v>
      </c>
    </row>
    <row r="4070">
      <c r="A4070" s="154" t="s">
        <v>8926</v>
      </c>
      <c r="B4070" s="155"/>
      <c r="C4070" s="154" t="s">
        <v>8927</v>
      </c>
      <c r="D4070" s="155"/>
      <c r="E4070" s="155"/>
      <c r="F4070" s="154" t="s">
        <v>8928</v>
      </c>
      <c r="G4070" s="156">
        <v>0.0</v>
      </c>
      <c r="H4070" s="154" t="s">
        <v>8929</v>
      </c>
      <c r="I4070" s="154" t="s">
        <v>8930</v>
      </c>
      <c r="J4070" s="156">
        <v>0.0</v>
      </c>
      <c r="K4070" s="154" t="s">
        <v>1059</v>
      </c>
    </row>
    <row r="4071">
      <c r="A4071" s="154" t="s">
        <v>8926</v>
      </c>
      <c r="B4071" s="154" t="s">
        <v>8931</v>
      </c>
      <c r="D4071" s="154">
        <v>2.0</v>
      </c>
      <c r="E4071" s="154" t="s">
        <v>761</v>
      </c>
      <c r="F4071" s="154" t="s">
        <v>8928</v>
      </c>
      <c r="G4071" s="156">
        <v>0.0</v>
      </c>
      <c r="H4071" s="154" t="s">
        <v>8929</v>
      </c>
      <c r="I4071" s="154" t="s">
        <v>8930</v>
      </c>
      <c r="J4071" s="156">
        <v>0.0</v>
      </c>
      <c r="K4071" s="154" t="s">
        <v>1059</v>
      </c>
    </row>
    <row r="4072">
      <c r="A4072" s="154" t="s">
        <v>8932</v>
      </c>
      <c r="B4072" s="154" t="s">
        <v>8933</v>
      </c>
      <c r="D4072" s="154">
        <v>2.0</v>
      </c>
      <c r="E4072" s="154" t="s">
        <v>761</v>
      </c>
      <c r="F4072" s="154" t="s">
        <v>8934</v>
      </c>
      <c r="G4072" s="154">
        <v>9.2300828143E11</v>
      </c>
      <c r="H4072" s="156">
        <v>0.0</v>
      </c>
      <c r="I4072" s="156">
        <v>0.0</v>
      </c>
      <c r="J4072" s="156">
        <v>0.0</v>
      </c>
      <c r="K4072" s="154" t="s">
        <v>760</v>
      </c>
    </row>
    <row r="4073">
      <c r="A4073" s="154" t="s">
        <v>8932</v>
      </c>
      <c r="B4073" s="155"/>
      <c r="C4073" s="154" t="s">
        <v>8935</v>
      </c>
      <c r="D4073" s="155"/>
      <c r="E4073" s="155"/>
      <c r="F4073" s="154" t="s">
        <v>1619</v>
      </c>
      <c r="G4073" s="154">
        <v>4.3903333E7</v>
      </c>
      <c r="H4073" s="154" t="s">
        <v>1620</v>
      </c>
      <c r="I4073" s="156">
        <v>0.0</v>
      </c>
      <c r="J4073" s="156">
        <v>0.0</v>
      </c>
      <c r="K4073" s="156">
        <v>0.0</v>
      </c>
    </row>
    <row r="4074">
      <c r="A4074" s="154" t="s">
        <v>8936</v>
      </c>
      <c r="B4074" s="155"/>
      <c r="C4074" s="154" t="s">
        <v>8937</v>
      </c>
      <c r="D4074" s="155"/>
      <c r="E4074" s="155"/>
      <c r="F4074" s="154" t="s">
        <v>8938</v>
      </c>
      <c r="G4074" s="156">
        <v>0.0</v>
      </c>
      <c r="H4074" s="154" t="s">
        <v>8939</v>
      </c>
      <c r="I4074" s="154">
        <v>4.47957652155E11</v>
      </c>
      <c r="J4074" s="156">
        <v>0.0</v>
      </c>
      <c r="K4074" s="154" t="s">
        <v>1731</v>
      </c>
    </row>
    <row r="4075">
      <c r="A4075" s="154" t="s">
        <v>8936</v>
      </c>
      <c r="B4075" s="154" t="s">
        <v>8940</v>
      </c>
      <c r="D4075" s="154">
        <v>2.0</v>
      </c>
      <c r="E4075" s="154" t="s">
        <v>761</v>
      </c>
      <c r="F4075" s="154" t="s">
        <v>8938</v>
      </c>
      <c r="G4075" s="156">
        <v>0.0</v>
      </c>
      <c r="H4075" s="154" t="s">
        <v>8939</v>
      </c>
      <c r="I4075" s="154">
        <v>4.47957652155E11</v>
      </c>
      <c r="J4075" s="156">
        <v>0.0</v>
      </c>
      <c r="K4075" s="154" t="s">
        <v>1731</v>
      </c>
    </row>
    <row r="4076">
      <c r="A4076" s="154" t="s">
        <v>8941</v>
      </c>
      <c r="B4076" s="154" t="s">
        <v>8942</v>
      </c>
      <c r="D4076" s="154">
        <v>2.0</v>
      </c>
      <c r="E4076" s="154" t="s">
        <v>761</v>
      </c>
      <c r="F4076" s="154" t="s">
        <v>8943</v>
      </c>
      <c r="G4076" s="154">
        <v>1.0</v>
      </c>
      <c r="H4076" s="156">
        <v>0.0</v>
      </c>
      <c r="I4076" s="154">
        <v>5.02882501E8</v>
      </c>
      <c r="J4076" s="156">
        <v>0.0</v>
      </c>
      <c r="K4076" s="154" t="s">
        <v>259</v>
      </c>
    </row>
    <row r="4077">
      <c r="A4077" s="154" t="s">
        <v>8941</v>
      </c>
      <c r="B4077" s="155"/>
      <c r="C4077" s="154" t="s">
        <v>8944</v>
      </c>
      <c r="D4077" s="155"/>
      <c r="E4077" s="155"/>
      <c r="F4077" s="154" t="s">
        <v>8943</v>
      </c>
      <c r="G4077" s="154">
        <v>1.0</v>
      </c>
      <c r="H4077" s="156">
        <v>0.0</v>
      </c>
      <c r="I4077" s="154">
        <v>5.02882501E8</v>
      </c>
      <c r="J4077" s="156">
        <v>0.0</v>
      </c>
      <c r="K4077" s="154" t="s">
        <v>259</v>
      </c>
    </row>
    <row r="4078">
      <c r="A4078" s="154" t="s">
        <v>8945</v>
      </c>
      <c r="B4078" s="154" t="s">
        <v>8946</v>
      </c>
      <c r="D4078" s="154">
        <v>2.0</v>
      </c>
      <c r="E4078" s="154" t="s">
        <v>761</v>
      </c>
      <c r="F4078" s="154" t="s">
        <v>8947</v>
      </c>
      <c r="G4078" s="156">
        <v>0.0</v>
      </c>
      <c r="H4078" s="156">
        <v>0.0</v>
      </c>
      <c r="I4078" s="154" t="s">
        <v>8948</v>
      </c>
      <c r="J4078" s="154" t="s">
        <v>8949</v>
      </c>
      <c r="K4078" s="154" t="s">
        <v>329</v>
      </c>
    </row>
    <row r="4079">
      <c r="A4079" s="154" t="s">
        <v>8945</v>
      </c>
      <c r="B4079" s="155"/>
      <c r="C4079" s="154" t="s">
        <v>8950</v>
      </c>
      <c r="D4079" s="155"/>
      <c r="E4079" s="155"/>
      <c r="F4079" s="154" t="s">
        <v>8947</v>
      </c>
      <c r="G4079" s="156">
        <v>0.0</v>
      </c>
      <c r="H4079" s="156">
        <v>0.0</v>
      </c>
      <c r="I4079" s="154" t="s">
        <v>8948</v>
      </c>
      <c r="J4079" s="154" t="s">
        <v>8949</v>
      </c>
      <c r="K4079" s="154" t="s">
        <v>329</v>
      </c>
    </row>
    <row r="4080">
      <c r="A4080" s="154" t="s">
        <v>8951</v>
      </c>
      <c r="B4080" s="154" t="s">
        <v>8952</v>
      </c>
      <c r="D4080" s="154">
        <v>2.0</v>
      </c>
      <c r="E4080" s="154" t="s">
        <v>761</v>
      </c>
      <c r="F4080" s="154" t="s">
        <v>8953</v>
      </c>
      <c r="G4080" s="154">
        <v>4.4321551E7</v>
      </c>
      <c r="H4080" s="156">
        <v>0.0</v>
      </c>
      <c r="I4080" s="154">
        <v>5.04433185E8</v>
      </c>
      <c r="J4080" s="156">
        <v>0.0</v>
      </c>
      <c r="K4080" s="154" t="s">
        <v>329</v>
      </c>
    </row>
    <row r="4081">
      <c r="A4081" s="154" t="s">
        <v>8951</v>
      </c>
      <c r="B4081" s="155"/>
      <c r="C4081" s="154" t="s">
        <v>8954</v>
      </c>
      <c r="D4081" s="155"/>
      <c r="E4081" s="155"/>
      <c r="F4081" s="154" t="s">
        <v>8953</v>
      </c>
      <c r="G4081" s="154">
        <v>4.4321551E7</v>
      </c>
      <c r="H4081" s="156">
        <v>0.0</v>
      </c>
      <c r="I4081" s="154">
        <v>5.04433185E8</v>
      </c>
      <c r="J4081" s="156">
        <v>0.0</v>
      </c>
      <c r="K4081" s="154" t="s">
        <v>329</v>
      </c>
    </row>
    <row r="4082">
      <c r="A4082" s="154" t="s">
        <v>8955</v>
      </c>
      <c r="B4082" s="154" t="s">
        <v>8956</v>
      </c>
      <c r="D4082" s="154">
        <v>2.0</v>
      </c>
      <c r="E4082" s="154" t="s">
        <v>761</v>
      </c>
      <c r="F4082" s="154" t="s">
        <v>8957</v>
      </c>
      <c r="G4082" s="156">
        <v>0.0</v>
      </c>
      <c r="H4082" s="154" t="s">
        <v>8958</v>
      </c>
      <c r="I4082" s="154">
        <v>5.06242011E8</v>
      </c>
      <c r="J4082" s="156">
        <v>0.0</v>
      </c>
      <c r="K4082" s="154" t="s">
        <v>1465</v>
      </c>
    </row>
    <row r="4083">
      <c r="A4083" s="154" t="s">
        <v>8955</v>
      </c>
      <c r="B4083" s="155"/>
      <c r="C4083" s="154" t="s">
        <v>8959</v>
      </c>
      <c r="D4083" s="155"/>
      <c r="E4083" s="155"/>
      <c r="F4083" s="154" t="s">
        <v>8957</v>
      </c>
      <c r="G4083" s="156">
        <v>0.0</v>
      </c>
      <c r="H4083" s="154" t="s">
        <v>8958</v>
      </c>
      <c r="I4083" s="154">
        <v>5.06242011E8</v>
      </c>
      <c r="J4083" s="156">
        <v>0.0</v>
      </c>
      <c r="K4083" s="154" t="s">
        <v>1465</v>
      </c>
    </row>
    <row r="4084">
      <c r="A4084" s="154" t="s">
        <v>8960</v>
      </c>
      <c r="B4084" s="154" t="s">
        <v>8961</v>
      </c>
      <c r="D4084" s="154">
        <v>2.0</v>
      </c>
      <c r="E4084" s="154" t="s">
        <v>761</v>
      </c>
      <c r="F4084" s="154" t="s">
        <v>792</v>
      </c>
      <c r="G4084" s="154" t="s">
        <v>793</v>
      </c>
      <c r="H4084" s="154" t="s">
        <v>794</v>
      </c>
      <c r="I4084" s="156">
        <v>0.0</v>
      </c>
      <c r="J4084" s="156">
        <v>0.0</v>
      </c>
      <c r="K4084" s="156">
        <v>0.0</v>
      </c>
    </row>
    <row r="4085">
      <c r="A4085" s="154" t="s">
        <v>8960</v>
      </c>
      <c r="B4085" s="155"/>
      <c r="C4085" s="154" t="s">
        <v>8962</v>
      </c>
      <c r="D4085" s="155"/>
      <c r="E4085" s="155"/>
      <c r="F4085" s="154" t="s">
        <v>792</v>
      </c>
      <c r="G4085" s="154" t="s">
        <v>793</v>
      </c>
      <c r="H4085" s="154" t="s">
        <v>794</v>
      </c>
      <c r="I4085" s="156">
        <v>0.0</v>
      </c>
      <c r="J4085" s="156">
        <v>0.0</v>
      </c>
      <c r="K4085" s="156">
        <v>0.0</v>
      </c>
    </row>
    <row r="4086">
      <c r="A4086" s="154" t="s">
        <v>8963</v>
      </c>
      <c r="B4086" s="155"/>
      <c r="C4086" s="154" t="s">
        <v>8964</v>
      </c>
      <c r="D4086" s="155"/>
      <c r="E4086" s="155"/>
      <c r="F4086" s="154" t="s">
        <v>7808</v>
      </c>
      <c r="G4086" s="154">
        <v>4.4212599E7</v>
      </c>
      <c r="H4086" s="154" t="s">
        <v>7809</v>
      </c>
      <c r="I4086" s="154">
        <v>9.71506318995E11</v>
      </c>
      <c r="J4086" s="156">
        <v>0.0</v>
      </c>
      <c r="K4086" s="154" t="s">
        <v>259</v>
      </c>
    </row>
    <row r="4087">
      <c r="A4087" s="154" t="s">
        <v>8963</v>
      </c>
      <c r="B4087" s="154" t="s">
        <v>8965</v>
      </c>
      <c r="D4087" s="154">
        <v>2.0</v>
      </c>
      <c r="E4087" s="154" t="s">
        <v>761</v>
      </c>
      <c r="F4087" s="154" t="s">
        <v>7808</v>
      </c>
      <c r="G4087" s="154">
        <v>4.4212599E7</v>
      </c>
      <c r="H4087" s="154" t="s">
        <v>7809</v>
      </c>
      <c r="I4087" s="154">
        <v>9.71506318995E11</v>
      </c>
      <c r="J4087" s="156">
        <v>0.0</v>
      </c>
      <c r="K4087" s="154" t="s">
        <v>259</v>
      </c>
    </row>
    <row r="4088">
      <c r="A4088" s="154" t="s">
        <v>8966</v>
      </c>
      <c r="B4088" s="154" t="s">
        <v>8967</v>
      </c>
      <c r="D4088" s="154">
        <v>2.0</v>
      </c>
      <c r="E4088" s="154" t="s">
        <v>761</v>
      </c>
      <c r="F4088" s="154" t="s">
        <v>8968</v>
      </c>
      <c r="G4088" s="156">
        <v>0.0</v>
      </c>
      <c r="H4088" s="154" t="s">
        <v>8969</v>
      </c>
      <c r="I4088" s="154" t="s">
        <v>8970</v>
      </c>
      <c r="J4088" s="154" t="s">
        <v>8971</v>
      </c>
      <c r="K4088" s="154" t="s">
        <v>206</v>
      </c>
    </row>
    <row r="4089">
      <c r="A4089" s="154" t="s">
        <v>8966</v>
      </c>
      <c r="B4089" s="155"/>
      <c r="C4089" s="154" t="s">
        <v>8972</v>
      </c>
      <c r="D4089" s="155"/>
      <c r="E4089" s="155"/>
      <c r="F4089" s="154" t="s">
        <v>8968</v>
      </c>
      <c r="G4089" s="156">
        <v>0.0</v>
      </c>
      <c r="H4089" s="154" t="s">
        <v>8973</v>
      </c>
      <c r="I4089" s="154" t="s">
        <v>8970</v>
      </c>
      <c r="J4089" s="156">
        <v>0.0</v>
      </c>
      <c r="K4089" s="154" t="s">
        <v>206</v>
      </c>
    </row>
    <row r="4090">
      <c r="A4090" s="154" t="s">
        <v>8974</v>
      </c>
      <c r="B4090" s="155"/>
      <c r="C4090" s="154" t="s">
        <v>8975</v>
      </c>
      <c r="D4090" s="155"/>
      <c r="E4090" s="155"/>
      <c r="F4090" s="154" t="s">
        <v>8976</v>
      </c>
      <c r="G4090" s="156">
        <v>0.0</v>
      </c>
      <c r="H4090" s="154" t="s">
        <v>8977</v>
      </c>
      <c r="I4090" s="154">
        <v>5.58897673E8</v>
      </c>
      <c r="J4090" s="156">
        <v>0.0</v>
      </c>
      <c r="K4090" s="154" t="s">
        <v>939</v>
      </c>
    </row>
    <row r="4091">
      <c r="A4091" s="154" t="s">
        <v>8974</v>
      </c>
      <c r="B4091" s="154" t="s">
        <v>8978</v>
      </c>
      <c r="D4091" s="154">
        <v>2.0</v>
      </c>
      <c r="E4091" s="154" t="s">
        <v>761</v>
      </c>
      <c r="F4091" s="154" t="s">
        <v>8976</v>
      </c>
      <c r="G4091" s="156">
        <v>0.0</v>
      </c>
      <c r="H4091" s="154" t="s">
        <v>8977</v>
      </c>
      <c r="I4091" s="154">
        <v>5.58897673E8</v>
      </c>
      <c r="J4091" s="156">
        <v>0.0</v>
      </c>
      <c r="K4091" s="154" t="s">
        <v>939</v>
      </c>
    </row>
    <row r="4092">
      <c r="A4092" s="154" t="s">
        <v>8979</v>
      </c>
      <c r="B4092" s="154" t="s">
        <v>8980</v>
      </c>
      <c r="D4092" s="154">
        <v>2.0</v>
      </c>
      <c r="E4092" s="154" t="s">
        <v>761</v>
      </c>
      <c r="F4092" s="154" t="s">
        <v>8976</v>
      </c>
      <c r="G4092" s="156">
        <v>0.0</v>
      </c>
      <c r="H4092" s="154" t="s">
        <v>8977</v>
      </c>
      <c r="I4092" s="154">
        <v>5.58897673E8</v>
      </c>
      <c r="J4092" s="156">
        <v>0.0</v>
      </c>
      <c r="K4092" s="154" t="s">
        <v>939</v>
      </c>
    </row>
    <row r="4093">
      <c r="A4093" s="154" t="s">
        <v>8979</v>
      </c>
      <c r="B4093" s="155"/>
      <c r="C4093" s="154" t="s">
        <v>8981</v>
      </c>
      <c r="D4093" s="155"/>
      <c r="E4093" s="155"/>
      <c r="F4093" s="154" t="s">
        <v>8976</v>
      </c>
      <c r="G4093" s="156">
        <v>0.0</v>
      </c>
      <c r="H4093" s="154" t="s">
        <v>8977</v>
      </c>
      <c r="I4093" s="154">
        <v>5.58897673E8</v>
      </c>
      <c r="J4093" s="156">
        <v>0.0</v>
      </c>
      <c r="K4093" s="154" t="s">
        <v>939</v>
      </c>
    </row>
    <row r="4094">
      <c r="A4094" s="154" t="s">
        <v>8982</v>
      </c>
      <c r="B4094" s="155"/>
      <c r="C4094" s="154" t="s">
        <v>8983</v>
      </c>
      <c r="D4094" s="155"/>
      <c r="E4094" s="155"/>
      <c r="F4094" s="154" t="s">
        <v>8984</v>
      </c>
      <c r="G4094" s="154">
        <v>34.0</v>
      </c>
      <c r="H4094" s="154" t="s">
        <v>8985</v>
      </c>
      <c r="I4094" s="154">
        <v>5.53550558E8</v>
      </c>
      <c r="J4094" s="156">
        <v>0.0</v>
      </c>
      <c r="K4094" s="154" t="s">
        <v>259</v>
      </c>
    </row>
    <row r="4095">
      <c r="A4095" s="154" t="s">
        <v>8982</v>
      </c>
      <c r="B4095" s="154" t="s">
        <v>8986</v>
      </c>
      <c r="D4095" s="154">
        <v>2.0</v>
      </c>
      <c r="E4095" s="154" t="s">
        <v>761</v>
      </c>
      <c r="F4095" s="154" t="s">
        <v>8984</v>
      </c>
      <c r="G4095" s="154">
        <v>34.0</v>
      </c>
      <c r="H4095" s="154" t="s">
        <v>8985</v>
      </c>
      <c r="I4095" s="154">
        <v>5.53550558E8</v>
      </c>
      <c r="J4095" s="156">
        <v>0.0</v>
      </c>
      <c r="K4095" s="154" t="s">
        <v>259</v>
      </c>
    </row>
    <row r="4096">
      <c r="A4096" s="154" t="s">
        <v>8987</v>
      </c>
      <c r="B4096" s="154" t="s">
        <v>8988</v>
      </c>
      <c r="D4096" s="154">
        <v>2.0</v>
      </c>
      <c r="E4096" s="154" t="s">
        <v>761</v>
      </c>
      <c r="F4096" s="154" t="s">
        <v>8989</v>
      </c>
      <c r="G4096" s="154">
        <v>5.6701634E8</v>
      </c>
      <c r="H4096" s="156">
        <v>0.0</v>
      </c>
      <c r="I4096" s="154" t="s">
        <v>335</v>
      </c>
      <c r="J4096" s="156">
        <v>0.0</v>
      </c>
      <c r="K4096" s="154" t="s">
        <v>760</v>
      </c>
    </row>
    <row r="4097">
      <c r="A4097" s="154" t="s">
        <v>8987</v>
      </c>
      <c r="B4097" s="155"/>
      <c r="C4097" s="154" t="s">
        <v>8990</v>
      </c>
      <c r="D4097" s="155"/>
      <c r="E4097" s="155"/>
      <c r="F4097" s="154" t="s">
        <v>8989</v>
      </c>
      <c r="G4097" s="154">
        <v>5.6701634E8</v>
      </c>
      <c r="H4097" s="156">
        <v>0.0</v>
      </c>
      <c r="I4097" s="154" t="s">
        <v>335</v>
      </c>
      <c r="J4097" s="156">
        <v>0.0</v>
      </c>
      <c r="K4097" s="154" t="s">
        <v>760</v>
      </c>
    </row>
    <row r="4098">
      <c r="A4098" s="154" t="s">
        <v>8991</v>
      </c>
      <c r="B4098" s="154" t="s">
        <v>8992</v>
      </c>
      <c r="D4098" s="154">
        <v>2.0</v>
      </c>
      <c r="E4098" s="154" t="s">
        <v>761</v>
      </c>
      <c r="F4098" s="154" t="s">
        <v>8993</v>
      </c>
      <c r="G4098" s="154">
        <v>4.8827762E7</v>
      </c>
      <c r="H4098" s="154" t="s">
        <v>8994</v>
      </c>
      <c r="I4098" s="154">
        <v>5.0450647E8</v>
      </c>
      <c r="J4098" s="156">
        <v>0.0</v>
      </c>
      <c r="K4098" s="154" t="s">
        <v>361</v>
      </c>
    </row>
    <row r="4099">
      <c r="A4099" s="154" t="s">
        <v>8991</v>
      </c>
      <c r="B4099" s="155"/>
      <c r="C4099" s="154" t="s">
        <v>8995</v>
      </c>
      <c r="D4099" s="155"/>
      <c r="E4099" s="155"/>
      <c r="F4099" s="154" t="s">
        <v>8996</v>
      </c>
      <c r="G4099" s="154">
        <v>4.8827762E7</v>
      </c>
      <c r="H4099" s="154" t="s">
        <v>8994</v>
      </c>
      <c r="I4099" s="154">
        <v>5.0450647E8</v>
      </c>
      <c r="J4099" s="156">
        <v>0.0</v>
      </c>
      <c r="K4099" s="154" t="s">
        <v>361</v>
      </c>
    </row>
    <row r="4100">
      <c r="A4100" s="154" t="s">
        <v>8997</v>
      </c>
      <c r="B4100" s="154" t="s">
        <v>8998</v>
      </c>
      <c r="D4100" s="154">
        <v>2.0</v>
      </c>
      <c r="E4100" s="154" t="s">
        <v>761</v>
      </c>
      <c r="F4100" s="154" t="s">
        <v>8999</v>
      </c>
      <c r="G4100" s="154">
        <v>5.06257624E8</v>
      </c>
      <c r="H4100" s="154" t="s">
        <v>9000</v>
      </c>
      <c r="I4100" s="156">
        <v>0.0</v>
      </c>
      <c r="J4100" s="156">
        <v>0.0</v>
      </c>
      <c r="K4100" s="156">
        <v>0.0</v>
      </c>
    </row>
    <row r="4101">
      <c r="A4101" s="154" t="s">
        <v>8997</v>
      </c>
      <c r="B4101" s="155"/>
      <c r="C4101" s="154" t="s">
        <v>9001</v>
      </c>
      <c r="D4101" s="155"/>
      <c r="E4101" s="155"/>
      <c r="F4101" s="154" t="s">
        <v>9002</v>
      </c>
      <c r="G4101" s="154">
        <v>3916000.0</v>
      </c>
      <c r="H4101" s="154" t="s">
        <v>9000</v>
      </c>
      <c r="I4101" s="154" t="s">
        <v>9003</v>
      </c>
      <c r="J4101" s="156">
        <v>0.0</v>
      </c>
      <c r="K4101" s="154" t="s">
        <v>361</v>
      </c>
    </row>
    <row r="4102">
      <c r="A4102" s="154" t="s">
        <v>9004</v>
      </c>
      <c r="B4102" s="155"/>
      <c r="C4102" s="154" t="s">
        <v>9005</v>
      </c>
      <c r="D4102" s="155"/>
      <c r="E4102" s="155"/>
      <c r="F4102" s="154" t="s">
        <v>9006</v>
      </c>
      <c r="G4102" s="156">
        <v>0.0</v>
      </c>
      <c r="H4102" s="154" t="s">
        <v>9007</v>
      </c>
      <c r="I4102" s="154" t="s">
        <v>853</v>
      </c>
      <c r="J4102" s="154" t="s">
        <v>1133</v>
      </c>
      <c r="K4102" s="154" t="s">
        <v>760</v>
      </c>
    </row>
    <row r="4103">
      <c r="A4103" s="154" t="s">
        <v>9004</v>
      </c>
      <c r="B4103" s="154" t="s">
        <v>9008</v>
      </c>
      <c r="D4103" s="154">
        <v>2.0</v>
      </c>
      <c r="E4103" s="154" t="s">
        <v>761</v>
      </c>
      <c r="F4103" s="154" t="s">
        <v>9006</v>
      </c>
      <c r="G4103" s="156">
        <v>0.0</v>
      </c>
      <c r="H4103" s="154" t="s">
        <v>9007</v>
      </c>
      <c r="I4103" s="154" t="s">
        <v>853</v>
      </c>
      <c r="J4103" s="154" t="s">
        <v>1133</v>
      </c>
      <c r="K4103" s="154" t="s">
        <v>760</v>
      </c>
    </row>
    <row r="4104">
      <c r="A4104" s="154" t="s">
        <v>9009</v>
      </c>
      <c r="B4104" s="154" t="s">
        <v>9010</v>
      </c>
      <c r="D4104" s="154">
        <v>2.0</v>
      </c>
      <c r="E4104" s="154" t="s">
        <v>761</v>
      </c>
      <c r="F4104" s="154" t="s">
        <v>9011</v>
      </c>
      <c r="G4104" s="156">
        <v>0.0</v>
      </c>
      <c r="H4104" s="154" t="s">
        <v>9012</v>
      </c>
      <c r="I4104" s="154" t="s">
        <v>9013</v>
      </c>
      <c r="J4104" s="154" t="s">
        <v>9014</v>
      </c>
      <c r="K4104" s="154" t="s">
        <v>361</v>
      </c>
    </row>
    <row r="4105">
      <c r="A4105" s="154" t="s">
        <v>9009</v>
      </c>
      <c r="B4105" s="155"/>
      <c r="C4105" s="154" t="s">
        <v>9015</v>
      </c>
      <c r="D4105" s="155"/>
      <c r="E4105" s="155"/>
      <c r="F4105" s="154" t="s">
        <v>9011</v>
      </c>
      <c r="G4105" s="156">
        <v>0.0</v>
      </c>
      <c r="H4105" s="154" t="s">
        <v>9012</v>
      </c>
      <c r="I4105" s="154" t="s">
        <v>9013</v>
      </c>
      <c r="J4105" s="154" t="s">
        <v>9014</v>
      </c>
      <c r="K4105" s="154" t="s">
        <v>361</v>
      </c>
    </row>
    <row r="4106">
      <c r="A4106" s="154" t="s">
        <v>9016</v>
      </c>
      <c r="B4106" s="155"/>
      <c r="C4106" s="154" t="s">
        <v>9017</v>
      </c>
      <c r="D4106" s="155"/>
      <c r="E4106" s="155"/>
      <c r="F4106" s="154" t="s">
        <v>9018</v>
      </c>
      <c r="G4106" s="154">
        <v>5.05718545E8</v>
      </c>
      <c r="H4106" s="156">
        <v>0.0</v>
      </c>
      <c r="I4106" s="154">
        <v>5.07815179E8</v>
      </c>
      <c r="J4106" s="156">
        <v>0.0</v>
      </c>
      <c r="K4106" s="154" t="s">
        <v>789</v>
      </c>
    </row>
    <row r="4107">
      <c r="A4107" s="154" t="s">
        <v>9016</v>
      </c>
      <c r="B4107" s="154" t="s">
        <v>9019</v>
      </c>
      <c r="D4107" s="154">
        <v>2.0</v>
      </c>
      <c r="E4107" s="154" t="s">
        <v>761</v>
      </c>
      <c r="F4107" s="154" t="s">
        <v>9018</v>
      </c>
      <c r="G4107" s="154">
        <v>5.05718545E8</v>
      </c>
      <c r="H4107" s="156">
        <v>0.0</v>
      </c>
      <c r="I4107" s="154">
        <v>5.07815179E8</v>
      </c>
      <c r="J4107" s="156">
        <v>0.0</v>
      </c>
      <c r="K4107" s="154" t="s">
        <v>789</v>
      </c>
    </row>
    <row r="4108">
      <c r="A4108" s="154" t="s">
        <v>9020</v>
      </c>
      <c r="B4108" s="155"/>
      <c r="C4108" s="154" t="s">
        <v>9021</v>
      </c>
      <c r="D4108" s="155"/>
      <c r="E4108" s="155"/>
      <c r="F4108" s="154" t="s">
        <v>9022</v>
      </c>
      <c r="G4108" s="154">
        <v>9.66555660551E11</v>
      </c>
      <c r="H4108" s="156">
        <v>0.0</v>
      </c>
      <c r="I4108" s="154">
        <v>9.7142940888E10</v>
      </c>
      <c r="J4108" s="156">
        <v>0.0</v>
      </c>
      <c r="K4108" s="154" t="s">
        <v>914</v>
      </c>
    </row>
    <row r="4109">
      <c r="A4109" s="154" t="s">
        <v>9020</v>
      </c>
      <c r="B4109" s="154" t="s">
        <v>9023</v>
      </c>
      <c r="D4109" s="154">
        <v>2.0</v>
      </c>
      <c r="E4109" s="154" t="s">
        <v>761</v>
      </c>
      <c r="F4109" s="154" t="s">
        <v>9022</v>
      </c>
      <c r="G4109" s="154">
        <v>9.66555660551E11</v>
      </c>
      <c r="H4109" s="156">
        <v>0.0</v>
      </c>
      <c r="I4109" s="154">
        <v>9.7142940888E10</v>
      </c>
      <c r="J4109" s="156">
        <v>0.0</v>
      </c>
      <c r="K4109" s="154" t="s">
        <v>914</v>
      </c>
    </row>
    <row r="4110">
      <c r="A4110" s="154" t="s">
        <v>9024</v>
      </c>
      <c r="B4110" s="155"/>
      <c r="C4110" s="154" t="s">
        <v>9025</v>
      </c>
      <c r="D4110" s="155"/>
      <c r="E4110" s="155"/>
      <c r="F4110" s="154" t="s">
        <v>9026</v>
      </c>
      <c r="G4110" s="156">
        <v>0.0</v>
      </c>
      <c r="H4110" s="154" t="s">
        <v>9027</v>
      </c>
      <c r="I4110" s="154" t="s">
        <v>9028</v>
      </c>
      <c r="J4110" s="156">
        <v>0.0</v>
      </c>
      <c r="K4110" s="154" t="s">
        <v>207</v>
      </c>
    </row>
    <row r="4111">
      <c r="A4111" s="154" t="s">
        <v>9024</v>
      </c>
      <c r="B4111" s="154" t="s">
        <v>9029</v>
      </c>
      <c r="D4111" s="154">
        <v>2.0</v>
      </c>
      <c r="E4111" s="154" t="s">
        <v>761</v>
      </c>
      <c r="F4111" s="154" t="s">
        <v>9026</v>
      </c>
      <c r="G4111" s="156">
        <v>0.0</v>
      </c>
      <c r="H4111" s="154" t="s">
        <v>9027</v>
      </c>
      <c r="I4111" s="154" t="s">
        <v>9028</v>
      </c>
      <c r="J4111" s="156">
        <v>0.0</v>
      </c>
      <c r="K4111" s="154" t="s">
        <v>207</v>
      </c>
    </row>
    <row r="4112">
      <c r="A4112" s="154" t="s">
        <v>9030</v>
      </c>
      <c r="B4112" s="155"/>
      <c r="C4112" s="154" t="s">
        <v>9031</v>
      </c>
      <c r="D4112" s="155"/>
      <c r="E4112" s="155"/>
      <c r="F4112" s="154" t="s">
        <v>9032</v>
      </c>
      <c r="G4112" s="154">
        <v>5.2777719E7</v>
      </c>
      <c r="H4112" s="154" t="s">
        <v>1185</v>
      </c>
      <c r="I4112" s="156">
        <v>0.0</v>
      </c>
      <c r="J4112" s="156">
        <v>0.0</v>
      </c>
      <c r="K4112" s="156">
        <v>0.0</v>
      </c>
    </row>
    <row r="4113">
      <c r="A4113" s="154" t="s">
        <v>9030</v>
      </c>
      <c r="B4113" s="154" t="s">
        <v>9033</v>
      </c>
      <c r="D4113" s="154">
        <v>2.0</v>
      </c>
      <c r="E4113" s="154" t="s">
        <v>761</v>
      </c>
      <c r="F4113" s="154" t="s">
        <v>9032</v>
      </c>
      <c r="G4113" s="154">
        <v>5.2777719E7</v>
      </c>
      <c r="H4113" s="154" t="s">
        <v>1185</v>
      </c>
      <c r="I4113" s="156">
        <v>0.0</v>
      </c>
      <c r="J4113" s="156">
        <v>0.0</v>
      </c>
      <c r="K4113" s="156">
        <v>0.0</v>
      </c>
    </row>
    <row r="4114">
      <c r="A4114" s="154" t="s">
        <v>9034</v>
      </c>
      <c r="B4114" s="154" t="s">
        <v>9035</v>
      </c>
      <c r="D4114" s="154">
        <v>2.0</v>
      </c>
      <c r="E4114" s="154" t="s">
        <v>761</v>
      </c>
      <c r="F4114" s="154" t="s">
        <v>9036</v>
      </c>
      <c r="G4114" s="154">
        <v>4.8812222E7</v>
      </c>
      <c r="H4114" s="156">
        <v>0.0</v>
      </c>
      <c r="I4114" s="154">
        <v>5.05446451E8</v>
      </c>
      <c r="J4114" s="156">
        <v>0.0</v>
      </c>
      <c r="K4114" s="154" t="s">
        <v>197</v>
      </c>
    </row>
    <row r="4115">
      <c r="A4115" s="154" t="s">
        <v>9034</v>
      </c>
      <c r="B4115" s="155"/>
      <c r="C4115" s="154" t="s">
        <v>9037</v>
      </c>
      <c r="D4115" s="155"/>
      <c r="E4115" s="155"/>
      <c r="F4115" s="154" t="s">
        <v>9036</v>
      </c>
      <c r="G4115" s="154">
        <v>4.8812222E7</v>
      </c>
      <c r="H4115" s="156">
        <v>0.0</v>
      </c>
      <c r="I4115" s="154">
        <v>5.05446451E8</v>
      </c>
      <c r="J4115" s="156">
        <v>0.0</v>
      </c>
      <c r="K4115" s="154" t="s">
        <v>197</v>
      </c>
    </row>
    <row r="4116">
      <c r="A4116" s="154" t="s">
        <v>9038</v>
      </c>
      <c r="B4116" s="154" t="s">
        <v>9039</v>
      </c>
      <c r="D4116" s="154">
        <v>2.0</v>
      </c>
      <c r="E4116" s="154" t="s">
        <v>761</v>
      </c>
      <c r="F4116" s="154" t="s">
        <v>2274</v>
      </c>
      <c r="G4116" s="154" t="s">
        <v>2275</v>
      </c>
      <c r="H4116" s="154" t="s">
        <v>1185</v>
      </c>
      <c r="I4116" s="154" t="s">
        <v>2276</v>
      </c>
      <c r="J4116" s="154" t="s">
        <v>2277</v>
      </c>
      <c r="K4116" s="154" t="s">
        <v>361</v>
      </c>
    </row>
    <row r="4117">
      <c r="A4117" s="154" t="s">
        <v>9038</v>
      </c>
      <c r="B4117" s="155"/>
      <c r="C4117" s="154" t="s">
        <v>9040</v>
      </c>
      <c r="D4117" s="155"/>
      <c r="E4117" s="155"/>
      <c r="F4117" s="154" t="s">
        <v>2274</v>
      </c>
      <c r="G4117" s="154" t="s">
        <v>2275</v>
      </c>
      <c r="H4117" s="154" t="s">
        <v>1185</v>
      </c>
      <c r="I4117" s="154" t="s">
        <v>2276</v>
      </c>
      <c r="J4117" s="154" t="s">
        <v>2277</v>
      </c>
      <c r="K4117" s="154" t="s">
        <v>361</v>
      </c>
    </row>
    <row r="4118">
      <c r="A4118" s="154" t="s">
        <v>9041</v>
      </c>
      <c r="B4118" s="155"/>
      <c r="C4118" s="154" t="s">
        <v>9042</v>
      </c>
      <c r="D4118" s="155"/>
      <c r="E4118" s="155"/>
      <c r="F4118" s="154" t="s">
        <v>9043</v>
      </c>
      <c r="G4118" s="154">
        <v>5.54516768E8</v>
      </c>
      <c r="H4118" s="156">
        <v>0.0</v>
      </c>
      <c r="I4118" s="154">
        <v>9.05324146969E11</v>
      </c>
      <c r="J4118" s="156">
        <v>0.0</v>
      </c>
      <c r="K4118" s="154" t="s">
        <v>1446</v>
      </c>
    </row>
    <row r="4119">
      <c r="A4119" s="154" t="s">
        <v>9041</v>
      </c>
      <c r="B4119" s="154" t="s">
        <v>9044</v>
      </c>
      <c r="D4119" s="154">
        <v>2.0</v>
      </c>
      <c r="E4119" s="154" t="s">
        <v>761</v>
      </c>
      <c r="F4119" s="154" t="s">
        <v>9043</v>
      </c>
      <c r="G4119" s="154">
        <v>5.54516768E8</v>
      </c>
      <c r="H4119" s="156">
        <v>0.0</v>
      </c>
      <c r="I4119" s="154">
        <v>9.05324146969E11</v>
      </c>
      <c r="J4119" s="156">
        <v>0.0</v>
      </c>
      <c r="K4119" s="154" t="s">
        <v>1446</v>
      </c>
    </row>
    <row r="4120">
      <c r="A4120" s="154" t="s">
        <v>9045</v>
      </c>
      <c r="B4120" s="154" t="s">
        <v>9046</v>
      </c>
      <c r="D4120" s="154">
        <v>2.0</v>
      </c>
      <c r="E4120" s="154" t="s">
        <v>761</v>
      </c>
      <c r="F4120" s="154" t="s">
        <v>4662</v>
      </c>
      <c r="G4120" s="154" t="s">
        <v>4663</v>
      </c>
      <c r="H4120" s="156">
        <v>0.0</v>
      </c>
      <c r="I4120" s="156">
        <v>0.0</v>
      </c>
      <c r="J4120" s="156">
        <v>0.0</v>
      </c>
      <c r="K4120" s="156">
        <v>0.0</v>
      </c>
    </row>
    <row r="4121">
      <c r="A4121" s="154" t="s">
        <v>9045</v>
      </c>
      <c r="B4121" s="155"/>
      <c r="C4121" s="154" t="s">
        <v>9047</v>
      </c>
      <c r="D4121" s="155"/>
      <c r="E4121" s="155"/>
      <c r="F4121" s="154" t="s">
        <v>4662</v>
      </c>
      <c r="G4121" s="154" t="s">
        <v>4663</v>
      </c>
      <c r="H4121" s="156">
        <v>0.0</v>
      </c>
      <c r="I4121" s="156">
        <v>0.0</v>
      </c>
      <c r="J4121" s="156">
        <v>0.0</v>
      </c>
      <c r="K4121" s="156">
        <v>0.0</v>
      </c>
    </row>
    <row r="4122">
      <c r="A4122" s="154" t="s">
        <v>9048</v>
      </c>
      <c r="B4122" s="155"/>
      <c r="C4122" s="154" t="s">
        <v>9049</v>
      </c>
      <c r="D4122" s="155"/>
      <c r="E4122" s="155"/>
      <c r="F4122" s="154" t="s">
        <v>4662</v>
      </c>
      <c r="G4122" s="154" t="s">
        <v>4663</v>
      </c>
      <c r="H4122" s="156">
        <v>0.0</v>
      </c>
      <c r="I4122" s="156">
        <v>0.0</v>
      </c>
      <c r="J4122" s="156">
        <v>0.0</v>
      </c>
      <c r="K4122" s="156">
        <v>0.0</v>
      </c>
    </row>
    <row r="4123">
      <c r="A4123" s="154" t="s">
        <v>9048</v>
      </c>
      <c r="B4123" s="154" t="s">
        <v>9050</v>
      </c>
      <c r="D4123" s="154">
        <v>2.0</v>
      </c>
      <c r="E4123" s="154" t="s">
        <v>761</v>
      </c>
      <c r="F4123" s="154" t="s">
        <v>4662</v>
      </c>
      <c r="G4123" s="154" t="s">
        <v>4663</v>
      </c>
      <c r="H4123" s="156">
        <v>0.0</v>
      </c>
      <c r="I4123" s="156">
        <v>0.0</v>
      </c>
      <c r="J4123" s="156">
        <v>0.0</v>
      </c>
      <c r="K4123" s="156">
        <v>0.0</v>
      </c>
    </row>
    <row r="4124">
      <c r="A4124" s="154" t="s">
        <v>9051</v>
      </c>
      <c r="B4124" s="155"/>
      <c r="C4124" s="154" t="s">
        <v>9052</v>
      </c>
      <c r="D4124" s="155"/>
      <c r="E4124" s="155"/>
      <c r="F4124" s="154" t="s">
        <v>5408</v>
      </c>
      <c r="G4124" s="156">
        <v>0.0</v>
      </c>
      <c r="H4124" s="154" t="s">
        <v>1185</v>
      </c>
      <c r="I4124" s="154" t="s">
        <v>5409</v>
      </c>
      <c r="J4124" s="154" t="s">
        <v>5410</v>
      </c>
      <c r="K4124" s="154" t="s">
        <v>207</v>
      </c>
    </row>
    <row r="4125">
      <c r="A4125" s="154" t="s">
        <v>9051</v>
      </c>
      <c r="B4125" s="154" t="s">
        <v>9053</v>
      </c>
      <c r="D4125" s="154">
        <v>2.0</v>
      </c>
      <c r="E4125" s="154" t="s">
        <v>761</v>
      </c>
      <c r="F4125" s="154" t="s">
        <v>5408</v>
      </c>
      <c r="G4125" s="156">
        <v>0.0</v>
      </c>
      <c r="H4125" s="154" t="s">
        <v>1185</v>
      </c>
      <c r="I4125" s="154" t="s">
        <v>5409</v>
      </c>
      <c r="J4125" s="154" t="s">
        <v>5410</v>
      </c>
      <c r="K4125" s="154" t="s">
        <v>207</v>
      </c>
    </row>
    <row r="4126">
      <c r="A4126" s="154" t="s">
        <v>9054</v>
      </c>
      <c r="B4126" s="154" t="s">
        <v>9055</v>
      </c>
      <c r="D4126" s="154">
        <v>2.0</v>
      </c>
      <c r="E4126" s="154" t="s">
        <v>761</v>
      </c>
      <c r="F4126" s="154" t="s">
        <v>5408</v>
      </c>
      <c r="G4126" s="156">
        <v>0.0</v>
      </c>
      <c r="H4126" s="154" t="s">
        <v>1185</v>
      </c>
      <c r="I4126" s="154" t="s">
        <v>5409</v>
      </c>
      <c r="J4126" s="154" t="s">
        <v>5410</v>
      </c>
      <c r="K4126" s="154" t="s">
        <v>207</v>
      </c>
    </row>
    <row r="4127">
      <c r="A4127" s="154" t="s">
        <v>9054</v>
      </c>
      <c r="B4127" s="155"/>
      <c r="C4127" s="154" t="s">
        <v>9056</v>
      </c>
      <c r="D4127" s="155"/>
      <c r="E4127" s="155"/>
      <c r="F4127" s="154" t="s">
        <v>5408</v>
      </c>
      <c r="G4127" s="156">
        <v>0.0</v>
      </c>
      <c r="H4127" s="154" t="s">
        <v>1185</v>
      </c>
      <c r="I4127" s="154" t="s">
        <v>5409</v>
      </c>
      <c r="J4127" s="154" t="s">
        <v>5410</v>
      </c>
      <c r="K4127" s="154" t="s">
        <v>207</v>
      </c>
    </row>
    <row r="4128">
      <c r="A4128" s="154" t="s">
        <v>9057</v>
      </c>
      <c r="B4128" s="155"/>
      <c r="C4128" s="154" t="s">
        <v>9058</v>
      </c>
      <c r="D4128" s="155"/>
      <c r="E4128" s="155"/>
      <c r="F4128" s="154" t="s">
        <v>9059</v>
      </c>
      <c r="G4128" s="154">
        <v>0.0</v>
      </c>
      <c r="H4128" s="156">
        <v>0.0</v>
      </c>
      <c r="I4128" s="154">
        <v>5.0148714E8</v>
      </c>
      <c r="J4128" s="156">
        <v>0.0</v>
      </c>
      <c r="K4128" s="154" t="s">
        <v>259</v>
      </c>
    </row>
    <row r="4129">
      <c r="A4129" s="154" t="s">
        <v>9057</v>
      </c>
      <c r="B4129" s="154" t="s">
        <v>9060</v>
      </c>
      <c r="D4129" s="154">
        <v>2.0</v>
      </c>
      <c r="E4129" s="154" t="s">
        <v>761</v>
      </c>
      <c r="F4129" s="154" t="s">
        <v>9061</v>
      </c>
      <c r="G4129" s="154">
        <v>4.88368E7</v>
      </c>
      <c r="H4129" s="156">
        <v>0.0</v>
      </c>
      <c r="I4129" s="154">
        <v>5.62063157E8</v>
      </c>
      <c r="J4129" s="156">
        <v>0.0</v>
      </c>
      <c r="K4129" s="154" t="s">
        <v>259</v>
      </c>
    </row>
    <row r="4130">
      <c r="A4130" s="154" t="s">
        <v>9062</v>
      </c>
      <c r="B4130" s="155"/>
      <c r="C4130" s="154" t="s">
        <v>9063</v>
      </c>
      <c r="D4130" s="155"/>
      <c r="E4130" s="155"/>
      <c r="F4130" s="154" t="s">
        <v>9064</v>
      </c>
      <c r="G4130" s="156">
        <v>0.0</v>
      </c>
      <c r="H4130" s="156">
        <v>0.0</v>
      </c>
      <c r="I4130" s="154" t="s">
        <v>853</v>
      </c>
      <c r="J4130" s="154" t="s">
        <v>809</v>
      </c>
      <c r="K4130" s="154" t="s">
        <v>361</v>
      </c>
    </row>
    <row r="4131">
      <c r="A4131" s="154" t="s">
        <v>9062</v>
      </c>
      <c r="B4131" s="154" t="s">
        <v>9065</v>
      </c>
      <c r="D4131" s="154">
        <v>2.0</v>
      </c>
      <c r="E4131" s="154" t="s">
        <v>761</v>
      </c>
      <c r="F4131" s="154" t="s">
        <v>9064</v>
      </c>
      <c r="G4131" s="156">
        <v>0.0</v>
      </c>
      <c r="H4131" s="156">
        <v>0.0</v>
      </c>
      <c r="I4131" s="154" t="s">
        <v>853</v>
      </c>
      <c r="J4131" s="154" t="s">
        <v>809</v>
      </c>
      <c r="K4131" s="154" t="s">
        <v>361</v>
      </c>
    </row>
    <row r="4132">
      <c r="A4132" s="154" t="s">
        <v>9066</v>
      </c>
      <c r="B4132" s="154" t="s">
        <v>9067</v>
      </c>
      <c r="D4132" s="154">
        <v>2.0</v>
      </c>
      <c r="E4132" s="154" t="s">
        <v>761</v>
      </c>
      <c r="F4132" s="154" t="s">
        <v>9068</v>
      </c>
      <c r="G4132" s="156">
        <v>0.0</v>
      </c>
      <c r="H4132" s="154" t="s">
        <v>1185</v>
      </c>
      <c r="I4132" s="154" t="s">
        <v>9069</v>
      </c>
      <c r="J4132" s="154" t="s">
        <v>9070</v>
      </c>
      <c r="K4132" s="154" t="s">
        <v>259</v>
      </c>
    </row>
    <row r="4133">
      <c r="A4133" s="154" t="s">
        <v>9066</v>
      </c>
      <c r="B4133" s="155"/>
      <c r="C4133" s="154" t="s">
        <v>9071</v>
      </c>
      <c r="D4133" s="155"/>
      <c r="E4133" s="155"/>
      <c r="F4133" s="154" t="s">
        <v>9068</v>
      </c>
      <c r="G4133" s="156">
        <v>0.0</v>
      </c>
      <c r="H4133" s="154" t="s">
        <v>1185</v>
      </c>
      <c r="I4133" s="154" t="s">
        <v>9069</v>
      </c>
      <c r="J4133" s="154" t="s">
        <v>9070</v>
      </c>
      <c r="K4133" s="154" t="s">
        <v>259</v>
      </c>
    </row>
    <row r="4134">
      <c r="A4134" s="154" t="s">
        <v>9072</v>
      </c>
      <c r="B4134" s="155"/>
      <c r="C4134" s="154" t="s">
        <v>9073</v>
      </c>
      <c r="D4134" s="155"/>
      <c r="E4134" s="155"/>
      <c r="F4134" s="154" t="s">
        <v>5408</v>
      </c>
      <c r="G4134" s="156">
        <v>0.0</v>
      </c>
      <c r="H4134" s="154" t="s">
        <v>1185</v>
      </c>
      <c r="I4134" s="154" t="s">
        <v>5409</v>
      </c>
      <c r="J4134" s="154" t="s">
        <v>5410</v>
      </c>
      <c r="K4134" s="154" t="s">
        <v>207</v>
      </c>
    </row>
    <row r="4135">
      <c r="A4135" s="154" t="s">
        <v>9072</v>
      </c>
      <c r="B4135" s="154" t="s">
        <v>9074</v>
      </c>
      <c r="D4135" s="154">
        <v>2.0</v>
      </c>
      <c r="E4135" s="154" t="s">
        <v>761</v>
      </c>
      <c r="F4135" s="154" t="s">
        <v>5408</v>
      </c>
      <c r="G4135" s="156">
        <v>0.0</v>
      </c>
      <c r="H4135" s="154" t="s">
        <v>1185</v>
      </c>
      <c r="I4135" s="154" t="s">
        <v>5409</v>
      </c>
      <c r="J4135" s="154" t="s">
        <v>5410</v>
      </c>
      <c r="K4135" s="154" t="s">
        <v>207</v>
      </c>
    </row>
    <row r="4136">
      <c r="A4136" s="154" t="s">
        <v>9075</v>
      </c>
      <c r="B4136" s="154" t="s">
        <v>9076</v>
      </c>
      <c r="D4136" s="154">
        <v>2.0</v>
      </c>
      <c r="E4136" s="154" t="s">
        <v>761</v>
      </c>
      <c r="F4136" s="154" t="s">
        <v>5408</v>
      </c>
      <c r="G4136" s="156">
        <v>0.0</v>
      </c>
      <c r="H4136" s="154" t="s">
        <v>1185</v>
      </c>
      <c r="I4136" s="154" t="s">
        <v>5409</v>
      </c>
      <c r="J4136" s="154" t="s">
        <v>5410</v>
      </c>
      <c r="K4136" s="154" t="s">
        <v>207</v>
      </c>
    </row>
    <row r="4137">
      <c r="A4137" s="154" t="s">
        <v>9075</v>
      </c>
      <c r="B4137" s="155"/>
      <c r="C4137" s="154" t="s">
        <v>9077</v>
      </c>
      <c r="D4137" s="155"/>
      <c r="E4137" s="155"/>
      <c r="F4137" s="154" t="s">
        <v>5408</v>
      </c>
      <c r="G4137" s="156">
        <v>0.0</v>
      </c>
      <c r="H4137" s="154" t="s">
        <v>1185</v>
      </c>
      <c r="I4137" s="154" t="s">
        <v>5409</v>
      </c>
      <c r="J4137" s="154" t="s">
        <v>5410</v>
      </c>
      <c r="K4137" s="154" t="s">
        <v>207</v>
      </c>
    </row>
    <row r="4138">
      <c r="A4138" s="154" t="s">
        <v>9078</v>
      </c>
      <c r="B4138" s="154" t="s">
        <v>9079</v>
      </c>
      <c r="D4138" s="154">
        <v>2.0</v>
      </c>
      <c r="E4138" s="154" t="s">
        <v>761</v>
      </c>
      <c r="F4138" s="154" t="s">
        <v>4662</v>
      </c>
      <c r="G4138" s="154" t="s">
        <v>4663</v>
      </c>
      <c r="H4138" s="156">
        <v>0.0</v>
      </c>
      <c r="I4138" s="156">
        <v>0.0</v>
      </c>
      <c r="J4138" s="156">
        <v>0.0</v>
      </c>
      <c r="K4138" s="156">
        <v>0.0</v>
      </c>
    </row>
    <row r="4139">
      <c r="A4139" s="154" t="s">
        <v>9078</v>
      </c>
      <c r="B4139" s="155"/>
      <c r="C4139" s="154" t="s">
        <v>9080</v>
      </c>
      <c r="D4139" s="155"/>
      <c r="E4139" s="155"/>
      <c r="F4139" s="154" t="s">
        <v>4662</v>
      </c>
      <c r="G4139" s="154" t="s">
        <v>4663</v>
      </c>
      <c r="H4139" s="156">
        <v>0.0</v>
      </c>
      <c r="I4139" s="156">
        <v>0.0</v>
      </c>
      <c r="J4139" s="156">
        <v>0.0</v>
      </c>
      <c r="K4139" s="156">
        <v>0.0</v>
      </c>
    </row>
    <row r="4140">
      <c r="A4140" s="154" t="s">
        <v>9081</v>
      </c>
      <c r="B4140" s="154" t="s">
        <v>9082</v>
      </c>
      <c r="D4140" s="154">
        <v>2.0</v>
      </c>
      <c r="E4140" s="154" t="s">
        <v>761</v>
      </c>
      <c r="F4140" s="154" t="s">
        <v>8895</v>
      </c>
      <c r="G4140" s="154">
        <v>5.03430954E8</v>
      </c>
      <c r="H4140" s="154" t="s">
        <v>8896</v>
      </c>
      <c r="I4140" s="154" t="s">
        <v>8897</v>
      </c>
      <c r="J4140" s="156">
        <v>0.0</v>
      </c>
      <c r="K4140" s="154" t="s">
        <v>760</v>
      </c>
    </row>
    <row r="4141">
      <c r="A4141" s="154" t="s">
        <v>9081</v>
      </c>
      <c r="B4141" s="155"/>
      <c r="C4141" s="154" t="s">
        <v>9083</v>
      </c>
      <c r="D4141" s="155"/>
      <c r="E4141" s="155"/>
      <c r="F4141" s="154" t="s">
        <v>8895</v>
      </c>
      <c r="G4141" s="154">
        <v>5.03430954E8</v>
      </c>
      <c r="H4141" s="154" t="s">
        <v>8896</v>
      </c>
      <c r="I4141" s="154" t="s">
        <v>8897</v>
      </c>
      <c r="J4141" s="156">
        <v>0.0</v>
      </c>
      <c r="K4141" s="154" t="s">
        <v>760</v>
      </c>
    </row>
    <row r="4142">
      <c r="A4142" s="154" t="s">
        <v>9084</v>
      </c>
      <c r="B4142" s="154" t="s">
        <v>9085</v>
      </c>
      <c r="D4142" s="154">
        <v>2.0</v>
      </c>
      <c r="E4142" s="154" t="s">
        <v>761</v>
      </c>
      <c r="F4142" s="154" t="s">
        <v>9086</v>
      </c>
      <c r="G4142" s="154">
        <v>9.7143353522E10</v>
      </c>
      <c r="H4142" s="156">
        <v>0.0</v>
      </c>
      <c r="I4142" s="154">
        <v>9.71505510637E11</v>
      </c>
      <c r="J4142" s="156">
        <v>0.0</v>
      </c>
      <c r="K4142" s="154" t="s">
        <v>760</v>
      </c>
    </row>
    <row r="4143">
      <c r="A4143" s="154" t="s">
        <v>9084</v>
      </c>
      <c r="B4143" s="155"/>
      <c r="C4143" s="154" t="s">
        <v>9087</v>
      </c>
      <c r="D4143" s="155"/>
      <c r="E4143" s="155"/>
      <c r="F4143" s="154" t="s">
        <v>9086</v>
      </c>
      <c r="G4143" s="154">
        <v>9.7143353522E10</v>
      </c>
      <c r="H4143" s="156">
        <v>0.0</v>
      </c>
      <c r="I4143" s="154">
        <v>9.71505510637E11</v>
      </c>
      <c r="J4143" s="156">
        <v>0.0</v>
      </c>
      <c r="K4143" s="154" t="s">
        <v>760</v>
      </c>
    </row>
    <row r="4144">
      <c r="A4144" s="154" t="s">
        <v>9088</v>
      </c>
      <c r="B4144" s="154" t="s">
        <v>9089</v>
      </c>
      <c r="D4144" s="154">
        <v>2.0</v>
      </c>
      <c r="E4144" s="154" t="s">
        <v>897</v>
      </c>
      <c r="F4144" s="154" t="s">
        <v>1619</v>
      </c>
      <c r="G4144" s="154">
        <v>4.3903333E7</v>
      </c>
      <c r="H4144" s="154" t="s">
        <v>1620</v>
      </c>
      <c r="I4144" s="156">
        <v>0.0</v>
      </c>
      <c r="J4144" s="156">
        <v>0.0</v>
      </c>
      <c r="K4144" s="156">
        <v>0.0</v>
      </c>
    </row>
    <row r="4145">
      <c r="A4145" s="154" t="s">
        <v>9088</v>
      </c>
      <c r="B4145" s="155"/>
      <c r="C4145" s="154" t="s">
        <v>9090</v>
      </c>
      <c r="D4145" s="155"/>
      <c r="E4145" s="155"/>
      <c r="F4145" s="154" t="s">
        <v>9091</v>
      </c>
      <c r="G4145" s="156">
        <v>0.0</v>
      </c>
      <c r="H4145" s="156">
        <v>0.0</v>
      </c>
      <c r="I4145" s="154" t="s">
        <v>9092</v>
      </c>
      <c r="J4145" s="154" t="s">
        <v>9093</v>
      </c>
      <c r="K4145" s="154" t="s">
        <v>1426</v>
      </c>
    </row>
    <row r="4146">
      <c r="A4146" s="154" t="s">
        <v>9094</v>
      </c>
      <c r="B4146" s="155"/>
      <c r="C4146" s="154" t="s">
        <v>9095</v>
      </c>
      <c r="D4146" s="155"/>
      <c r="E4146" s="155"/>
      <c r="F4146" s="154" t="s">
        <v>9096</v>
      </c>
      <c r="G4146" s="156">
        <v>0.0</v>
      </c>
      <c r="H4146" s="156">
        <v>0.0</v>
      </c>
      <c r="I4146" s="154">
        <v>5.0556188E8</v>
      </c>
      <c r="J4146" s="156">
        <v>0.0</v>
      </c>
      <c r="K4146" s="154" t="s">
        <v>914</v>
      </c>
    </row>
    <row r="4147">
      <c r="A4147" s="154" t="s">
        <v>9094</v>
      </c>
      <c r="B4147" s="154" t="s">
        <v>9097</v>
      </c>
      <c r="D4147" s="154">
        <v>2.0</v>
      </c>
      <c r="E4147" s="154" t="s">
        <v>897</v>
      </c>
      <c r="F4147" s="154" t="s">
        <v>9098</v>
      </c>
      <c r="G4147" s="154">
        <v>0.0</v>
      </c>
      <c r="H4147" s="156">
        <v>0.0</v>
      </c>
      <c r="I4147" s="154" t="s">
        <v>9099</v>
      </c>
      <c r="J4147" s="156">
        <v>0.0</v>
      </c>
      <c r="K4147" s="154" t="s">
        <v>3055</v>
      </c>
    </row>
    <row r="4148">
      <c r="A4148" s="154" t="s">
        <v>9100</v>
      </c>
      <c r="B4148" s="155"/>
      <c r="C4148" s="154" t="s">
        <v>9101</v>
      </c>
      <c r="D4148" s="155"/>
      <c r="E4148" s="155"/>
      <c r="F4148" s="154" t="s">
        <v>9096</v>
      </c>
      <c r="G4148" s="156">
        <v>0.0</v>
      </c>
      <c r="H4148" s="156">
        <v>0.0</v>
      </c>
      <c r="I4148" s="154">
        <v>5.0556188E8</v>
      </c>
      <c r="J4148" s="156">
        <v>0.0</v>
      </c>
      <c r="K4148" s="154" t="s">
        <v>914</v>
      </c>
    </row>
    <row r="4149">
      <c r="A4149" s="154" t="s">
        <v>9100</v>
      </c>
      <c r="B4149" s="154" t="s">
        <v>9102</v>
      </c>
      <c r="D4149" s="154">
        <v>2.0</v>
      </c>
      <c r="E4149" s="154" t="s">
        <v>897</v>
      </c>
      <c r="F4149" s="154" t="s">
        <v>9103</v>
      </c>
      <c r="G4149" s="154">
        <v>4.352041E7</v>
      </c>
      <c r="H4149" s="156">
        <v>0.0</v>
      </c>
      <c r="I4149" s="156">
        <v>0.0</v>
      </c>
      <c r="J4149" s="156">
        <v>0.0</v>
      </c>
      <c r="K4149" s="154" t="s">
        <v>3055</v>
      </c>
    </row>
    <row r="4150">
      <c r="A4150" s="154" t="s">
        <v>9104</v>
      </c>
      <c r="B4150" s="155"/>
      <c r="C4150" s="154" t="s">
        <v>9105</v>
      </c>
      <c r="D4150" s="155"/>
      <c r="E4150" s="155"/>
      <c r="F4150" s="154" t="s">
        <v>3084</v>
      </c>
      <c r="G4150" s="156">
        <v>0.0</v>
      </c>
      <c r="H4150" s="154" t="s">
        <v>3085</v>
      </c>
      <c r="I4150" s="154" t="s">
        <v>3086</v>
      </c>
      <c r="J4150" s="154" t="s">
        <v>3087</v>
      </c>
      <c r="K4150" s="154" t="s">
        <v>361</v>
      </c>
    </row>
    <row r="4151">
      <c r="A4151" s="154" t="s">
        <v>9104</v>
      </c>
      <c r="B4151" s="154" t="s">
        <v>9106</v>
      </c>
      <c r="D4151" s="154">
        <v>2.0</v>
      </c>
      <c r="E4151" s="154" t="s">
        <v>897</v>
      </c>
      <c r="F4151" s="154" t="s">
        <v>9107</v>
      </c>
      <c r="G4151" s="156">
        <v>0.0</v>
      </c>
      <c r="H4151" s="156">
        <v>0.0</v>
      </c>
      <c r="I4151" s="154" t="s">
        <v>9108</v>
      </c>
      <c r="J4151" s="154" t="s">
        <v>9109</v>
      </c>
      <c r="K4151" s="154" t="s">
        <v>1874</v>
      </c>
    </row>
    <row r="4152">
      <c r="A4152" s="154" t="s">
        <v>9110</v>
      </c>
      <c r="B4152" s="154" t="s">
        <v>9111</v>
      </c>
      <c r="D4152" s="154">
        <v>2.0</v>
      </c>
      <c r="E4152" s="154" t="s">
        <v>897</v>
      </c>
      <c r="F4152" s="154" t="s">
        <v>1619</v>
      </c>
      <c r="G4152" s="154">
        <v>4.3903333E7</v>
      </c>
      <c r="H4152" s="154" t="s">
        <v>1620</v>
      </c>
      <c r="I4152" s="156">
        <v>0.0</v>
      </c>
      <c r="J4152" s="156">
        <v>0.0</v>
      </c>
      <c r="K4152" s="156">
        <v>0.0</v>
      </c>
    </row>
    <row r="4153">
      <c r="A4153" s="154" t="s">
        <v>9110</v>
      </c>
      <c r="B4153" s="155"/>
      <c r="C4153" s="154" t="s">
        <v>9112</v>
      </c>
      <c r="D4153" s="155"/>
      <c r="E4153" s="155"/>
      <c r="F4153" s="154" t="s">
        <v>9113</v>
      </c>
      <c r="G4153" s="156">
        <v>0.0</v>
      </c>
      <c r="H4153" s="156">
        <v>0.0</v>
      </c>
      <c r="I4153" s="154" t="s">
        <v>9114</v>
      </c>
      <c r="J4153" s="154" t="s">
        <v>9115</v>
      </c>
      <c r="K4153" s="154" t="s">
        <v>361</v>
      </c>
    </row>
    <row r="4154">
      <c r="A4154" s="154" t="s">
        <v>9116</v>
      </c>
      <c r="B4154" s="155"/>
      <c r="C4154" s="154" t="s">
        <v>9117</v>
      </c>
      <c r="D4154" s="155"/>
      <c r="E4154" s="155"/>
      <c r="F4154" s="154" t="s">
        <v>1619</v>
      </c>
      <c r="G4154" s="154">
        <v>4.3903333E7</v>
      </c>
      <c r="H4154" s="154" t="s">
        <v>1620</v>
      </c>
      <c r="I4154" s="156">
        <v>0.0</v>
      </c>
      <c r="J4154" s="156">
        <v>0.0</v>
      </c>
      <c r="K4154" s="156">
        <v>0.0</v>
      </c>
    </row>
    <row r="4155">
      <c r="A4155" s="154" t="s">
        <v>9116</v>
      </c>
      <c r="B4155" s="154" t="s">
        <v>9118</v>
      </c>
      <c r="D4155" s="154">
        <v>2.0</v>
      </c>
      <c r="E4155" s="154" t="s">
        <v>897</v>
      </c>
      <c r="F4155" s="154" t="s">
        <v>8570</v>
      </c>
      <c r="G4155" s="154">
        <v>971.0</v>
      </c>
      <c r="H4155" s="156">
        <v>0.0</v>
      </c>
      <c r="I4155" s="154" t="s">
        <v>8571</v>
      </c>
      <c r="J4155" s="154" t="s">
        <v>8572</v>
      </c>
      <c r="K4155" s="154" t="s">
        <v>259</v>
      </c>
    </row>
    <row r="4156">
      <c r="A4156" s="154" t="s">
        <v>9119</v>
      </c>
      <c r="B4156" s="154" t="s">
        <v>9120</v>
      </c>
      <c r="D4156" s="154">
        <v>2.0</v>
      </c>
      <c r="E4156" s="154" t="s">
        <v>761</v>
      </c>
      <c r="F4156" s="154" t="s">
        <v>8547</v>
      </c>
      <c r="G4156" s="154">
        <v>9.71506666666E11</v>
      </c>
      <c r="H4156" s="156">
        <v>0.0</v>
      </c>
      <c r="I4156" s="154">
        <v>9.71508444444E11</v>
      </c>
      <c r="J4156" s="156">
        <v>0.0</v>
      </c>
      <c r="K4156" s="154" t="s">
        <v>207</v>
      </c>
    </row>
    <row r="4157">
      <c r="A4157" s="154" t="s">
        <v>9119</v>
      </c>
      <c r="B4157" s="155"/>
      <c r="C4157" s="154" t="s">
        <v>9120</v>
      </c>
      <c r="D4157" s="155"/>
      <c r="E4157" s="155"/>
      <c r="F4157" s="154" t="s">
        <v>8547</v>
      </c>
      <c r="G4157" s="154">
        <v>9.71506666666E11</v>
      </c>
      <c r="H4157" s="156">
        <v>0.0</v>
      </c>
      <c r="I4157" s="154">
        <v>9.71508444444E11</v>
      </c>
      <c r="J4157" s="156">
        <v>0.0</v>
      </c>
      <c r="K4157" s="154" t="s">
        <v>207</v>
      </c>
    </row>
    <row r="4158">
      <c r="A4158" s="154" t="s">
        <v>9121</v>
      </c>
      <c r="B4158" s="155"/>
      <c r="C4158" s="154" t="s">
        <v>9122</v>
      </c>
      <c r="D4158" s="155"/>
      <c r="E4158" s="155"/>
      <c r="F4158" s="154" t="s">
        <v>8547</v>
      </c>
      <c r="G4158" s="154">
        <v>9.71506666666E11</v>
      </c>
      <c r="H4158" s="156">
        <v>0.0</v>
      </c>
      <c r="I4158" s="154">
        <v>9.71508444444E11</v>
      </c>
      <c r="J4158" s="156">
        <v>0.0</v>
      </c>
      <c r="K4158" s="154" t="s">
        <v>207</v>
      </c>
    </row>
    <row r="4159">
      <c r="A4159" s="154" t="s">
        <v>9121</v>
      </c>
      <c r="B4159" s="154" t="s">
        <v>9122</v>
      </c>
      <c r="D4159" s="154">
        <v>2.0</v>
      </c>
      <c r="E4159" s="154" t="s">
        <v>761</v>
      </c>
      <c r="F4159" s="154" t="s">
        <v>8547</v>
      </c>
      <c r="G4159" s="154">
        <v>9.71506666666E11</v>
      </c>
      <c r="H4159" s="156">
        <v>0.0</v>
      </c>
      <c r="I4159" s="154">
        <v>9.71508444444E11</v>
      </c>
      <c r="J4159" s="156">
        <v>0.0</v>
      </c>
      <c r="K4159" s="154" t="s">
        <v>207</v>
      </c>
    </row>
    <row r="4160">
      <c r="A4160" s="154" t="s">
        <v>9123</v>
      </c>
      <c r="B4160" s="154" t="s">
        <v>9124</v>
      </c>
      <c r="D4160" s="154">
        <v>2.0</v>
      </c>
      <c r="E4160" s="154" t="s">
        <v>761</v>
      </c>
      <c r="F4160" s="154" t="s">
        <v>8547</v>
      </c>
      <c r="G4160" s="154">
        <v>9.71506666666E11</v>
      </c>
      <c r="H4160" s="156">
        <v>0.0</v>
      </c>
      <c r="I4160" s="154">
        <v>9.71508444444E11</v>
      </c>
      <c r="J4160" s="156">
        <v>0.0</v>
      </c>
      <c r="K4160" s="154" t="s">
        <v>207</v>
      </c>
    </row>
    <row r="4161">
      <c r="A4161" s="154" t="s">
        <v>9123</v>
      </c>
      <c r="B4161" s="155"/>
      <c r="C4161" s="154" t="s">
        <v>9124</v>
      </c>
      <c r="D4161" s="155"/>
      <c r="E4161" s="155"/>
      <c r="F4161" s="154" t="s">
        <v>8547</v>
      </c>
      <c r="G4161" s="154">
        <v>9.71506666666E11</v>
      </c>
      <c r="H4161" s="156">
        <v>0.0</v>
      </c>
      <c r="I4161" s="154">
        <v>9.71508444444E11</v>
      </c>
      <c r="J4161" s="156">
        <v>0.0</v>
      </c>
      <c r="K4161" s="154" t="s">
        <v>207</v>
      </c>
    </row>
    <row r="4162">
      <c r="A4162" s="154" t="s">
        <v>9125</v>
      </c>
      <c r="B4162" s="154" t="s">
        <v>9126</v>
      </c>
      <c r="D4162" s="154">
        <v>2.0</v>
      </c>
      <c r="E4162" s="154" t="s">
        <v>761</v>
      </c>
      <c r="F4162" s="154" t="s">
        <v>8547</v>
      </c>
      <c r="G4162" s="154">
        <v>9.71506666666E11</v>
      </c>
      <c r="H4162" s="156">
        <v>0.0</v>
      </c>
      <c r="I4162" s="154">
        <v>9.71508444444E11</v>
      </c>
      <c r="J4162" s="156">
        <v>0.0</v>
      </c>
      <c r="K4162" s="154" t="s">
        <v>207</v>
      </c>
    </row>
    <row r="4163">
      <c r="A4163" s="154" t="s">
        <v>9125</v>
      </c>
      <c r="B4163" s="155"/>
      <c r="C4163" s="154" t="s">
        <v>9126</v>
      </c>
      <c r="D4163" s="155"/>
      <c r="E4163" s="155"/>
      <c r="F4163" s="154" t="s">
        <v>8547</v>
      </c>
      <c r="G4163" s="154">
        <v>9.71506666666E11</v>
      </c>
      <c r="H4163" s="156">
        <v>0.0</v>
      </c>
      <c r="I4163" s="154">
        <v>9.71508444444E11</v>
      </c>
      <c r="J4163" s="156">
        <v>0.0</v>
      </c>
      <c r="K4163" s="154" t="s">
        <v>207</v>
      </c>
    </row>
    <row r="4164">
      <c r="A4164" s="154" t="s">
        <v>9127</v>
      </c>
      <c r="B4164" s="154" t="s">
        <v>9128</v>
      </c>
      <c r="D4164" s="154">
        <v>2.0</v>
      </c>
      <c r="E4164" s="154" t="s">
        <v>761</v>
      </c>
      <c r="F4164" s="154" t="s">
        <v>8547</v>
      </c>
      <c r="G4164" s="154">
        <v>9.71506666666E11</v>
      </c>
      <c r="H4164" s="156">
        <v>0.0</v>
      </c>
      <c r="I4164" s="154">
        <v>9.71508444444E11</v>
      </c>
      <c r="J4164" s="156">
        <v>0.0</v>
      </c>
      <c r="K4164" s="154" t="s">
        <v>207</v>
      </c>
    </row>
    <row r="4165">
      <c r="A4165" s="154" t="s">
        <v>9127</v>
      </c>
      <c r="B4165" s="155"/>
      <c r="C4165" s="154" t="s">
        <v>9128</v>
      </c>
      <c r="D4165" s="155"/>
      <c r="E4165" s="155"/>
      <c r="F4165" s="154" t="s">
        <v>8547</v>
      </c>
      <c r="G4165" s="154">
        <v>9.71506666666E11</v>
      </c>
      <c r="H4165" s="156">
        <v>0.0</v>
      </c>
      <c r="I4165" s="154">
        <v>9.71508444444E11</v>
      </c>
      <c r="J4165" s="156">
        <v>0.0</v>
      </c>
      <c r="K4165" s="154" t="s">
        <v>207</v>
      </c>
    </row>
    <row r="4166">
      <c r="A4166" s="154" t="s">
        <v>9129</v>
      </c>
      <c r="B4166" s="154" t="s">
        <v>9130</v>
      </c>
      <c r="D4166" s="154">
        <v>2.0</v>
      </c>
      <c r="E4166" s="154" t="s">
        <v>761</v>
      </c>
      <c r="F4166" s="154" t="s">
        <v>8547</v>
      </c>
      <c r="G4166" s="154">
        <v>9.71506666666E11</v>
      </c>
      <c r="H4166" s="156">
        <v>0.0</v>
      </c>
      <c r="I4166" s="154">
        <v>9.71508444444E11</v>
      </c>
      <c r="J4166" s="156">
        <v>0.0</v>
      </c>
      <c r="K4166" s="154" t="s">
        <v>207</v>
      </c>
    </row>
    <row r="4167">
      <c r="A4167" s="154" t="s">
        <v>9129</v>
      </c>
      <c r="B4167" s="155"/>
      <c r="C4167" s="154" t="s">
        <v>9130</v>
      </c>
      <c r="D4167" s="155"/>
      <c r="E4167" s="155"/>
      <c r="F4167" s="154" t="s">
        <v>8547</v>
      </c>
      <c r="G4167" s="154">
        <v>9.71506666666E11</v>
      </c>
      <c r="H4167" s="156">
        <v>0.0</v>
      </c>
      <c r="I4167" s="154">
        <v>9.71508444444E11</v>
      </c>
      <c r="J4167" s="156">
        <v>0.0</v>
      </c>
      <c r="K4167" s="154" t="s">
        <v>207</v>
      </c>
    </row>
    <row r="4168">
      <c r="A4168" s="154" t="s">
        <v>9131</v>
      </c>
      <c r="B4168" s="155"/>
      <c r="C4168" s="154" t="s">
        <v>9132</v>
      </c>
      <c r="D4168" s="155"/>
      <c r="E4168" s="155"/>
      <c r="F4168" s="154" t="s">
        <v>8547</v>
      </c>
      <c r="G4168" s="154">
        <v>9.71506666666E11</v>
      </c>
      <c r="H4168" s="156">
        <v>0.0</v>
      </c>
      <c r="I4168" s="154">
        <v>9.71508444444E11</v>
      </c>
      <c r="J4168" s="156">
        <v>0.0</v>
      </c>
      <c r="K4168" s="154" t="s">
        <v>207</v>
      </c>
    </row>
    <row r="4169">
      <c r="A4169" s="154" t="s">
        <v>9131</v>
      </c>
      <c r="B4169" s="154" t="s">
        <v>9132</v>
      </c>
      <c r="D4169" s="154">
        <v>2.0</v>
      </c>
      <c r="E4169" s="154" t="s">
        <v>761</v>
      </c>
      <c r="F4169" s="154" t="s">
        <v>8547</v>
      </c>
      <c r="G4169" s="154">
        <v>9.71506666666E11</v>
      </c>
      <c r="H4169" s="156">
        <v>0.0</v>
      </c>
      <c r="I4169" s="154">
        <v>9.71508444444E11</v>
      </c>
      <c r="J4169" s="156">
        <v>0.0</v>
      </c>
      <c r="K4169" s="154" t="s">
        <v>207</v>
      </c>
    </row>
    <row r="4170">
      <c r="A4170" s="154" t="s">
        <v>9133</v>
      </c>
      <c r="B4170" s="155"/>
      <c r="C4170" s="154" t="s">
        <v>9134</v>
      </c>
      <c r="D4170" s="155"/>
      <c r="E4170" s="155"/>
      <c r="F4170" s="154" t="s">
        <v>8547</v>
      </c>
      <c r="G4170" s="154">
        <v>9.71506666666E11</v>
      </c>
      <c r="H4170" s="156">
        <v>0.0</v>
      </c>
      <c r="I4170" s="154">
        <v>9.71508444444E11</v>
      </c>
      <c r="J4170" s="156">
        <v>0.0</v>
      </c>
      <c r="K4170" s="154" t="s">
        <v>207</v>
      </c>
    </row>
    <row r="4171">
      <c r="A4171" s="154" t="s">
        <v>9133</v>
      </c>
      <c r="B4171" s="154" t="s">
        <v>9134</v>
      </c>
      <c r="D4171" s="154">
        <v>2.0</v>
      </c>
      <c r="E4171" s="154" t="s">
        <v>761</v>
      </c>
      <c r="F4171" s="154" t="s">
        <v>8547</v>
      </c>
      <c r="G4171" s="154">
        <v>9.71506666666E11</v>
      </c>
      <c r="H4171" s="156">
        <v>0.0</v>
      </c>
      <c r="I4171" s="154">
        <v>9.71508444444E11</v>
      </c>
      <c r="J4171" s="156">
        <v>0.0</v>
      </c>
      <c r="K4171" s="154" t="s">
        <v>207</v>
      </c>
    </row>
    <row r="4172">
      <c r="A4172" s="154" t="s">
        <v>9135</v>
      </c>
      <c r="B4172" s="155"/>
      <c r="C4172" s="154" t="s">
        <v>9136</v>
      </c>
      <c r="D4172" s="155"/>
      <c r="E4172" s="155"/>
      <c r="F4172" s="154" t="s">
        <v>8547</v>
      </c>
      <c r="G4172" s="154">
        <v>9.71506666666E11</v>
      </c>
      <c r="H4172" s="156">
        <v>0.0</v>
      </c>
      <c r="I4172" s="154">
        <v>9.71508444444E11</v>
      </c>
      <c r="J4172" s="156">
        <v>0.0</v>
      </c>
      <c r="K4172" s="154" t="s">
        <v>207</v>
      </c>
    </row>
    <row r="4173">
      <c r="A4173" s="154" t="s">
        <v>9135</v>
      </c>
      <c r="B4173" s="154" t="s">
        <v>9136</v>
      </c>
      <c r="D4173" s="154">
        <v>2.0</v>
      </c>
      <c r="E4173" s="154" t="s">
        <v>761</v>
      </c>
      <c r="F4173" s="154" t="s">
        <v>8547</v>
      </c>
      <c r="G4173" s="154">
        <v>9.71506666666E11</v>
      </c>
      <c r="H4173" s="156">
        <v>0.0</v>
      </c>
      <c r="I4173" s="154">
        <v>9.71508444444E11</v>
      </c>
      <c r="J4173" s="156">
        <v>0.0</v>
      </c>
      <c r="K4173" s="154" t="s">
        <v>207</v>
      </c>
    </row>
    <row r="4174">
      <c r="A4174" s="154" t="s">
        <v>9137</v>
      </c>
      <c r="B4174" s="155"/>
      <c r="C4174" s="154" t="s">
        <v>9138</v>
      </c>
      <c r="D4174" s="155"/>
      <c r="E4174" s="155"/>
      <c r="F4174" s="154" t="s">
        <v>8547</v>
      </c>
      <c r="G4174" s="154">
        <v>9.71506666666E11</v>
      </c>
      <c r="H4174" s="156">
        <v>0.0</v>
      </c>
      <c r="I4174" s="154">
        <v>9.71508444444E11</v>
      </c>
      <c r="J4174" s="156">
        <v>0.0</v>
      </c>
      <c r="K4174" s="154" t="s">
        <v>207</v>
      </c>
    </row>
    <row r="4175">
      <c r="A4175" s="154" t="s">
        <v>9137</v>
      </c>
      <c r="B4175" s="154" t="s">
        <v>9138</v>
      </c>
      <c r="D4175" s="154">
        <v>2.0</v>
      </c>
      <c r="E4175" s="154" t="s">
        <v>761</v>
      </c>
      <c r="F4175" s="154" t="s">
        <v>8547</v>
      </c>
      <c r="G4175" s="154">
        <v>9.71506666666E11</v>
      </c>
      <c r="H4175" s="156">
        <v>0.0</v>
      </c>
      <c r="I4175" s="154">
        <v>9.71508444444E11</v>
      </c>
      <c r="J4175" s="156">
        <v>0.0</v>
      </c>
      <c r="K4175" s="154" t="s">
        <v>207</v>
      </c>
    </row>
    <row r="4176">
      <c r="A4176" s="154" t="s">
        <v>9139</v>
      </c>
      <c r="B4176" s="154" t="s">
        <v>9140</v>
      </c>
      <c r="D4176" s="154">
        <v>2.0</v>
      </c>
      <c r="E4176" s="154" t="s">
        <v>761</v>
      </c>
      <c r="F4176" s="154" t="s">
        <v>8547</v>
      </c>
      <c r="G4176" s="154">
        <v>9.71506666666E11</v>
      </c>
      <c r="H4176" s="156">
        <v>0.0</v>
      </c>
      <c r="I4176" s="154">
        <v>9.71508444444E11</v>
      </c>
      <c r="J4176" s="156">
        <v>0.0</v>
      </c>
      <c r="K4176" s="154" t="s">
        <v>207</v>
      </c>
    </row>
    <row r="4177">
      <c r="A4177" s="154" t="s">
        <v>9139</v>
      </c>
      <c r="B4177" s="155"/>
      <c r="C4177" s="154" t="s">
        <v>9140</v>
      </c>
      <c r="D4177" s="155"/>
      <c r="E4177" s="155"/>
      <c r="F4177" s="154" t="s">
        <v>8547</v>
      </c>
      <c r="G4177" s="154">
        <v>9.71506666666E11</v>
      </c>
      <c r="H4177" s="156">
        <v>0.0</v>
      </c>
      <c r="I4177" s="154">
        <v>9.71508444444E11</v>
      </c>
      <c r="J4177" s="156">
        <v>0.0</v>
      </c>
      <c r="K4177" s="154" t="s">
        <v>207</v>
      </c>
    </row>
    <row r="4178">
      <c r="A4178" s="154" t="s">
        <v>9141</v>
      </c>
      <c r="B4178" s="155"/>
      <c r="C4178" s="154" t="s">
        <v>9142</v>
      </c>
      <c r="D4178" s="155"/>
      <c r="E4178" s="155"/>
      <c r="F4178" s="154" t="s">
        <v>8547</v>
      </c>
      <c r="G4178" s="154">
        <v>9.71506666666E11</v>
      </c>
      <c r="H4178" s="156">
        <v>0.0</v>
      </c>
      <c r="I4178" s="154">
        <v>9.71508444444E11</v>
      </c>
      <c r="J4178" s="156">
        <v>0.0</v>
      </c>
      <c r="K4178" s="154" t="s">
        <v>207</v>
      </c>
    </row>
    <row r="4179">
      <c r="A4179" s="154" t="s">
        <v>9141</v>
      </c>
      <c r="B4179" s="154" t="s">
        <v>9142</v>
      </c>
      <c r="D4179" s="154">
        <v>2.0</v>
      </c>
      <c r="E4179" s="154" t="s">
        <v>761</v>
      </c>
      <c r="F4179" s="154" t="s">
        <v>8547</v>
      </c>
      <c r="G4179" s="154">
        <v>9.71506666666E11</v>
      </c>
      <c r="H4179" s="156">
        <v>0.0</v>
      </c>
      <c r="I4179" s="154">
        <v>9.71508444444E11</v>
      </c>
      <c r="J4179" s="156">
        <v>0.0</v>
      </c>
      <c r="K4179" s="154" t="s">
        <v>207</v>
      </c>
    </row>
    <row r="4180">
      <c r="A4180" s="154" t="s">
        <v>9143</v>
      </c>
      <c r="B4180" s="154" t="s">
        <v>9144</v>
      </c>
      <c r="D4180" s="154">
        <v>2.0</v>
      </c>
      <c r="E4180" s="154" t="s">
        <v>897</v>
      </c>
      <c r="F4180" s="154" t="s">
        <v>1619</v>
      </c>
      <c r="G4180" s="154">
        <v>4.3903333E7</v>
      </c>
      <c r="H4180" s="154" t="s">
        <v>1620</v>
      </c>
      <c r="I4180" s="156">
        <v>0.0</v>
      </c>
      <c r="J4180" s="156">
        <v>0.0</v>
      </c>
      <c r="K4180" s="156">
        <v>0.0</v>
      </c>
    </row>
    <row r="4181">
      <c r="A4181" s="154" t="s">
        <v>9143</v>
      </c>
      <c r="B4181" s="155"/>
      <c r="C4181" s="154" t="s">
        <v>9145</v>
      </c>
      <c r="D4181" s="155"/>
      <c r="E4181" s="155"/>
      <c r="F4181" s="154" t="s">
        <v>1619</v>
      </c>
      <c r="G4181" s="154">
        <v>4.3903333E7</v>
      </c>
      <c r="H4181" s="154" t="s">
        <v>1620</v>
      </c>
      <c r="I4181" s="156">
        <v>0.0</v>
      </c>
      <c r="J4181" s="156">
        <v>0.0</v>
      </c>
      <c r="K4181" s="156">
        <v>0.0</v>
      </c>
    </row>
    <row r="4182">
      <c r="A4182" s="154" t="s">
        <v>9146</v>
      </c>
      <c r="B4182" s="154" t="s">
        <v>9147</v>
      </c>
      <c r="D4182" s="154">
        <v>2.0</v>
      </c>
      <c r="E4182" s="154" t="s">
        <v>897</v>
      </c>
      <c r="F4182" s="154" t="s">
        <v>3429</v>
      </c>
      <c r="G4182" s="154">
        <v>9.71042821E11</v>
      </c>
      <c r="H4182" s="154" t="s">
        <v>2022</v>
      </c>
      <c r="I4182" s="156">
        <v>0.0</v>
      </c>
      <c r="J4182" s="156">
        <v>0.0</v>
      </c>
      <c r="K4182" s="156">
        <v>0.0</v>
      </c>
    </row>
    <row r="4183">
      <c r="A4183" s="154" t="s">
        <v>9146</v>
      </c>
      <c r="B4183" s="155"/>
      <c r="C4183" s="154" t="s">
        <v>9148</v>
      </c>
      <c r="D4183" s="155"/>
      <c r="E4183" s="155"/>
      <c r="F4183" s="154" t="s">
        <v>3127</v>
      </c>
      <c r="G4183" s="156">
        <v>0.0</v>
      </c>
      <c r="H4183" s="154" t="s">
        <v>3128</v>
      </c>
      <c r="I4183" s="154" t="s">
        <v>3129</v>
      </c>
      <c r="J4183" s="154" t="s">
        <v>3130</v>
      </c>
      <c r="K4183" s="154" t="s">
        <v>191</v>
      </c>
    </row>
    <row r="4184">
      <c r="A4184" s="154" t="s">
        <v>9149</v>
      </c>
      <c r="B4184" s="154" t="s">
        <v>9150</v>
      </c>
      <c r="D4184" s="154">
        <v>2.0</v>
      </c>
      <c r="E4184" s="154" t="s">
        <v>897</v>
      </c>
      <c r="F4184" s="154" t="s">
        <v>3127</v>
      </c>
      <c r="G4184" s="156">
        <v>0.0</v>
      </c>
      <c r="H4184" s="154" t="s">
        <v>3128</v>
      </c>
      <c r="I4184" s="154" t="s">
        <v>3129</v>
      </c>
      <c r="J4184" s="154" t="s">
        <v>3130</v>
      </c>
      <c r="K4184" s="154" t="s">
        <v>191</v>
      </c>
    </row>
    <row r="4185">
      <c r="A4185" s="154" t="s">
        <v>9149</v>
      </c>
      <c r="B4185" s="155"/>
      <c r="C4185" s="154" t="s">
        <v>9151</v>
      </c>
      <c r="D4185" s="155"/>
      <c r="E4185" s="155"/>
      <c r="F4185" s="154" t="s">
        <v>3127</v>
      </c>
      <c r="G4185" s="156">
        <v>0.0</v>
      </c>
      <c r="H4185" s="154" t="s">
        <v>3128</v>
      </c>
      <c r="I4185" s="154" t="s">
        <v>3129</v>
      </c>
      <c r="J4185" s="154" t="s">
        <v>3130</v>
      </c>
      <c r="K4185" s="154" t="s">
        <v>191</v>
      </c>
    </row>
    <row r="4186">
      <c r="A4186" s="154" t="s">
        <v>9152</v>
      </c>
      <c r="B4186" s="155"/>
      <c r="C4186" s="154" t="s">
        <v>9153</v>
      </c>
      <c r="D4186" s="155"/>
      <c r="E4186" s="155"/>
      <c r="F4186" s="154" t="s">
        <v>3127</v>
      </c>
      <c r="G4186" s="156">
        <v>0.0</v>
      </c>
      <c r="H4186" s="154" t="s">
        <v>3128</v>
      </c>
      <c r="I4186" s="154" t="s">
        <v>3129</v>
      </c>
      <c r="J4186" s="154" t="s">
        <v>3130</v>
      </c>
      <c r="K4186" s="154" t="s">
        <v>191</v>
      </c>
    </row>
    <row r="4187">
      <c r="A4187" s="154" t="s">
        <v>9152</v>
      </c>
      <c r="B4187" s="154" t="s">
        <v>9154</v>
      </c>
      <c r="D4187" s="154">
        <v>2.0</v>
      </c>
      <c r="E4187" s="154" t="s">
        <v>897</v>
      </c>
      <c r="F4187" s="154" t="s">
        <v>1619</v>
      </c>
      <c r="G4187" s="154">
        <v>4.3903333E7</v>
      </c>
      <c r="H4187" s="154" t="s">
        <v>1620</v>
      </c>
      <c r="I4187" s="156">
        <v>0.0</v>
      </c>
      <c r="J4187" s="156">
        <v>0.0</v>
      </c>
      <c r="K4187" s="156">
        <v>0.0</v>
      </c>
    </row>
    <row r="4188">
      <c r="A4188" s="154" t="s">
        <v>9155</v>
      </c>
      <c r="B4188" s="155"/>
      <c r="C4188" s="154" t="s">
        <v>9156</v>
      </c>
      <c r="D4188" s="155"/>
      <c r="E4188" s="155"/>
      <c r="F4188" s="154" t="s">
        <v>9157</v>
      </c>
      <c r="G4188" s="154">
        <v>4.3962801E7</v>
      </c>
      <c r="H4188" s="156">
        <v>0.0</v>
      </c>
      <c r="I4188" s="156">
        <v>0.0</v>
      </c>
      <c r="J4188" s="156">
        <v>0.0</v>
      </c>
      <c r="K4188" s="154" t="s">
        <v>361</v>
      </c>
    </row>
    <row r="4189">
      <c r="A4189" s="154" t="s">
        <v>9155</v>
      </c>
      <c r="B4189" s="154" t="s">
        <v>9158</v>
      </c>
      <c r="D4189" s="154">
        <v>2.0</v>
      </c>
      <c r="E4189" s="154" t="s">
        <v>897</v>
      </c>
      <c r="F4189" s="154" t="s">
        <v>9159</v>
      </c>
      <c r="G4189" s="156">
        <v>0.0</v>
      </c>
      <c r="H4189" s="154" t="s">
        <v>9160</v>
      </c>
      <c r="I4189" s="154" t="s">
        <v>9161</v>
      </c>
      <c r="J4189" s="156">
        <v>0.0</v>
      </c>
      <c r="K4189" s="154" t="s">
        <v>247</v>
      </c>
    </row>
    <row r="4190">
      <c r="A4190" s="154" t="s">
        <v>9162</v>
      </c>
      <c r="B4190" s="155"/>
      <c r="C4190" s="154" t="s">
        <v>9163</v>
      </c>
      <c r="D4190" s="155"/>
      <c r="E4190" s="155"/>
      <c r="F4190" s="154" t="s">
        <v>6676</v>
      </c>
      <c r="G4190" s="156">
        <v>0.0</v>
      </c>
      <c r="H4190" s="154" t="s">
        <v>3913</v>
      </c>
      <c r="I4190" s="154" t="s">
        <v>6677</v>
      </c>
      <c r="J4190" s="154" t="s">
        <v>809</v>
      </c>
      <c r="K4190" s="154" t="s">
        <v>760</v>
      </c>
    </row>
    <row r="4191">
      <c r="A4191" s="154" t="s">
        <v>9162</v>
      </c>
      <c r="B4191" s="154" t="s">
        <v>9164</v>
      </c>
      <c r="D4191" s="154">
        <v>2.0</v>
      </c>
      <c r="E4191" s="154" t="s">
        <v>897</v>
      </c>
      <c r="F4191" s="154" t="s">
        <v>6676</v>
      </c>
      <c r="G4191" s="156">
        <v>0.0</v>
      </c>
      <c r="H4191" s="154" t="s">
        <v>3913</v>
      </c>
      <c r="I4191" s="154" t="s">
        <v>6677</v>
      </c>
      <c r="J4191" s="154" t="s">
        <v>809</v>
      </c>
      <c r="K4191" s="154" t="s">
        <v>760</v>
      </c>
    </row>
    <row r="4192">
      <c r="A4192" s="154" t="s">
        <v>9165</v>
      </c>
      <c r="B4192" s="154" t="s">
        <v>9166</v>
      </c>
      <c r="D4192" s="154">
        <v>2.0</v>
      </c>
      <c r="E4192" s="154" t="s">
        <v>897</v>
      </c>
      <c r="F4192" s="154" t="s">
        <v>1619</v>
      </c>
      <c r="G4192" s="154">
        <v>4.3903333E7</v>
      </c>
      <c r="H4192" s="154" t="s">
        <v>1620</v>
      </c>
      <c r="I4192" s="156">
        <v>0.0</v>
      </c>
      <c r="J4192" s="156">
        <v>0.0</v>
      </c>
      <c r="K4192" s="156">
        <v>0.0</v>
      </c>
    </row>
    <row r="4193">
      <c r="A4193" s="154" t="s">
        <v>9165</v>
      </c>
      <c r="B4193" s="155"/>
      <c r="C4193" s="154" t="s">
        <v>9167</v>
      </c>
      <c r="D4193" s="155"/>
      <c r="E4193" s="155"/>
      <c r="F4193" s="154" t="s">
        <v>3473</v>
      </c>
      <c r="G4193" s="156">
        <v>0.0</v>
      </c>
      <c r="H4193" s="156">
        <v>0.0</v>
      </c>
      <c r="I4193" s="154" t="s">
        <v>3474</v>
      </c>
      <c r="J4193" s="156">
        <v>0.0</v>
      </c>
      <c r="K4193" s="154" t="s">
        <v>846</v>
      </c>
    </row>
    <row r="4194">
      <c r="A4194" s="154" t="s">
        <v>9168</v>
      </c>
      <c r="B4194" s="154" t="s">
        <v>9169</v>
      </c>
      <c r="D4194" s="154">
        <v>2.0</v>
      </c>
      <c r="E4194" s="154" t="s">
        <v>897</v>
      </c>
      <c r="F4194" s="154" t="s">
        <v>1270</v>
      </c>
      <c r="G4194" s="156">
        <v>0.0</v>
      </c>
      <c r="H4194" s="154" t="s">
        <v>1271</v>
      </c>
      <c r="I4194" s="154" t="s">
        <v>1272</v>
      </c>
      <c r="J4194" s="154" t="s">
        <v>1273</v>
      </c>
      <c r="K4194" s="154" t="s">
        <v>846</v>
      </c>
    </row>
    <row r="4195">
      <c r="A4195" s="154" t="s">
        <v>9168</v>
      </c>
      <c r="B4195" s="155"/>
      <c r="C4195" s="154" t="s">
        <v>9170</v>
      </c>
      <c r="D4195" s="155"/>
      <c r="E4195" s="155"/>
      <c r="F4195" s="154" t="s">
        <v>3940</v>
      </c>
      <c r="G4195" s="156">
        <v>0.0</v>
      </c>
      <c r="H4195" s="156">
        <v>0.0</v>
      </c>
      <c r="I4195" s="154" t="s">
        <v>3941</v>
      </c>
      <c r="J4195" s="156">
        <v>0.0</v>
      </c>
      <c r="K4195" s="154" t="s">
        <v>1196</v>
      </c>
    </row>
    <row r="4196">
      <c r="A4196" s="154" t="s">
        <v>9171</v>
      </c>
      <c r="B4196" s="154" t="s">
        <v>9172</v>
      </c>
      <c r="D4196" s="154">
        <v>2.0</v>
      </c>
      <c r="E4196" s="154" t="s">
        <v>897</v>
      </c>
      <c r="F4196" s="154" t="s">
        <v>9173</v>
      </c>
      <c r="G4196" s="156">
        <v>0.0</v>
      </c>
      <c r="H4196" s="154" t="s">
        <v>9174</v>
      </c>
      <c r="I4196" s="154" t="s">
        <v>9175</v>
      </c>
      <c r="J4196" s="154" t="s">
        <v>809</v>
      </c>
      <c r="K4196" s="154" t="s">
        <v>217</v>
      </c>
    </row>
    <row r="4197">
      <c r="A4197" s="154" t="s">
        <v>9171</v>
      </c>
      <c r="B4197" s="155"/>
      <c r="C4197" s="154" t="s">
        <v>9176</v>
      </c>
      <c r="D4197" s="155"/>
      <c r="E4197" s="155"/>
      <c r="F4197" s="154" t="s">
        <v>9173</v>
      </c>
      <c r="G4197" s="156">
        <v>0.0</v>
      </c>
      <c r="H4197" s="154" t="s">
        <v>9174</v>
      </c>
      <c r="I4197" s="154" t="s">
        <v>9175</v>
      </c>
      <c r="J4197" s="154" t="s">
        <v>809</v>
      </c>
      <c r="K4197" s="154" t="s">
        <v>217</v>
      </c>
    </row>
    <row r="4198">
      <c r="A4198" s="154" t="s">
        <v>9177</v>
      </c>
      <c r="B4198" s="155"/>
      <c r="C4198" s="154" t="s">
        <v>9178</v>
      </c>
      <c r="D4198" s="155"/>
      <c r="E4198" s="155"/>
      <c r="F4198" s="154" t="s">
        <v>1619</v>
      </c>
      <c r="G4198" s="154">
        <v>4.3903333E7</v>
      </c>
      <c r="H4198" s="154" t="s">
        <v>1620</v>
      </c>
      <c r="I4198" s="156">
        <v>0.0</v>
      </c>
      <c r="J4198" s="156">
        <v>0.0</v>
      </c>
      <c r="K4198" s="156">
        <v>0.0</v>
      </c>
    </row>
    <row r="4199">
      <c r="A4199" s="154" t="s">
        <v>9177</v>
      </c>
      <c r="B4199" s="154" t="s">
        <v>9179</v>
      </c>
      <c r="D4199" s="154">
        <v>2.0</v>
      </c>
      <c r="E4199" s="154" t="s">
        <v>897</v>
      </c>
      <c r="F4199" s="154" t="s">
        <v>9180</v>
      </c>
      <c r="G4199" s="156">
        <v>0.0</v>
      </c>
      <c r="H4199" s="154" t="s">
        <v>9181</v>
      </c>
      <c r="I4199" s="154" t="s">
        <v>9182</v>
      </c>
      <c r="J4199" s="156">
        <v>0.0</v>
      </c>
      <c r="K4199" s="154" t="s">
        <v>361</v>
      </c>
    </row>
    <row r="4200">
      <c r="A4200" s="154" t="s">
        <v>9183</v>
      </c>
      <c r="B4200" s="154" t="s">
        <v>9184</v>
      </c>
      <c r="D4200" s="154">
        <v>2.0</v>
      </c>
      <c r="E4200" s="154" t="s">
        <v>897</v>
      </c>
      <c r="F4200" s="154" t="s">
        <v>3507</v>
      </c>
      <c r="G4200" s="154" t="s">
        <v>3508</v>
      </c>
      <c r="H4200" s="154" t="s">
        <v>3509</v>
      </c>
      <c r="I4200" s="154" t="s">
        <v>3510</v>
      </c>
      <c r="J4200" s="156">
        <v>0.0</v>
      </c>
      <c r="K4200" s="154" t="s">
        <v>361</v>
      </c>
    </row>
    <row r="4201">
      <c r="A4201" s="154" t="s">
        <v>9183</v>
      </c>
      <c r="B4201" s="155"/>
      <c r="C4201" s="154" t="s">
        <v>9185</v>
      </c>
      <c r="D4201" s="155"/>
      <c r="E4201" s="155"/>
      <c r="F4201" s="154" t="s">
        <v>1619</v>
      </c>
      <c r="G4201" s="154">
        <v>4.3903333E7</v>
      </c>
      <c r="H4201" s="154" t="s">
        <v>1620</v>
      </c>
      <c r="I4201" s="156">
        <v>0.0</v>
      </c>
      <c r="J4201" s="156">
        <v>0.0</v>
      </c>
      <c r="K4201" s="156">
        <v>0.0</v>
      </c>
    </row>
    <row r="4202">
      <c r="A4202" s="154" t="s">
        <v>9186</v>
      </c>
      <c r="B4202" s="155"/>
      <c r="C4202" s="154" t="s">
        <v>9187</v>
      </c>
      <c r="D4202" s="155"/>
      <c r="E4202" s="155"/>
      <c r="F4202" s="154" t="s">
        <v>1619</v>
      </c>
      <c r="G4202" s="154">
        <v>4.3903333E7</v>
      </c>
      <c r="H4202" s="154" t="s">
        <v>1620</v>
      </c>
      <c r="I4202" s="156">
        <v>0.0</v>
      </c>
      <c r="J4202" s="156">
        <v>0.0</v>
      </c>
      <c r="K4202" s="156">
        <v>0.0</v>
      </c>
    </row>
    <row r="4203">
      <c r="A4203" s="154" t="s">
        <v>9186</v>
      </c>
      <c r="B4203" s="154" t="s">
        <v>9188</v>
      </c>
      <c r="D4203" s="154">
        <v>2.0</v>
      </c>
      <c r="E4203" s="154" t="s">
        <v>897</v>
      </c>
      <c r="F4203" s="154" t="s">
        <v>9189</v>
      </c>
      <c r="G4203" s="154" t="s">
        <v>9190</v>
      </c>
      <c r="H4203" s="156">
        <v>0.0</v>
      </c>
      <c r="I4203" s="154">
        <v>0.0</v>
      </c>
      <c r="J4203" s="156">
        <v>0.0</v>
      </c>
      <c r="K4203" s="154" t="s">
        <v>1059</v>
      </c>
    </row>
    <row r="4204">
      <c r="A4204" s="154" t="s">
        <v>9191</v>
      </c>
      <c r="B4204" s="154" t="s">
        <v>9192</v>
      </c>
      <c r="D4204" s="154">
        <v>2.0</v>
      </c>
      <c r="E4204" s="154" t="s">
        <v>897</v>
      </c>
      <c r="F4204" s="154" t="s">
        <v>9189</v>
      </c>
      <c r="G4204" s="154" t="s">
        <v>9190</v>
      </c>
      <c r="H4204" s="156">
        <v>0.0</v>
      </c>
      <c r="I4204" s="154">
        <v>0.0</v>
      </c>
      <c r="J4204" s="156">
        <v>0.0</v>
      </c>
      <c r="K4204" s="154" t="s">
        <v>1059</v>
      </c>
    </row>
    <row r="4205">
      <c r="A4205" s="154" t="s">
        <v>9191</v>
      </c>
      <c r="B4205" s="155"/>
      <c r="C4205" s="154" t="s">
        <v>9193</v>
      </c>
      <c r="D4205" s="155"/>
      <c r="E4205" s="155"/>
      <c r="F4205" s="154" t="s">
        <v>1619</v>
      </c>
      <c r="G4205" s="154">
        <v>4.3903333E7</v>
      </c>
      <c r="H4205" s="154" t="s">
        <v>1620</v>
      </c>
      <c r="I4205" s="156">
        <v>0.0</v>
      </c>
      <c r="J4205" s="156">
        <v>0.0</v>
      </c>
      <c r="K4205" s="156">
        <v>0.0</v>
      </c>
    </row>
    <row r="4206">
      <c r="A4206" s="154" t="s">
        <v>9194</v>
      </c>
      <c r="B4206" s="154" t="s">
        <v>9195</v>
      </c>
      <c r="D4206" s="154">
        <v>2.0</v>
      </c>
      <c r="E4206" s="154" t="s">
        <v>897</v>
      </c>
      <c r="F4206" s="154" t="s">
        <v>9196</v>
      </c>
      <c r="G4206" s="154">
        <v>0.0</v>
      </c>
      <c r="H4206" s="156">
        <v>0.0</v>
      </c>
      <c r="I4206" s="156">
        <v>0.0</v>
      </c>
      <c r="J4206" s="156">
        <v>0.0</v>
      </c>
      <c r="K4206" s="154" t="s">
        <v>914</v>
      </c>
    </row>
    <row r="4207">
      <c r="A4207" s="154" t="s">
        <v>9194</v>
      </c>
      <c r="B4207" s="155"/>
      <c r="C4207" s="154" t="s">
        <v>9197</v>
      </c>
      <c r="D4207" s="155"/>
      <c r="E4207" s="155"/>
      <c r="F4207" s="154" t="s">
        <v>9196</v>
      </c>
      <c r="G4207" s="154">
        <v>0.0</v>
      </c>
      <c r="H4207" s="156">
        <v>0.0</v>
      </c>
      <c r="I4207" s="156">
        <v>0.0</v>
      </c>
      <c r="J4207" s="156">
        <v>0.0</v>
      </c>
      <c r="K4207" s="154" t="s">
        <v>914</v>
      </c>
    </row>
    <row r="4208">
      <c r="A4208" s="154" t="s">
        <v>9198</v>
      </c>
      <c r="B4208" s="155"/>
      <c r="C4208" s="154" t="s">
        <v>9199</v>
      </c>
      <c r="D4208" s="155"/>
      <c r="E4208" s="155"/>
      <c r="F4208" s="154" t="s">
        <v>9200</v>
      </c>
      <c r="G4208" s="154">
        <v>971.0</v>
      </c>
      <c r="H4208" s="156">
        <v>0.0</v>
      </c>
      <c r="I4208" s="154" t="s">
        <v>9201</v>
      </c>
      <c r="J4208" s="154" t="s">
        <v>9202</v>
      </c>
      <c r="K4208" s="154" t="s">
        <v>760</v>
      </c>
    </row>
    <row r="4209">
      <c r="A4209" s="154" t="s">
        <v>9198</v>
      </c>
      <c r="B4209" s="154" t="s">
        <v>9203</v>
      </c>
      <c r="D4209" s="154">
        <v>2.0</v>
      </c>
      <c r="E4209" s="154" t="s">
        <v>897</v>
      </c>
      <c r="F4209" s="154" t="s">
        <v>1619</v>
      </c>
      <c r="G4209" s="154">
        <v>4.3903333E7</v>
      </c>
      <c r="H4209" s="154" t="s">
        <v>1620</v>
      </c>
      <c r="I4209" s="156">
        <v>0.0</v>
      </c>
      <c r="J4209" s="156">
        <v>0.0</v>
      </c>
      <c r="K4209" s="156">
        <v>0.0</v>
      </c>
    </row>
    <row r="4210">
      <c r="A4210" s="154" t="s">
        <v>9204</v>
      </c>
      <c r="B4210" s="154" t="s">
        <v>9205</v>
      </c>
      <c r="D4210" s="154">
        <v>2.0</v>
      </c>
      <c r="E4210" s="154" t="s">
        <v>897</v>
      </c>
      <c r="F4210" s="154" t="s">
        <v>9206</v>
      </c>
      <c r="G4210" s="156">
        <v>0.0</v>
      </c>
      <c r="H4210" s="154" t="s">
        <v>9207</v>
      </c>
      <c r="I4210" s="154" t="s">
        <v>9208</v>
      </c>
      <c r="J4210" s="154" t="s">
        <v>9209</v>
      </c>
      <c r="K4210" s="154" t="s">
        <v>760</v>
      </c>
    </row>
    <row r="4211">
      <c r="A4211" s="154" t="s">
        <v>9204</v>
      </c>
      <c r="B4211" s="155"/>
      <c r="C4211" s="154" t="s">
        <v>9210</v>
      </c>
      <c r="D4211" s="155"/>
      <c r="E4211" s="155"/>
      <c r="F4211" s="154" t="s">
        <v>1352</v>
      </c>
      <c r="G4211" s="154" t="s">
        <v>1353</v>
      </c>
      <c r="H4211" s="154" t="s">
        <v>1354</v>
      </c>
      <c r="I4211" s="154" t="s">
        <v>1355</v>
      </c>
      <c r="J4211" s="154" t="s">
        <v>1356</v>
      </c>
      <c r="K4211" s="154" t="s">
        <v>846</v>
      </c>
    </row>
    <row r="4212">
      <c r="A4212" s="154" t="s">
        <v>9211</v>
      </c>
      <c r="B4212" s="154" t="s">
        <v>9212</v>
      </c>
      <c r="D4212" s="154">
        <v>2.0</v>
      </c>
      <c r="E4212" s="154" t="s">
        <v>897</v>
      </c>
      <c r="F4212" s="154" t="s">
        <v>1619</v>
      </c>
      <c r="G4212" s="154">
        <v>4.3903333E7</v>
      </c>
      <c r="H4212" s="154" t="s">
        <v>1620</v>
      </c>
      <c r="I4212" s="156">
        <v>0.0</v>
      </c>
      <c r="J4212" s="156">
        <v>0.0</v>
      </c>
      <c r="K4212" s="156">
        <v>0.0</v>
      </c>
    </row>
    <row r="4213">
      <c r="A4213" s="154" t="s">
        <v>9211</v>
      </c>
      <c r="B4213" s="155"/>
      <c r="C4213" s="154" t="s">
        <v>9213</v>
      </c>
      <c r="D4213" s="155"/>
      <c r="E4213" s="155"/>
      <c r="F4213" s="154" t="s">
        <v>9214</v>
      </c>
      <c r="G4213" s="156">
        <v>0.0</v>
      </c>
      <c r="H4213" s="154" t="s">
        <v>9215</v>
      </c>
      <c r="I4213" s="154" t="s">
        <v>9216</v>
      </c>
      <c r="J4213" s="156">
        <v>0.0</v>
      </c>
      <c r="K4213" s="154" t="s">
        <v>240</v>
      </c>
    </row>
    <row r="4214">
      <c r="A4214" s="154" t="s">
        <v>9217</v>
      </c>
      <c r="B4214" s="154" t="s">
        <v>9218</v>
      </c>
      <c r="D4214" s="154">
        <v>2.0</v>
      </c>
      <c r="E4214" s="154" t="s">
        <v>897</v>
      </c>
      <c r="F4214" s="154" t="s">
        <v>9219</v>
      </c>
      <c r="G4214" s="156">
        <v>0.0</v>
      </c>
      <c r="H4214" s="154" t="s">
        <v>1838</v>
      </c>
      <c r="I4214" s="154" t="s">
        <v>9220</v>
      </c>
      <c r="J4214" s="154" t="s">
        <v>9221</v>
      </c>
      <c r="K4214" s="154" t="s">
        <v>776</v>
      </c>
    </row>
    <row r="4215">
      <c r="A4215" s="154" t="s">
        <v>9217</v>
      </c>
      <c r="B4215" s="155"/>
      <c r="C4215" s="154" t="s">
        <v>9222</v>
      </c>
      <c r="D4215" s="155"/>
      <c r="E4215" s="155"/>
      <c r="F4215" s="154" t="s">
        <v>9219</v>
      </c>
      <c r="G4215" s="156">
        <v>0.0</v>
      </c>
      <c r="H4215" s="154" t="s">
        <v>1838</v>
      </c>
      <c r="I4215" s="154" t="s">
        <v>9220</v>
      </c>
      <c r="J4215" s="154" t="s">
        <v>9221</v>
      </c>
      <c r="K4215" s="154" t="s">
        <v>776</v>
      </c>
    </row>
    <row r="4216">
      <c r="A4216" s="154" t="s">
        <v>9223</v>
      </c>
      <c r="B4216" s="154" t="s">
        <v>9224</v>
      </c>
      <c r="D4216" s="154">
        <v>2.0</v>
      </c>
      <c r="E4216" s="154" t="s">
        <v>897</v>
      </c>
      <c r="F4216" s="154" t="s">
        <v>9219</v>
      </c>
      <c r="G4216" s="156">
        <v>0.0</v>
      </c>
      <c r="H4216" s="154" t="s">
        <v>1838</v>
      </c>
      <c r="I4216" s="154" t="s">
        <v>9220</v>
      </c>
      <c r="J4216" s="154" t="s">
        <v>9221</v>
      </c>
      <c r="K4216" s="154" t="s">
        <v>776</v>
      </c>
    </row>
    <row r="4217">
      <c r="A4217" s="154" t="s">
        <v>9223</v>
      </c>
      <c r="B4217" s="155"/>
      <c r="C4217" s="154" t="s">
        <v>9225</v>
      </c>
      <c r="D4217" s="155"/>
      <c r="E4217" s="155"/>
      <c r="F4217" s="154" t="s">
        <v>9219</v>
      </c>
      <c r="G4217" s="156">
        <v>0.0</v>
      </c>
      <c r="H4217" s="154" t="s">
        <v>1838</v>
      </c>
      <c r="I4217" s="154" t="s">
        <v>9220</v>
      </c>
      <c r="J4217" s="154" t="s">
        <v>9221</v>
      </c>
      <c r="K4217" s="154" t="s">
        <v>776</v>
      </c>
    </row>
    <row r="4218">
      <c r="A4218" s="154" t="s">
        <v>9226</v>
      </c>
      <c r="B4218" s="155"/>
      <c r="C4218" s="154" t="s">
        <v>9227</v>
      </c>
      <c r="D4218" s="155"/>
      <c r="E4218" s="155"/>
      <c r="F4218" s="154" t="s">
        <v>9228</v>
      </c>
      <c r="G4218" s="156">
        <v>0.0</v>
      </c>
      <c r="H4218" s="156">
        <v>0.0</v>
      </c>
      <c r="I4218" s="154" t="s">
        <v>9229</v>
      </c>
      <c r="J4218" s="154" t="s">
        <v>9230</v>
      </c>
      <c r="K4218" s="154" t="s">
        <v>760</v>
      </c>
    </row>
    <row r="4219">
      <c r="A4219" s="154" t="s">
        <v>9226</v>
      </c>
      <c r="B4219" s="154" t="s">
        <v>9231</v>
      </c>
      <c r="D4219" s="154">
        <v>2.0</v>
      </c>
      <c r="E4219" s="154" t="s">
        <v>897</v>
      </c>
      <c r="F4219" s="154" t="s">
        <v>1619</v>
      </c>
      <c r="G4219" s="154">
        <v>4.3903333E7</v>
      </c>
      <c r="H4219" s="154" t="s">
        <v>1620</v>
      </c>
      <c r="I4219" s="156">
        <v>0.0</v>
      </c>
      <c r="J4219" s="156">
        <v>0.0</v>
      </c>
      <c r="K4219" s="156">
        <v>0.0</v>
      </c>
    </row>
    <row r="4220">
      <c r="A4220" s="154" t="s">
        <v>9232</v>
      </c>
      <c r="B4220" s="155"/>
      <c r="C4220" s="154" t="s">
        <v>9233</v>
      </c>
      <c r="D4220" s="155"/>
      <c r="E4220" s="155"/>
      <c r="F4220" s="154" t="s">
        <v>1157</v>
      </c>
      <c r="G4220" s="154" t="s">
        <v>1158</v>
      </c>
      <c r="H4220" s="154" t="s">
        <v>1159</v>
      </c>
      <c r="I4220" s="156">
        <v>0.0</v>
      </c>
      <c r="J4220" s="156">
        <v>0.0</v>
      </c>
      <c r="K4220" s="156">
        <v>0.0</v>
      </c>
    </row>
    <row r="4221">
      <c r="A4221" s="154" t="s">
        <v>9232</v>
      </c>
      <c r="B4221" s="154" t="s">
        <v>9234</v>
      </c>
      <c r="D4221" s="154">
        <v>2.0</v>
      </c>
      <c r="E4221" s="154" t="s">
        <v>897</v>
      </c>
      <c r="F4221" s="154" t="s">
        <v>4874</v>
      </c>
      <c r="G4221" s="156">
        <v>0.0</v>
      </c>
      <c r="H4221" s="154" t="s">
        <v>4875</v>
      </c>
      <c r="I4221" s="154" t="s">
        <v>4876</v>
      </c>
      <c r="J4221" s="156">
        <v>0.0</v>
      </c>
      <c r="K4221" s="154" t="s">
        <v>846</v>
      </c>
    </row>
    <row r="4222">
      <c r="A4222" s="154" t="s">
        <v>9235</v>
      </c>
      <c r="B4222" s="154" t="s">
        <v>9236</v>
      </c>
      <c r="D4222" s="154">
        <v>2.0</v>
      </c>
      <c r="E4222" s="154" t="s">
        <v>897</v>
      </c>
      <c r="F4222" s="154" t="s">
        <v>9237</v>
      </c>
      <c r="G4222" s="154">
        <v>4.0</v>
      </c>
      <c r="H4222" s="156">
        <v>0.0</v>
      </c>
      <c r="I4222" s="154">
        <v>5.079191E8</v>
      </c>
      <c r="J4222" s="156">
        <v>0.0</v>
      </c>
      <c r="K4222" s="154" t="s">
        <v>207</v>
      </c>
    </row>
    <row r="4223">
      <c r="A4223" s="154" t="s">
        <v>9235</v>
      </c>
      <c r="B4223" s="155"/>
      <c r="C4223" s="154" t="s">
        <v>9238</v>
      </c>
      <c r="D4223" s="155"/>
      <c r="E4223" s="155"/>
      <c r="F4223" s="154" t="s">
        <v>4142</v>
      </c>
      <c r="G4223" s="156">
        <v>0.0</v>
      </c>
      <c r="H4223" s="154" t="s">
        <v>4143</v>
      </c>
      <c r="I4223" s="154" t="s">
        <v>4144</v>
      </c>
      <c r="J4223" s="154" t="s">
        <v>4145</v>
      </c>
      <c r="K4223" s="154" t="s">
        <v>361</v>
      </c>
    </row>
    <row r="4224">
      <c r="A4224" s="154" t="s">
        <v>9239</v>
      </c>
      <c r="B4224" s="154" t="s">
        <v>9240</v>
      </c>
      <c r="D4224" s="154">
        <v>2.0</v>
      </c>
      <c r="E4224" s="154" t="s">
        <v>897</v>
      </c>
      <c r="F4224" s="154" t="s">
        <v>1619</v>
      </c>
      <c r="G4224" s="154">
        <v>4.3903333E7</v>
      </c>
      <c r="H4224" s="154" t="s">
        <v>1620</v>
      </c>
      <c r="I4224" s="156">
        <v>0.0</v>
      </c>
      <c r="J4224" s="156">
        <v>0.0</v>
      </c>
      <c r="K4224" s="156">
        <v>0.0</v>
      </c>
    </row>
    <row r="4225">
      <c r="A4225" s="154" t="s">
        <v>9239</v>
      </c>
      <c r="B4225" s="155"/>
      <c r="C4225" s="154" t="s">
        <v>9241</v>
      </c>
      <c r="D4225" s="155"/>
      <c r="E4225" s="155"/>
      <c r="F4225" s="154" t="s">
        <v>9242</v>
      </c>
      <c r="G4225" s="156">
        <v>0.0</v>
      </c>
      <c r="H4225" s="154" t="s">
        <v>9243</v>
      </c>
      <c r="I4225" s="154" t="s">
        <v>9244</v>
      </c>
      <c r="J4225" s="154" t="s">
        <v>9245</v>
      </c>
      <c r="K4225" s="154" t="s">
        <v>776</v>
      </c>
    </row>
    <row r="4226">
      <c r="A4226" s="154" t="s">
        <v>9246</v>
      </c>
      <c r="B4226" s="154" t="s">
        <v>9247</v>
      </c>
      <c r="D4226" s="154">
        <v>2.0</v>
      </c>
      <c r="E4226" s="154" t="s">
        <v>897</v>
      </c>
      <c r="F4226" s="154" t="s">
        <v>9248</v>
      </c>
      <c r="G4226" s="156">
        <v>0.0</v>
      </c>
      <c r="H4226" s="156">
        <v>0.0</v>
      </c>
      <c r="I4226" s="154" t="s">
        <v>9249</v>
      </c>
      <c r="J4226" s="154" t="s">
        <v>9250</v>
      </c>
      <c r="K4226" s="154" t="s">
        <v>1059</v>
      </c>
    </row>
    <row r="4227">
      <c r="A4227" s="154" t="s">
        <v>9246</v>
      </c>
      <c r="B4227" s="155"/>
      <c r="C4227" s="154" t="s">
        <v>9251</v>
      </c>
      <c r="D4227" s="155"/>
      <c r="E4227" s="155"/>
      <c r="F4227" s="154" t="s">
        <v>9248</v>
      </c>
      <c r="G4227" s="156">
        <v>0.0</v>
      </c>
      <c r="H4227" s="156">
        <v>0.0</v>
      </c>
      <c r="I4227" s="154" t="s">
        <v>9249</v>
      </c>
      <c r="J4227" s="154" t="s">
        <v>9250</v>
      </c>
      <c r="K4227" s="154" t="s">
        <v>1059</v>
      </c>
    </row>
    <row r="4228">
      <c r="A4228" s="154" t="s">
        <v>9252</v>
      </c>
      <c r="B4228" s="154" t="s">
        <v>9253</v>
      </c>
      <c r="D4228" s="154">
        <v>2.0</v>
      </c>
      <c r="E4228" s="154" t="s">
        <v>897</v>
      </c>
      <c r="F4228" s="154" t="s">
        <v>9248</v>
      </c>
      <c r="G4228" s="156">
        <v>0.0</v>
      </c>
      <c r="H4228" s="156">
        <v>0.0</v>
      </c>
      <c r="I4228" s="154" t="s">
        <v>9249</v>
      </c>
      <c r="J4228" s="154" t="s">
        <v>9250</v>
      </c>
      <c r="K4228" s="154" t="s">
        <v>1059</v>
      </c>
    </row>
    <row r="4229">
      <c r="A4229" s="154" t="s">
        <v>9252</v>
      </c>
      <c r="B4229" s="155"/>
      <c r="C4229" s="154" t="s">
        <v>9254</v>
      </c>
      <c r="D4229" s="155"/>
      <c r="E4229" s="155"/>
      <c r="F4229" s="154" t="s">
        <v>9248</v>
      </c>
      <c r="G4229" s="156">
        <v>0.0</v>
      </c>
      <c r="H4229" s="156">
        <v>0.0</v>
      </c>
      <c r="I4229" s="154" t="s">
        <v>9249</v>
      </c>
      <c r="J4229" s="154" t="s">
        <v>9250</v>
      </c>
      <c r="K4229" s="154" t="s">
        <v>1059</v>
      </c>
    </row>
    <row r="4230">
      <c r="A4230" s="154" t="s">
        <v>9255</v>
      </c>
      <c r="B4230" s="155"/>
      <c r="C4230" s="154" t="s">
        <v>9256</v>
      </c>
      <c r="D4230" s="155"/>
      <c r="E4230" s="155"/>
      <c r="F4230" s="154" t="s">
        <v>9257</v>
      </c>
      <c r="G4230" s="154">
        <v>5.03544488E8</v>
      </c>
      <c r="H4230" s="156">
        <v>0.0</v>
      </c>
      <c r="I4230" s="156">
        <v>0.0</v>
      </c>
      <c r="J4230" s="156">
        <v>0.0</v>
      </c>
      <c r="K4230" s="156">
        <v>0.0</v>
      </c>
    </row>
    <row r="4231">
      <c r="A4231" s="154" t="s">
        <v>9255</v>
      </c>
      <c r="B4231" s="154" t="s">
        <v>9258</v>
      </c>
      <c r="D4231" s="154">
        <v>2.0</v>
      </c>
      <c r="E4231" s="154" t="s">
        <v>897</v>
      </c>
      <c r="F4231" s="154" t="s">
        <v>9257</v>
      </c>
      <c r="G4231" s="154">
        <v>5.03544488E8</v>
      </c>
      <c r="H4231" s="156">
        <v>0.0</v>
      </c>
      <c r="I4231" s="156">
        <v>0.0</v>
      </c>
      <c r="J4231" s="156">
        <v>0.0</v>
      </c>
      <c r="K4231" s="156">
        <v>0.0</v>
      </c>
    </row>
    <row r="4232">
      <c r="A4232" s="154" t="s">
        <v>9259</v>
      </c>
      <c r="B4232" s="154" t="s">
        <v>9260</v>
      </c>
      <c r="D4232" s="154">
        <v>2.0</v>
      </c>
      <c r="E4232" s="154" t="s">
        <v>897</v>
      </c>
      <c r="F4232" s="154" t="s">
        <v>9261</v>
      </c>
      <c r="G4232" s="154">
        <v>5.04480507E8</v>
      </c>
      <c r="H4232" s="156">
        <v>0.0</v>
      </c>
      <c r="I4232" s="154" t="s">
        <v>9262</v>
      </c>
      <c r="J4232" s="154" t="s">
        <v>9263</v>
      </c>
      <c r="K4232" s="154" t="s">
        <v>798</v>
      </c>
    </row>
    <row r="4233">
      <c r="A4233" s="154" t="s">
        <v>9259</v>
      </c>
      <c r="B4233" s="155"/>
      <c r="C4233" s="154" t="s">
        <v>9264</v>
      </c>
      <c r="D4233" s="155"/>
      <c r="E4233" s="155"/>
      <c r="F4233" s="154" t="s">
        <v>9261</v>
      </c>
      <c r="G4233" s="154">
        <v>5.04480507E8</v>
      </c>
      <c r="H4233" s="156">
        <v>0.0</v>
      </c>
      <c r="I4233" s="154" t="s">
        <v>9262</v>
      </c>
      <c r="J4233" s="154" t="s">
        <v>9263</v>
      </c>
      <c r="K4233" s="154" t="s">
        <v>798</v>
      </c>
    </row>
    <row r="4234">
      <c r="A4234" s="154" t="s">
        <v>9265</v>
      </c>
      <c r="B4234" s="154" t="s">
        <v>9266</v>
      </c>
      <c r="D4234" s="154">
        <v>2.0</v>
      </c>
      <c r="E4234" s="154" t="s">
        <v>897</v>
      </c>
      <c r="F4234" s="154" t="s">
        <v>792</v>
      </c>
      <c r="G4234" s="154" t="s">
        <v>793</v>
      </c>
      <c r="H4234" s="154" t="s">
        <v>794</v>
      </c>
      <c r="I4234" s="156">
        <v>0.0</v>
      </c>
      <c r="J4234" s="156">
        <v>0.0</v>
      </c>
      <c r="K4234" s="156">
        <v>0.0</v>
      </c>
    </row>
    <row r="4235">
      <c r="A4235" s="154" t="s">
        <v>9265</v>
      </c>
      <c r="B4235" s="155"/>
      <c r="C4235" s="154" t="s">
        <v>9267</v>
      </c>
      <c r="D4235" s="155"/>
      <c r="E4235" s="155"/>
      <c r="F4235" s="154" t="s">
        <v>6581</v>
      </c>
      <c r="G4235" s="156">
        <v>0.0</v>
      </c>
      <c r="H4235" s="154" t="s">
        <v>3858</v>
      </c>
      <c r="I4235" s="154" t="s">
        <v>6582</v>
      </c>
      <c r="J4235" s="154" t="s">
        <v>6583</v>
      </c>
      <c r="K4235" s="154" t="s">
        <v>760</v>
      </c>
    </row>
    <row r="4236">
      <c r="A4236" s="154" t="s">
        <v>9268</v>
      </c>
      <c r="B4236" s="155"/>
      <c r="C4236" s="154" t="s">
        <v>9269</v>
      </c>
      <c r="D4236" s="155"/>
      <c r="E4236" s="155"/>
      <c r="F4236" s="154" t="s">
        <v>9270</v>
      </c>
      <c r="G4236" s="154">
        <v>5.0640171E8</v>
      </c>
      <c r="H4236" s="156">
        <v>0.0</v>
      </c>
      <c r="I4236" s="154" t="s">
        <v>9271</v>
      </c>
      <c r="J4236" s="156">
        <v>0.0</v>
      </c>
      <c r="K4236" s="154" t="s">
        <v>206</v>
      </c>
    </row>
    <row r="4237">
      <c r="A4237" s="154" t="s">
        <v>9268</v>
      </c>
      <c r="B4237" s="154" t="s">
        <v>9272</v>
      </c>
      <c r="D4237" s="154">
        <v>2.0</v>
      </c>
      <c r="E4237" s="154" t="s">
        <v>897</v>
      </c>
      <c r="F4237" s="154" t="s">
        <v>9273</v>
      </c>
      <c r="G4237" s="156">
        <v>0.0</v>
      </c>
      <c r="H4237" s="156">
        <v>0.0</v>
      </c>
      <c r="I4237" s="154" t="s">
        <v>9274</v>
      </c>
      <c r="J4237" s="154" t="s">
        <v>9275</v>
      </c>
      <c r="K4237" s="154" t="s">
        <v>206</v>
      </c>
    </row>
    <row r="4238">
      <c r="A4238" s="154" t="s">
        <v>9276</v>
      </c>
      <c r="B4238" s="154" t="s">
        <v>9277</v>
      </c>
      <c r="D4238" s="154">
        <v>2.0</v>
      </c>
      <c r="E4238" s="154" t="s">
        <v>897</v>
      </c>
      <c r="F4238" s="154" t="s">
        <v>9278</v>
      </c>
      <c r="G4238" s="156">
        <v>0.0</v>
      </c>
      <c r="H4238" s="156">
        <v>0.0</v>
      </c>
      <c r="I4238" s="154" t="s">
        <v>9279</v>
      </c>
      <c r="J4238" s="154" t="s">
        <v>9280</v>
      </c>
      <c r="K4238" s="154" t="s">
        <v>301</v>
      </c>
    </row>
    <row r="4239">
      <c r="A4239" s="154" t="s">
        <v>9276</v>
      </c>
      <c r="B4239" s="155"/>
      <c r="C4239" s="154" t="s">
        <v>9281</v>
      </c>
      <c r="D4239" s="155"/>
      <c r="E4239" s="155"/>
      <c r="F4239" s="154" t="s">
        <v>792</v>
      </c>
      <c r="G4239" s="154" t="s">
        <v>793</v>
      </c>
      <c r="H4239" s="154" t="s">
        <v>794</v>
      </c>
      <c r="I4239" s="156">
        <v>0.0</v>
      </c>
      <c r="J4239" s="156">
        <v>0.0</v>
      </c>
      <c r="K4239" s="156">
        <v>0.0</v>
      </c>
    </row>
    <row r="4240">
      <c r="A4240" s="154" t="s">
        <v>9282</v>
      </c>
      <c r="B4240" s="154" t="s">
        <v>9283</v>
      </c>
      <c r="D4240" s="154">
        <v>2.0</v>
      </c>
      <c r="E4240" s="154" t="s">
        <v>897</v>
      </c>
      <c r="F4240" s="154" t="s">
        <v>9284</v>
      </c>
      <c r="G4240" s="156">
        <v>0.0</v>
      </c>
      <c r="H4240" s="156">
        <v>0.0</v>
      </c>
      <c r="I4240" s="154" t="s">
        <v>9285</v>
      </c>
      <c r="J4240" s="156">
        <v>0.0</v>
      </c>
      <c r="K4240" s="154" t="s">
        <v>776</v>
      </c>
    </row>
    <row r="4241">
      <c r="A4241" s="154" t="s">
        <v>9282</v>
      </c>
      <c r="B4241" s="155"/>
      <c r="C4241" s="154" t="s">
        <v>9286</v>
      </c>
      <c r="D4241" s="155"/>
      <c r="E4241" s="155"/>
      <c r="F4241" s="154" t="s">
        <v>9284</v>
      </c>
      <c r="G4241" s="156">
        <v>0.0</v>
      </c>
      <c r="H4241" s="156">
        <v>0.0</v>
      </c>
      <c r="I4241" s="154" t="s">
        <v>9285</v>
      </c>
      <c r="J4241" s="156">
        <v>0.0</v>
      </c>
      <c r="K4241" s="154" t="s">
        <v>776</v>
      </c>
    </row>
    <row r="4242">
      <c r="A4242" s="154" t="s">
        <v>9287</v>
      </c>
      <c r="B4242" s="154" t="s">
        <v>9288</v>
      </c>
      <c r="D4242" s="154">
        <v>2.0</v>
      </c>
      <c r="E4242" s="154" t="s">
        <v>897</v>
      </c>
      <c r="F4242" s="154" t="s">
        <v>1619</v>
      </c>
      <c r="G4242" s="154">
        <v>4.3903333E7</v>
      </c>
      <c r="H4242" s="154" t="s">
        <v>1620</v>
      </c>
      <c r="I4242" s="156">
        <v>0.0</v>
      </c>
      <c r="J4242" s="156">
        <v>0.0</v>
      </c>
      <c r="K4242" s="156">
        <v>0.0</v>
      </c>
    </row>
    <row r="4243">
      <c r="A4243" s="154" t="s">
        <v>9287</v>
      </c>
      <c r="B4243" s="155"/>
      <c r="C4243" s="154" t="s">
        <v>9289</v>
      </c>
      <c r="D4243" s="155"/>
      <c r="E4243" s="155"/>
      <c r="F4243" s="154" t="s">
        <v>1619</v>
      </c>
      <c r="G4243" s="154">
        <v>4.3903333E7</v>
      </c>
      <c r="H4243" s="154" t="s">
        <v>1620</v>
      </c>
      <c r="I4243" s="156">
        <v>0.0</v>
      </c>
      <c r="J4243" s="156">
        <v>0.0</v>
      </c>
      <c r="K4243" s="156">
        <v>0.0</v>
      </c>
    </row>
    <row r="4244">
      <c r="A4244" s="154" t="s">
        <v>9290</v>
      </c>
      <c r="B4244" s="155"/>
      <c r="C4244" s="154" t="s">
        <v>9291</v>
      </c>
      <c r="D4244" s="155"/>
      <c r="E4244" s="155"/>
      <c r="F4244" s="154" t="s">
        <v>1619</v>
      </c>
      <c r="G4244" s="154">
        <v>4.3903333E7</v>
      </c>
      <c r="H4244" s="154" t="s">
        <v>1620</v>
      </c>
      <c r="I4244" s="156">
        <v>0.0</v>
      </c>
      <c r="J4244" s="156">
        <v>0.0</v>
      </c>
      <c r="K4244" s="156">
        <v>0.0</v>
      </c>
    </row>
    <row r="4245">
      <c r="A4245" s="154" t="s">
        <v>9290</v>
      </c>
      <c r="B4245" s="154" t="s">
        <v>9292</v>
      </c>
      <c r="D4245" s="154">
        <v>2.0</v>
      </c>
      <c r="E4245" s="154" t="s">
        <v>897</v>
      </c>
      <c r="F4245" s="154" t="s">
        <v>9293</v>
      </c>
      <c r="G4245" s="156">
        <v>0.0</v>
      </c>
      <c r="H4245" s="154" t="s">
        <v>1185</v>
      </c>
      <c r="I4245" s="154" t="s">
        <v>9294</v>
      </c>
      <c r="J4245" s="154" t="s">
        <v>9295</v>
      </c>
      <c r="K4245" s="154" t="s">
        <v>776</v>
      </c>
    </row>
    <row r="4246">
      <c r="A4246" s="154" t="s">
        <v>9296</v>
      </c>
      <c r="B4246" s="155"/>
      <c r="C4246" s="154" t="s">
        <v>9297</v>
      </c>
      <c r="D4246" s="155"/>
      <c r="E4246" s="155"/>
      <c r="F4246" s="154" t="s">
        <v>6665</v>
      </c>
      <c r="G4246" s="154" t="s">
        <v>6666</v>
      </c>
      <c r="H4246" s="154" t="s">
        <v>6667</v>
      </c>
      <c r="I4246" s="154" t="s">
        <v>6668</v>
      </c>
      <c r="J4246" s="154" t="s">
        <v>6666</v>
      </c>
      <c r="K4246" s="154" t="s">
        <v>361</v>
      </c>
    </row>
    <row r="4247">
      <c r="A4247" s="154" t="s">
        <v>9296</v>
      </c>
      <c r="B4247" s="154" t="s">
        <v>9298</v>
      </c>
      <c r="D4247" s="154">
        <v>2.0</v>
      </c>
      <c r="E4247" s="154" t="s">
        <v>897</v>
      </c>
      <c r="F4247" s="154" t="s">
        <v>6665</v>
      </c>
      <c r="G4247" s="154" t="s">
        <v>6666</v>
      </c>
      <c r="H4247" s="154" t="s">
        <v>6667</v>
      </c>
      <c r="I4247" s="154" t="s">
        <v>6668</v>
      </c>
      <c r="J4247" s="154" t="s">
        <v>6666</v>
      </c>
      <c r="K4247" s="154" t="s">
        <v>361</v>
      </c>
    </row>
    <row r="4248">
      <c r="A4248" s="154" t="s">
        <v>9299</v>
      </c>
      <c r="B4248" s="154" t="s">
        <v>9300</v>
      </c>
      <c r="D4248" s="154">
        <v>2.0</v>
      </c>
      <c r="E4248" s="154" t="s">
        <v>897</v>
      </c>
      <c r="F4248" s="154" t="s">
        <v>9293</v>
      </c>
      <c r="G4248" s="156">
        <v>0.0</v>
      </c>
      <c r="H4248" s="154" t="s">
        <v>1185</v>
      </c>
      <c r="I4248" s="154" t="s">
        <v>9294</v>
      </c>
      <c r="J4248" s="154" t="s">
        <v>9295</v>
      </c>
      <c r="K4248" s="154" t="s">
        <v>776</v>
      </c>
    </row>
    <row r="4249">
      <c r="A4249" s="154" t="s">
        <v>9299</v>
      </c>
      <c r="B4249" s="155"/>
      <c r="C4249" s="154" t="s">
        <v>9301</v>
      </c>
      <c r="D4249" s="155"/>
      <c r="E4249" s="155"/>
      <c r="F4249" s="154" t="s">
        <v>6672</v>
      </c>
      <c r="G4249" s="154">
        <v>4.8812222E7</v>
      </c>
      <c r="H4249" s="156">
        <v>0.0</v>
      </c>
      <c r="I4249" s="154">
        <v>5.66836836E8</v>
      </c>
      <c r="J4249" s="156">
        <v>0.0</v>
      </c>
      <c r="K4249" s="154" t="s">
        <v>4615</v>
      </c>
    </row>
    <row r="4250">
      <c r="A4250" s="154" t="s">
        <v>9302</v>
      </c>
      <c r="B4250" s="154" t="s">
        <v>9303</v>
      </c>
      <c r="D4250" s="154">
        <v>2.0</v>
      </c>
      <c r="E4250" s="154" t="s">
        <v>897</v>
      </c>
      <c r="F4250" s="154" t="s">
        <v>6682</v>
      </c>
      <c r="G4250" s="156">
        <v>0.0</v>
      </c>
      <c r="H4250" s="156">
        <v>0.0</v>
      </c>
      <c r="I4250" s="154" t="s">
        <v>6683</v>
      </c>
      <c r="J4250" s="156">
        <v>0.0</v>
      </c>
      <c r="K4250" s="154" t="s">
        <v>207</v>
      </c>
    </row>
    <row r="4251">
      <c r="A4251" s="154" t="s">
        <v>9302</v>
      </c>
      <c r="B4251" s="155"/>
      <c r="C4251" s="154" t="s">
        <v>9304</v>
      </c>
      <c r="D4251" s="155"/>
      <c r="E4251" s="155"/>
      <c r="F4251" s="154" t="s">
        <v>6682</v>
      </c>
      <c r="G4251" s="156">
        <v>0.0</v>
      </c>
      <c r="H4251" s="156">
        <v>0.0</v>
      </c>
      <c r="I4251" s="154" t="s">
        <v>6683</v>
      </c>
      <c r="J4251" s="156">
        <v>0.0</v>
      </c>
      <c r="K4251" s="154" t="s">
        <v>207</v>
      </c>
    </row>
    <row r="4252">
      <c r="A4252" s="154" t="s">
        <v>9305</v>
      </c>
      <c r="B4252" s="154" t="s">
        <v>9306</v>
      </c>
      <c r="D4252" s="154">
        <v>2.0</v>
      </c>
      <c r="E4252" s="154" t="s">
        <v>897</v>
      </c>
      <c r="F4252" s="154" t="s">
        <v>9307</v>
      </c>
      <c r="G4252" s="156">
        <v>0.0</v>
      </c>
      <c r="H4252" s="156">
        <v>0.0</v>
      </c>
      <c r="I4252" s="154" t="s">
        <v>9308</v>
      </c>
      <c r="J4252" s="154" t="s">
        <v>9309</v>
      </c>
      <c r="K4252" s="154" t="s">
        <v>301</v>
      </c>
    </row>
    <row r="4253">
      <c r="A4253" s="154" t="s">
        <v>9305</v>
      </c>
      <c r="B4253" s="155"/>
      <c r="C4253" s="154" t="s">
        <v>9310</v>
      </c>
      <c r="D4253" s="155"/>
      <c r="E4253" s="155"/>
      <c r="F4253" s="154" t="s">
        <v>1619</v>
      </c>
      <c r="G4253" s="154">
        <v>4.3903333E7</v>
      </c>
      <c r="H4253" s="154" t="s">
        <v>1620</v>
      </c>
      <c r="I4253" s="156">
        <v>0.0</v>
      </c>
      <c r="J4253" s="156">
        <v>0.0</v>
      </c>
      <c r="K4253" s="156">
        <v>0.0</v>
      </c>
    </row>
    <row r="4254">
      <c r="A4254" s="154" t="s">
        <v>9311</v>
      </c>
      <c r="B4254" s="155"/>
      <c r="C4254" s="154" t="s">
        <v>9312</v>
      </c>
      <c r="D4254" s="155"/>
      <c r="E4254" s="155"/>
      <c r="F4254" s="154" t="s">
        <v>3975</v>
      </c>
      <c r="G4254" s="154">
        <v>4.3911111E7</v>
      </c>
      <c r="H4254" s="156">
        <v>0.0</v>
      </c>
      <c r="I4254" s="154">
        <v>5.52901014E8</v>
      </c>
      <c r="J4254" s="156">
        <v>0.0</v>
      </c>
      <c r="K4254" s="154" t="s">
        <v>206</v>
      </c>
    </row>
    <row r="4255">
      <c r="A4255" s="154" t="s">
        <v>9311</v>
      </c>
      <c r="B4255" s="154" t="s">
        <v>9313</v>
      </c>
      <c r="D4255" s="154">
        <v>2.0</v>
      </c>
      <c r="E4255" s="154" t="s">
        <v>897</v>
      </c>
      <c r="F4255" s="154" t="s">
        <v>9314</v>
      </c>
      <c r="G4255" s="154" t="s">
        <v>9315</v>
      </c>
      <c r="H4255" s="154" t="s">
        <v>9316</v>
      </c>
      <c r="I4255" s="154">
        <v>9.71506571363E11</v>
      </c>
      <c r="J4255" s="156">
        <v>0.0</v>
      </c>
      <c r="K4255" s="154" t="s">
        <v>206</v>
      </c>
    </row>
    <row r="4256">
      <c r="A4256" s="154" t="s">
        <v>9317</v>
      </c>
      <c r="B4256" s="155"/>
      <c r="C4256" s="154" t="s">
        <v>9318</v>
      </c>
      <c r="D4256" s="155"/>
      <c r="E4256" s="155"/>
      <c r="F4256" s="154" t="s">
        <v>1619</v>
      </c>
      <c r="G4256" s="154">
        <v>4.3903333E7</v>
      </c>
      <c r="H4256" s="154" t="s">
        <v>1620</v>
      </c>
      <c r="I4256" s="156">
        <v>0.0</v>
      </c>
      <c r="J4256" s="156">
        <v>0.0</v>
      </c>
      <c r="K4256" s="156">
        <v>0.0</v>
      </c>
    </row>
    <row r="4257">
      <c r="A4257" s="154" t="s">
        <v>9317</v>
      </c>
      <c r="B4257" s="154" t="s">
        <v>9319</v>
      </c>
      <c r="D4257" s="154">
        <v>2.0</v>
      </c>
      <c r="E4257" s="154" t="s">
        <v>897</v>
      </c>
      <c r="F4257" s="154" t="s">
        <v>1619</v>
      </c>
      <c r="G4257" s="154">
        <v>4.3903333E7</v>
      </c>
      <c r="H4257" s="154" t="s">
        <v>1620</v>
      </c>
      <c r="I4257" s="156">
        <v>0.0</v>
      </c>
      <c r="J4257" s="156">
        <v>0.0</v>
      </c>
      <c r="K4257" s="156">
        <v>0.0</v>
      </c>
    </row>
    <row r="4258">
      <c r="A4258" s="154" t="s">
        <v>9320</v>
      </c>
      <c r="B4258" s="154" t="s">
        <v>9321</v>
      </c>
      <c r="D4258" s="154">
        <v>2.0</v>
      </c>
      <c r="E4258" s="154" t="s">
        <v>897</v>
      </c>
      <c r="F4258" s="154" t="s">
        <v>1349</v>
      </c>
      <c r="G4258" s="156">
        <v>0.0</v>
      </c>
      <c r="H4258" s="154" t="s">
        <v>1185</v>
      </c>
      <c r="I4258" s="154" t="s">
        <v>1350</v>
      </c>
      <c r="J4258" s="154" t="s">
        <v>1351</v>
      </c>
      <c r="K4258" s="154" t="s">
        <v>846</v>
      </c>
    </row>
    <row r="4259">
      <c r="A4259" s="154" t="s">
        <v>9320</v>
      </c>
      <c r="B4259" s="155"/>
      <c r="C4259" s="154" t="s">
        <v>9322</v>
      </c>
      <c r="D4259" s="155"/>
      <c r="E4259" s="155"/>
      <c r="F4259" s="154" t="s">
        <v>1352</v>
      </c>
      <c r="G4259" s="154" t="s">
        <v>1353</v>
      </c>
      <c r="H4259" s="154" t="s">
        <v>1354</v>
      </c>
      <c r="I4259" s="154" t="s">
        <v>1355</v>
      </c>
      <c r="J4259" s="154" t="s">
        <v>1356</v>
      </c>
      <c r="K4259" s="154" t="s">
        <v>846</v>
      </c>
    </row>
    <row r="4260">
      <c r="A4260" s="154" t="s">
        <v>9323</v>
      </c>
      <c r="B4260" s="154" t="s">
        <v>9324</v>
      </c>
      <c r="D4260" s="154">
        <v>2.0</v>
      </c>
      <c r="E4260" s="154" t="s">
        <v>897</v>
      </c>
      <c r="F4260" s="154" t="s">
        <v>9325</v>
      </c>
      <c r="G4260" s="156">
        <v>0.0</v>
      </c>
      <c r="H4260" s="156">
        <v>0.0</v>
      </c>
      <c r="I4260" s="154" t="s">
        <v>3356</v>
      </c>
      <c r="J4260" s="154" t="s">
        <v>9326</v>
      </c>
      <c r="K4260" s="154" t="s">
        <v>760</v>
      </c>
    </row>
    <row r="4261">
      <c r="A4261" s="154" t="s">
        <v>9323</v>
      </c>
      <c r="B4261" s="155"/>
      <c r="C4261" s="154" t="s">
        <v>9327</v>
      </c>
      <c r="D4261" s="155"/>
      <c r="E4261" s="155"/>
      <c r="F4261" s="154" t="s">
        <v>9325</v>
      </c>
      <c r="G4261" s="156">
        <v>0.0</v>
      </c>
      <c r="H4261" s="156">
        <v>0.0</v>
      </c>
      <c r="I4261" s="154" t="s">
        <v>3356</v>
      </c>
      <c r="J4261" s="154" t="s">
        <v>9326</v>
      </c>
      <c r="K4261" s="154" t="s">
        <v>760</v>
      </c>
    </row>
    <row r="4262">
      <c r="A4262" s="154" t="s">
        <v>9328</v>
      </c>
      <c r="B4262" s="155"/>
      <c r="C4262" s="154" t="s">
        <v>9329</v>
      </c>
      <c r="D4262" s="155"/>
      <c r="E4262" s="155"/>
      <c r="F4262" s="154" t="s">
        <v>9330</v>
      </c>
      <c r="G4262" s="156">
        <v>0.0</v>
      </c>
      <c r="H4262" s="156">
        <v>0.0</v>
      </c>
      <c r="I4262" s="154" t="s">
        <v>9331</v>
      </c>
      <c r="J4262" s="156">
        <v>0.0</v>
      </c>
      <c r="K4262" s="154" t="s">
        <v>818</v>
      </c>
    </row>
    <row r="4263">
      <c r="A4263" s="154" t="s">
        <v>9328</v>
      </c>
      <c r="B4263" s="154" t="s">
        <v>9332</v>
      </c>
      <c r="D4263" s="154">
        <v>2.0</v>
      </c>
      <c r="E4263" s="154" t="s">
        <v>897</v>
      </c>
      <c r="F4263" s="154" t="s">
        <v>9330</v>
      </c>
      <c r="G4263" s="156">
        <v>0.0</v>
      </c>
      <c r="H4263" s="156">
        <v>0.0</v>
      </c>
      <c r="I4263" s="154" t="s">
        <v>9331</v>
      </c>
      <c r="J4263" s="156">
        <v>0.0</v>
      </c>
      <c r="K4263" s="154" t="s">
        <v>818</v>
      </c>
    </row>
    <row r="4264">
      <c r="A4264" s="154" t="s">
        <v>9333</v>
      </c>
      <c r="B4264" s="155"/>
      <c r="C4264" s="154" t="s">
        <v>9334</v>
      </c>
      <c r="D4264" s="155"/>
      <c r="E4264" s="155"/>
      <c r="F4264" s="154" t="s">
        <v>6904</v>
      </c>
      <c r="G4264" s="154">
        <v>5.04659514E8</v>
      </c>
      <c r="H4264" s="156">
        <v>0.0</v>
      </c>
      <c r="I4264" s="156">
        <v>0.0</v>
      </c>
      <c r="J4264" s="156">
        <v>0.0</v>
      </c>
      <c r="K4264" s="154" t="s">
        <v>361</v>
      </c>
    </row>
    <row r="4265">
      <c r="A4265" s="154" t="s">
        <v>9333</v>
      </c>
      <c r="B4265" s="154" t="s">
        <v>9335</v>
      </c>
      <c r="D4265" s="154">
        <v>2.0</v>
      </c>
      <c r="E4265" s="154" t="s">
        <v>897</v>
      </c>
      <c r="F4265" s="154" t="s">
        <v>1619</v>
      </c>
      <c r="G4265" s="154">
        <v>4.3903333E7</v>
      </c>
      <c r="H4265" s="154" t="s">
        <v>1620</v>
      </c>
      <c r="I4265" s="156">
        <v>0.0</v>
      </c>
      <c r="J4265" s="156">
        <v>0.0</v>
      </c>
      <c r="K4265" s="156">
        <v>0.0</v>
      </c>
    </row>
    <row r="4266">
      <c r="A4266" s="154" t="s">
        <v>9336</v>
      </c>
      <c r="B4266" s="154" t="s">
        <v>9337</v>
      </c>
      <c r="D4266" s="154">
        <v>2.0</v>
      </c>
      <c r="E4266" s="154" t="s">
        <v>897</v>
      </c>
      <c r="F4266" s="154" t="s">
        <v>9338</v>
      </c>
      <c r="G4266" s="156">
        <v>0.0</v>
      </c>
      <c r="H4266" s="154" t="s">
        <v>9339</v>
      </c>
      <c r="I4266" s="154" t="s">
        <v>9340</v>
      </c>
      <c r="J4266" s="154" t="s">
        <v>9341</v>
      </c>
      <c r="K4266" s="154" t="s">
        <v>760</v>
      </c>
    </row>
    <row r="4267">
      <c r="A4267" s="154" t="s">
        <v>9336</v>
      </c>
      <c r="B4267" s="155"/>
      <c r="C4267" s="154" t="s">
        <v>9342</v>
      </c>
      <c r="D4267" s="155"/>
      <c r="E4267" s="155"/>
      <c r="F4267" s="154" t="s">
        <v>1619</v>
      </c>
      <c r="G4267" s="154">
        <v>4.3903333E7</v>
      </c>
      <c r="H4267" s="154" t="s">
        <v>1620</v>
      </c>
      <c r="I4267" s="156">
        <v>0.0</v>
      </c>
      <c r="J4267" s="156">
        <v>0.0</v>
      </c>
      <c r="K4267" s="156">
        <v>0.0</v>
      </c>
    </row>
    <row r="4268">
      <c r="A4268" s="154" t="s">
        <v>9343</v>
      </c>
      <c r="B4268" s="154" t="s">
        <v>9344</v>
      </c>
      <c r="D4268" s="154">
        <v>2.0</v>
      </c>
      <c r="E4268" s="154" t="s">
        <v>897</v>
      </c>
      <c r="F4268" s="154" t="s">
        <v>7290</v>
      </c>
      <c r="G4268" s="156">
        <v>0.0</v>
      </c>
      <c r="H4268" s="154" t="s">
        <v>7291</v>
      </c>
      <c r="I4268" s="154" t="s">
        <v>7292</v>
      </c>
      <c r="J4268" s="154" t="s">
        <v>7293</v>
      </c>
      <c r="K4268" s="154" t="s">
        <v>259</v>
      </c>
    </row>
    <row r="4269">
      <c r="A4269" s="154" t="s">
        <v>9343</v>
      </c>
      <c r="B4269" s="155"/>
      <c r="C4269" s="154" t="s">
        <v>9345</v>
      </c>
      <c r="D4269" s="155"/>
      <c r="E4269" s="155"/>
      <c r="F4269" s="154" t="s">
        <v>7290</v>
      </c>
      <c r="G4269" s="156">
        <v>0.0</v>
      </c>
      <c r="H4269" s="154" t="s">
        <v>7291</v>
      </c>
      <c r="I4269" s="154" t="s">
        <v>7292</v>
      </c>
      <c r="J4269" s="154" t="s">
        <v>7293</v>
      </c>
      <c r="K4269" s="154" t="s">
        <v>259</v>
      </c>
    </row>
    <row r="4270">
      <c r="A4270" s="154" t="s">
        <v>9346</v>
      </c>
      <c r="B4270" s="154" t="s">
        <v>9347</v>
      </c>
      <c r="D4270" s="154">
        <v>2.0</v>
      </c>
      <c r="E4270" s="154" t="s">
        <v>897</v>
      </c>
      <c r="F4270" s="154" t="s">
        <v>1619</v>
      </c>
      <c r="G4270" s="154">
        <v>4.3903333E7</v>
      </c>
      <c r="H4270" s="154" t="s">
        <v>1620</v>
      </c>
      <c r="I4270" s="156">
        <v>0.0</v>
      </c>
      <c r="J4270" s="156">
        <v>0.0</v>
      </c>
      <c r="K4270" s="156">
        <v>0.0</v>
      </c>
    </row>
    <row r="4271">
      <c r="A4271" s="154" t="s">
        <v>9346</v>
      </c>
      <c r="B4271" s="155"/>
      <c r="C4271" s="154" t="s">
        <v>9348</v>
      </c>
      <c r="D4271" s="155"/>
      <c r="E4271" s="155"/>
      <c r="F4271" s="154" t="s">
        <v>2936</v>
      </c>
      <c r="G4271" s="154">
        <v>4.24963E7</v>
      </c>
      <c r="H4271" s="154" t="s">
        <v>2937</v>
      </c>
      <c r="I4271" s="154">
        <v>5.5686879E8</v>
      </c>
      <c r="J4271" s="154" t="s">
        <v>2938</v>
      </c>
      <c r="K4271" s="154" t="s">
        <v>760</v>
      </c>
    </row>
    <row r="4272">
      <c r="A4272" s="154" t="s">
        <v>9349</v>
      </c>
      <c r="B4272" s="155"/>
      <c r="C4272" s="154" t="s">
        <v>9350</v>
      </c>
      <c r="D4272" s="155"/>
      <c r="E4272" s="155"/>
      <c r="F4272" s="154" t="s">
        <v>9351</v>
      </c>
      <c r="G4272" s="156">
        <v>0.0</v>
      </c>
      <c r="H4272" s="154" t="s">
        <v>1838</v>
      </c>
      <c r="I4272" s="154" t="s">
        <v>9352</v>
      </c>
      <c r="J4272" s="154" t="s">
        <v>9353</v>
      </c>
      <c r="K4272" s="154" t="s">
        <v>846</v>
      </c>
    </row>
    <row r="4273">
      <c r="A4273" s="154" t="s">
        <v>9349</v>
      </c>
      <c r="B4273" s="154" t="s">
        <v>9354</v>
      </c>
      <c r="D4273" s="154">
        <v>2.0</v>
      </c>
      <c r="E4273" s="154" t="s">
        <v>897</v>
      </c>
      <c r="F4273" s="154" t="s">
        <v>9351</v>
      </c>
      <c r="G4273" s="156">
        <v>0.0</v>
      </c>
      <c r="H4273" s="154" t="s">
        <v>1838</v>
      </c>
      <c r="I4273" s="154" t="s">
        <v>9352</v>
      </c>
      <c r="J4273" s="154" t="s">
        <v>9353</v>
      </c>
      <c r="K4273" s="154" t="s">
        <v>846</v>
      </c>
    </row>
    <row r="4274">
      <c r="A4274" s="154" t="s">
        <v>9355</v>
      </c>
      <c r="B4274" s="154" t="s">
        <v>9356</v>
      </c>
      <c r="D4274" s="154">
        <v>2.0</v>
      </c>
      <c r="E4274" s="154" t="s">
        <v>897</v>
      </c>
      <c r="F4274" s="154" t="s">
        <v>1619</v>
      </c>
      <c r="G4274" s="154">
        <v>4.3903333E7</v>
      </c>
      <c r="H4274" s="154" t="s">
        <v>1620</v>
      </c>
      <c r="I4274" s="156">
        <v>0.0</v>
      </c>
      <c r="J4274" s="156">
        <v>0.0</v>
      </c>
      <c r="K4274" s="156">
        <v>0.0</v>
      </c>
    </row>
    <row r="4275">
      <c r="A4275" s="154" t="s">
        <v>9355</v>
      </c>
      <c r="B4275" s="155"/>
      <c r="C4275" s="154" t="s">
        <v>9357</v>
      </c>
      <c r="D4275" s="155"/>
      <c r="E4275" s="155"/>
      <c r="F4275" s="154" t="s">
        <v>1619</v>
      </c>
      <c r="G4275" s="154">
        <v>4.3903333E7</v>
      </c>
      <c r="H4275" s="154" t="s">
        <v>1620</v>
      </c>
      <c r="I4275" s="156">
        <v>0.0</v>
      </c>
      <c r="J4275" s="156">
        <v>0.0</v>
      </c>
      <c r="K4275" s="156">
        <v>0.0</v>
      </c>
    </row>
    <row r="4276">
      <c r="A4276" s="154" t="s">
        <v>9358</v>
      </c>
      <c r="B4276" s="155"/>
      <c r="C4276" s="154" t="s">
        <v>9359</v>
      </c>
      <c r="D4276" s="155"/>
      <c r="E4276" s="155"/>
      <c r="F4276" s="154" t="s">
        <v>9360</v>
      </c>
      <c r="G4276" s="154">
        <v>4.3528895E7</v>
      </c>
      <c r="H4276" s="154" t="s">
        <v>9361</v>
      </c>
      <c r="I4276" s="156">
        <v>0.0</v>
      </c>
      <c r="J4276" s="156">
        <v>0.0</v>
      </c>
      <c r="K4276" s="156">
        <v>0.0</v>
      </c>
    </row>
    <row r="4277">
      <c r="A4277" s="154" t="s">
        <v>9358</v>
      </c>
      <c r="B4277" s="154" t="s">
        <v>9362</v>
      </c>
      <c r="D4277" s="154">
        <v>2.0</v>
      </c>
      <c r="E4277" s="154" t="s">
        <v>897</v>
      </c>
      <c r="F4277" s="154" t="s">
        <v>9360</v>
      </c>
      <c r="G4277" s="154">
        <v>4.3528895E7</v>
      </c>
      <c r="H4277" s="154" t="s">
        <v>9361</v>
      </c>
      <c r="I4277" s="156">
        <v>0.0</v>
      </c>
      <c r="J4277" s="156">
        <v>0.0</v>
      </c>
      <c r="K4277" s="156">
        <v>0.0</v>
      </c>
    </row>
    <row r="4278">
      <c r="A4278" s="154" t="s">
        <v>9363</v>
      </c>
      <c r="B4278" s="155"/>
      <c r="C4278" s="154" t="s">
        <v>9364</v>
      </c>
      <c r="D4278" s="155"/>
      <c r="E4278" s="155"/>
      <c r="F4278" s="154" t="s">
        <v>9365</v>
      </c>
      <c r="G4278" s="154" t="s">
        <v>9366</v>
      </c>
      <c r="H4278" s="154" t="s">
        <v>9367</v>
      </c>
      <c r="I4278" s="154" t="s">
        <v>9368</v>
      </c>
      <c r="J4278" s="156">
        <v>0.0</v>
      </c>
      <c r="K4278" s="154" t="s">
        <v>207</v>
      </c>
    </row>
    <row r="4279">
      <c r="A4279" s="154" t="s">
        <v>9363</v>
      </c>
      <c r="B4279" s="154" t="s">
        <v>9364</v>
      </c>
      <c r="D4279" s="154">
        <v>2.0</v>
      </c>
      <c r="E4279" s="154" t="s">
        <v>761</v>
      </c>
      <c r="F4279" s="154" t="s">
        <v>9365</v>
      </c>
      <c r="G4279" s="154" t="s">
        <v>9366</v>
      </c>
      <c r="H4279" s="154" t="s">
        <v>9367</v>
      </c>
      <c r="I4279" s="154" t="s">
        <v>9368</v>
      </c>
      <c r="J4279" s="156">
        <v>0.0</v>
      </c>
      <c r="K4279" s="154" t="s">
        <v>207</v>
      </c>
    </row>
    <row r="4280">
      <c r="A4280" s="154" t="s">
        <v>9369</v>
      </c>
      <c r="B4280" s="155"/>
      <c r="C4280" s="154" t="s">
        <v>9370</v>
      </c>
      <c r="D4280" s="155"/>
      <c r="E4280" s="155"/>
      <c r="F4280" s="154" t="s">
        <v>9371</v>
      </c>
      <c r="G4280" s="154">
        <v>5.070717E8</v>
      </c>
      <c r="H4280" s="156">
        <v>0.0</v>
      </c>
      <c r="I4280" s="154">
        <v>5.01000424E8</v>
      </c>
      <c r="J4280" s="156">
        <v>0.0</v>
      </c>
      <c r="K4280" s="154" t="s">
        <v>207</v>
      </c>
    </row>
    <row r="4281">
      <c r="A4281" s="154" t="s">
        <v>9369</v>
      </c>
      <c r="B4281" s="154" t="s">
        <v>9370</v>
      </c>
      <c r="D4281" s="154">
        <v>2.0</v>
      </c>
      <c r="E4281" s="154" t="s">
        <v>761</v>
      </c>
      <c r="F4281" s="154" t="s">
        <v>9371</v>
      </c>
      <c r="G4281" s="154">
        <v>5.070717E8</v>
      </c>
      <c r="H4281" s="156">
        <v>0.0</v>
      </c>
      <c r="I4281" s="154">
        <v>5.01000424E8</v>
      </c>
      <c r="J4281" s="156">
        <v>0.0</v>
      </c>
      <c r="K4281" s="154" t="s">
        <v>207</v>
      </c>
    </row>
    <row r="4282">
      <c r="A4282" s="154" t="s">
        <v>9372</v>
      </c>
      <c r="B4282" s="154" t="s">
        <v>9373</v>
      </c>
      <c r="D4282" s="154">
        <v>2.0</v>
      </c>
      <c r="E4282" s="154" t="s">
        <v>761</v>
      </c>
      <c r="F4282" s="154" t="s">
        <v>9374</v>
      </c>
      <c r="G4282" s="154">
        <v>5.51414114E8</v>
      </c>
      <c r="H4282" s="156">
        <v>0.0</v>
      </c>
      <c r="I4282" s="154">
        <v>5.51414114E8</v>
      </c>
      <c r="J4282" s="156">
        <v>0.0</v>
      </c>
      <c r="K4282" s="154" t="s">
        <v>207</v>
      </c>
    </row>
    <row r="4283">
      <c r="A4283" s="154" t="s">
        <v>9372</v>
      </c>
      <c r="B4283" s="155"/>
      <c r="C4283" s="154" t="s">
        <v>9373</v>
      </c>
      <c r="D4283" s="155"/>
      <c r="E4283" s="155"/>
      <c r="F4283" s="154" t="s">
        <v>9374</v>
      </c>
      <c r="G4283" s="154">
        <v>5.51414114E8</v>
      </c>
      <c r="H4283" s="156">
        <v>0.0</v>
      </c>
      <c r="I4283" s="154">
        <v>5.51414114E8</v>
      </c>
      <c r="J4283" s="156">
        <v>0.0</v>
      </c>
      <c r="K4283" s="154" t="s">
        <v>207</v>
      </c>
    </row>
    <row r="4284">
      <c r="A4284" s="154" t="s">
        <v>9375</v>
      </c>
      <c r="B4284" s="155"/>
      <c r="C4284" s="154" t="s">
        <v>9376</v>
      </c>
      <c r="D4284" s="155"/>
      <c r="E4284" s="155"/>
      <c r="F4284" s="154" t="s">
        <v>9377</v>
      </c>
      <c r="G4284" s="156">
        <v>0.0</v>
      </c>
      <c r="H4284" s="156">
        <v>0.0</v>
      </c>
      <c r="I4284" s="154">
        <v>5.05866349E8</v>
      </c>
      <c r="J4284" s="156">
        <v>0.0</v>
      </c>
      <c r="K4284" s="154" t="s">
        <v>776</v>
      </c>
    </row>
    <row r="4285">
      <c r="A4285" s="154" t="s">
        <v>9375</v>
      </c>
      <c r="B4285" s="154" t="s">
        <v>9376</v>
      </c>
      <c r="D4285" s="154">
        <v>2.0</v>
      </c>
      <c r="E4285" s="154" t="s">
        <v>761</v>
      </c>
      <c r="F4285" s="154" t="s">
        <v>792</v>
      </c>
      <c r="G4285" s="154" t="s">
        <v>793</v>
      </c>
      <c r="H4285" s="154" t="s">
        <v>794</v>
      </c>
      <c r="I4285" s="156">
        <v>0.0</v>
      </c>
      <c r="J4285" s="156">
        <v>0.0</v>
      </c>
      <c r="K4285" s="156">
        <v>0.0</v>
      </c>
    </row>
    <row r="4286">
      <c r="A4286" s="154" t="s">
        <v>9378</v>
      </c>
      <c r="B4286" s="154" t="s">
        <v>9379</v>
      </c>
      <c r="D4286" s="154">
        <v>2.0</v>
      </c>
      <c r="E4286" s="154" t="s">
        <v>761</v>
      </c>
      <c r="F4286" s="154" t="s">
        <v>9380</v>
      </c>
      <c r="G4286" s="154">
        <v>5.02338484E8</v>
      </c>
      <c r="H4286" s="156">
        <v>0.0</v>
      </c>
      <c r="I4286" s="156">
        <v>0.0</v>
      </c>
      <c r="J4286" s="156">
        <v>0.0</v>
      </c>
      <c r="K4286" s="156">
        <v>0.0</v>
      </c>
    </row>
    <row r="4287">
      <c r="A4287" s="154" t="s">
        <v>9378</v>
      </c>
      <c r="B4287" s="155"/>
      <c r="C4287" s="154" t="s">
        <v>9379</v>
      </c>
      <c r="D4287" s="155"/>
      <c r="E4287" s="155"/>
      <c r="F4287" s="154" t="s">
        <v>9380</v>
      </c>
      <c r="G4287" s="154">
        <v>5.02338484E8</v>
      </c>
      <c r="H4287" s="156">
        <v>0.0</v>
      </c>
      <c r="I4287" s="156">
        <v>0.0</v>
      </c>
      <c r="J4287" s="156">
        <v>0.0</v>
      </c>
      <c r="K4287" s="156">
        <v>0.0</v>
      </c>
    </row>
    <row r="4288">
      <c r="A4288" s="154" t="s">
        <v>9381</v>
      </c>
      <c r="B4288" s="154" t="s">
        <v>9382</v>
      </c>
      <c r="D4288" s="154">
        <v>2.0</v>
      </c>
      <c r="E4288" s="154" t="s">
        <v>761</v>
      </c>
      <c r="F4288" s="154" t="s">
        <v>9383</v>
      </c>
      <c r="G4288" s="154">
        <v>4.8812222E7</v>
      </c>
      <c r="H4288" s="156">
        <v>0.0</v>
      </c>
      <c r="I4288" s="154">
        <v>5.01245442E8</v>
      </c>
      <c r="J4288" s="156">
        <v>0.0</v>
      </c>
      <c r="K4288" s="154" t="s">
        <v>361</v>
      </c>
    </row>
    <row r="4289">
      <c r="A4289" s="154" t="s">
        <v>9381</v>
      </c>
      <c r="B4289" s="155"/>
      <c r="C4289" s="154" t="s">
        <v>9382</v>
      </c>
      <c r="D4289" s="155"/>
      <c r="E4289" s="155"/>
      <c r="F4289" s="154" t="s">
        <v>9383</v>
      </c>
      <c r="G4289" s="154">
        <v>4.8812222E7</v>
      </c>
      <c r="H4289" s="156">
        <v>0.0</v>
      </c>
      <c r="I4289" s="154">
        <v>5.01245442E8</v>
      </c>
      <c r="J4289" s="156">
        <v>0.0</v>
      </c>
      <c r="K4289" s="154" t="s">
        <v>361</v>
      </c>
    </row>
    <row r="4290">
      <c r="A4290" s="154" t="s">
        <v>9384</v>
      </c>
      <c r="B4290" s="155"/>
      <c r="C4290" s="154" t="s">
        <v>9385</v>
      </c>
      <c r="D4290" s="155"/>
      <c r="E4290" s="155"/>
      <c r="F4290" s="154" t="s">
        <v>9386</v>
      </c>
      <c r="G4290" s="156">
        <v>0.0</v>
      </c>
      <c r="H4290" s="154" t="s">
        <v>9387</v>
      </c>
      <c r="I4290" s="154" t="s">
        <v>9388</v>
      </c>
      <c r="J4290" s="156">
        <v>0.0</v>
      </c>
      <c r="K4290" s="154" t="s">
        <v>361</v>
      </c>
    </row>
    <row r="4291">
      <c r="A4291" s="154" t="s">
        <v>9384</v>
      </c>
      <c r="B4291" s="154" t="s">
        <v>9385</v>
      </c>
      <c r="D4291" s="154">
        <v>2.0</v>
      </c>
      <c r="E4291" s="154" t="s">
        <v>761</v>
      </c>
      <c r="F4291" s="154" t="s">
        <v>9386</v>
      </c>
      <c r="G4291" s="156">
        <v>0.0</v>
      </c>
      <c r="H4291" s="154" t="s">
        <v>9387</v>
      </c>
      <c r="I4291" s="154" t="s">
        <v>9388</v>
      </c>
      <c r="J4291" s="156">
        <v>0.0</v>
      </c>
      <c r="K4291" s="154" t="s">
        <v>361</v>
      </c>
    </row>
    <row r="4292">
      <c r="A4292" s="154" t="s">
        <v>9389</v>
      </c>
      <c r="B4292" s="154" t="s">
        <v>9390</v>
      </c>
      <c r="D4292" s="154">
        <v>2.0</v>
      </c>
      <c r="E4292" s="154" t="s">
        <v>761</v>
      </c>
      <c r="F4292" s="154" t="s">
        <v>9391</v>
      </c>
      <c r="G4292" s="156">
        <v>0.0</v>
      </c>
      <c r="H4292" s="154" t="s">
        <v>9392</v>
      </c>
      <c r="I4292" s="154" t="s">
        <v>9393</v>
      </c>
      <c r="J4292" s="154" t="s">
        <v>9394</v>
      </c>
      <c r="K4292" s="154" t="s">
        <v>207</v>
      </c>
    </row>
    <row r="4293">
      <c r="A4293" s="154" t="s">
        <v>9389</v>
      </c>
      <c r="B4293" s="155"/>
      <c r="C4293" s="154" t="s">
        <v>9390</v>
      </c>
      <c r="D4293" s="155"/>
      <c r="E4293" s="155"/>
      <c r="F4293" s="154" t="s">
        <v>9391</v>
      </c>
      <c r="G4293" s="156">
        <v>0.0</v>
      </c>
      <c r="H4293" s="154" t="s">
        <v>9392</v>
      </c>
      <c r="I4293" s="154" t="s">
        <v>9393</v>
      </c>
      <c r="J4293" s="154" t="s">
        <v>9394</v>
      </c>
      <c r="K4293" s="154" t="s">
        <v>207</v>
      </c>
    </row>
    <row r="4294">
      <c r="A4294" s="154" t="s">
        <v>9395</v>
      </c>
      <c r="B4294" s="155"/>
      <c r="C4294" s="154" t="s">
        <v>9396</v>
      </c>
      <c r="D4294" s="155"/>
      <c r="E4294" s="155"/>
      <c r="F4294" s="154" t="s">
        <v>9397</v>
      </c>
      <c r="G4294" s="154">
        <v>4.0</v>
      </c>
      <c r="H4294" s="156">
        <v>0.0</v>
      </c>
      <c r="I4294" s="154">
        <v>5.52227886E8</v>
      </c>
      <c r="J4294" s="156">
        <v>0.0</v>
      </c>
      <c r="K4294" s="154" t="s">
        <v>2581</v>
      </c>
    </row>
    <row r="4295">
      <c r="A4295" s="154" t="s">
        <v>9395</v>
      </c>
      <c r="B4295" s="154" t="s">
        <v>9396</v>
      </c>
      <c r="D4295" s="154">
        <v>2.0</v>
      </c>
      <c r="E4295" s="154" t="s">
        <v>761</v>
      </c>
      <c r="F4295" s="154" t="s">
        <v>9397</v>
      </c>
      <c r="G4295" s="154">
        <v>4.0</v>
      </c>
      <c r="H4295" s="156">
        <v>0.0</v>
      </c>
      <c r="I4295" s="154">
        <v>5.52227886E8</v>
      </c>
      <c r="J4295" s="156">
        <v>0.0</v>
      </c>
      <c r="K4295" s="154" t="s">
        <v>2581</v>
      </c>
    </row>
    <row r="4296">
      <c r="A4296" s="154" t="s">
        <v>9398</v>
      </c>
      <c r="B4296" s="154" t="s">
        <v>9399</v>
      </c>
      <c r="D4296" s="154">
        <v>2.0</v>
      </c>
      <c r="E4296" s="154" t="s">
        <v>761</v>
      </c>
      <c r="F4296" s="154" t="s">
        <v>792</v>
      </c>
      <c r="G4296" s="154" t="s">
        <v>793</v>
      </c>
      <c r="H4296" s="154" t="s">
        <v>794</v>
      </c>
      <c r="I4296" s="156">
        <v>0.0</v>
      </c>
      <c r="J4296" s="156">
        <v>0.0</v>
      </c>
      <c r="K4296" s="156">
        <v>0.0</v>
      </c>
    </row>
    <row r="4297">
      <c r="A4297" s="154" t="s">
        <v>9398</v>
      </c>
      <c r="B4297" s="155"/>
      <c r="C4297" s="154" t="s">
        <v>9399</v>
      </c>
      <c r="D4297" s="155"/>
      <c r="E4297" s="155"/>
      <c r="F4297" s="154" t="s">
        <v>792</v>
      </c>
      <c r="G4297" s="154" t="s">
        <v>793</v>
      </c>
      <c r="H4297" s="154" t="s">
        <v>794</v>
      </c>
      <c r="I4297" s="156">
        <v>0.0</v>
      </c>
      <c r="J4297" s="156">
        <v>0.0</v>
      </c>
      <c r="K4297" s="156">
        <v>0.0</v>
      </c>
    </row>
    <row r="4298">
      <c r="A4298" s="154" t="s">
        <v>9400</v>
      </c>
      <c r="B4298" s="155"/>
      <c r="C4298" s="154" t="s">
        <v>9401</v>
      </c>
      <c r="D4298" s="155"/>
      <c r="E4298" s="155"/>
      <c r="F4298" s="154" t="s">
        <v>9402</v>
      </c>
      <c r="G4298" s="154" t="s">
        <v>9403</v>
      </c>
      <c r="H4298" s="156">
        <v>0.0</v>
      </c>
      <c r="I4298" s="154" t="s">
        <v>9404</v>
      </c>
      <c r="J4298" s="154" t="s">
        <v>9403</v>
      </c>
      <c r="K4298" s="154" t="s">
        <v>361</v>
      </c>
    </row>
    <row r="4299">
      <c r="A4299" s="154" t="s">
        <v>9400</v>
      </c>
      <c r="B4299" s="154" t="s">
        <v>9401</v>
      </c>
      <c r="D4299" s="154">
        <v>2.0</v>
      </c>
      <c r="E4299" s="154" t="s">
        <v>761</v>
      </c>
      <c r="F4299" s="154" t="s">
        <v>9402</v>
      </c>
      <c r="G4299" s="154" t="s">
        <v>9403</v>
      </c>
      <c r="H4299" s="156">
        <v>0.0</v>
      </c>
      <c r="I4299" s="154" t="s">
        <v>9404</v>
      </c>
      <c r="J4299" s="154" t="s">
        <v>9403</v>
      </c>
      <c r="K4299" s="154" t="s">
        <v>361</v>
      </c>
    </row>
    <row r="4300">
      <c r="A4300" s="154" t="s">
        <v>9405</v>
      </c>
      <c r="B4300" s="155"/>
      <c r="C4300" s="154" t="s">
        <v>9406</v>
      </c>
      <c r="D4300" s="155"/>
      <c r="E4300" s="155"/>
      <c r="F4300" s="154" t="s">
        <v>9407</v>
      </c>
      <c r="G4300" s="156">
        <v>0.0</v>
      </c>
      <c r="H4300" s="156">
        <v>0.0</v>
      </c>
      <c r="I4300" s="154">
        <v>5.0451607E8</v>
      </c>
      <c r="J4300" s="156">
        <v>0.0</v>
      </c>
      <c r="K4300" s="154" t="s">
        <v>1408</v>
      </c>
    </row>
    <row r="4301">
      <c r="A4301" s="154" t="s">
        <v>9405</v>
      </c>
      <c r="B4301" s="154" t="s">
        <v>9406</v>
      </c>
      <c r="D4301" s="154">
        <v>2.0</v>
      </c>
      <c r="E4301" s="154" t="s">
        <v>761</v>
      </c>
      <c r="F4301" s="154" t="s">
        <v>9407</v>
      </c>
      <c r="G4301" s="156">
        <v>0.0</v>
      </c>
      <c r="H4301" s="156">
        <v>0.0</v>
      </c>
      <c r="I4301" s="154">
        <v>5.0451607E8</v>
      </c>
      <c r="J4301" s="156">
        <v>0.0</v>
      </c>
      <c r="K4301" s="154" t="s">
        <v>1408</v>
      </c>
    </row>
    <row r="4302">
      <c r="A4302" s="154" t="s">
        <v>9408</v>
      </c>
      <c r="B4302" s="155"/>
      <c r="C4302" s="154" t="s">
        <v>9409</v>
      </c>
      <c r="D4302" s="155"/>
      <c r="E4302" s="155"/>
      <c r="F4302" s="154" t="s">
        <v>9410</v>
      </c>
      <c r="G4302" s="156">
        <v>0.0</v>
      </c>
      <c r="H4302" s="156">
        <v>0.0</v>
      </c>
      <c r="I4302" s="154">
        <v>5.0451607E8</v>
      </c>
      <c r="J4302" s="156">
        <v>0.0</v>
      </c>
      <c r="K4302" s="154" t="s">
        <v>1408</v>
      </c>
    </row>
    <row r="4303">
      <c r="A4303" s="154" t="s">
        <v>9408</v>
      </c>
      <c r="B4303" s="154" t="s">
        <v>9409</v>
      </c>
      <c r="D4303" s="154">
        <v>2.0</v>
      </c>
      <c r="E4303" s="154" t="s">
        <v>761</v>
      </c>
      <c r="F4303" s="154" t="s">
        <v>9410</v>
      </c>
      <c r="G4303" s="156">
        <v>0.0</v>
      </c>
      <c r="H4303" s="156">
        <v>0.0</v>
      </c>
      <c r="I4303" s="154">
        <v>5.0451607E8</v>
      </c>
      <c r="J4303" s="156">
        <v>0.0</v>
      </c>
      <c r="K4303" s="154" t="s">
        <v>1408</v>
      </c>
    </row>
    <row r="4304">
      <c r="A4304" s="154" t="s">
        <v>9411</v>
      </c>
      <c r="B4304" s="155"/>
      <c r="C4304" s="154" t="s">
        <v>9412</v>
      </c>
      <c r="D4304" s="155"/>
      <c r="E4304" s="155"/>
      <c r="F4304" s="154" t="s">
        <v>9413</v>
      </c>
      <c r="G4304" s="156">
        <v>0.0</v>
      </c>
      <c r="H4304" s="156">
        <v>0.0</v>
      </c>
      <c r="I4304" s="154">
        <v>9.71507252921E11</v>
      </c>
      <c r="J4304" s="156">
        <v>0.0</v>
      </c>
      <c r="K4304" s="154" t="s">
        <v>1059</v>
      </c>
    </row>
    <row r="4305">
      <c r="A4305" s="154" t="s">
        <v>9411</v>
      </c>
      <c r="B4305" s="154" t="s">
        <v>9412</v>
      </c>
      <c r="D4305" s="154">
        <v>2.0</v>
      </c>
      <c r="E4305" s="154" t="s">
        <v>761</v>
      </c>
      <c r="F4305" s="154" t="s">
        <v>9413</v>
      </c>
      <c r="G4305" s="156">
        <v>0.0</v>
      </c>
      <c r="H4305" s="156">
        <v>0.0</v>
      </c>
      <c r="I4305" s="154">
        <v>9.71507252921E11</v>
      </c>
      <c r="J4305" s="156">
        <v>0.0</v>
      </c>
      <c r="K4305" s="154" t="s">
        <v>1059</v>
      </c>
    </row>
    <row r="4306">
      <c r="A4306" s="154" t="s">
        <v>9414</v>
      </c>
      <c r="B4306" s="154" t="s">
        <v>9415</v>
      </c>
      <c r="D4306" s="154">
        <v>2.0</v>
      </c>
      <c r="E4306" s="154" t="s">
        <v>761</v>
      </c>
      <c r="F4306" s="154" t="s">
        <v>9416</v>
      </c>
      <c r="G4306" s="156">
        <v>0.0</v>
      </c>
      <c r="H4306" s="156">
        <v>0.0</v>
      </c>
      <c r="I4306" s="154" t="s">
        <v>9417</v>
      </c>
      <c r="J4306" s="154" t="s">
        <v>9418</v>
      </c>
      <c r="K4306" s="154" t="s">
        <v>329</v>
      </c>
    </row>
    <row r="4307">
      <c r="A4307" s="154" t="s">
        <v>9414</v>
      </c>
      <c r="B4307" s="155"/>
      <c r="C4307" s="154" t="s">
        <v>9415</v>
      </c>
      <c r="D4307" s="155"/>
      <c r="E4307" s="155"/>
      <c r="F4307" s="154" t="s">
        <v>9416</v>
      </c>
      <c r="G4307" s="156">
        <v>0.0</v>
      </c>
      <c r="H4307" s="156">
        <v>0.0</v>
      </c>
      <c r="I4307" s="154" t="s">
        <v>9417</v>
      </c>
      <c r="J4307" s="154" t="s">
        <v>9418</v>
      </c>
      <c r="K4307" s="154" t="s">
        <v>329</v>
      </c>
    </row>
    <row r="4308">
      <c r="A4308" s="154" t="s">
        <v>9419</v>
      </c>
      <c r="B4308" s="154" t="s">
        <v>9420</v>
      </c>
      <c r="D4308" s="154">
        <v>2.0</v>
      </c>
      <c r="E4308" s="154" t="s">
        <v>761</v>
      </c>
      <c r="F4308" s="154" t="s">
        <v>2952</v>
      </c>
      <c r="G4308" s="154">
        <v>0.0</v>
      </c>
      <c r="H4308" s="156">
        <v>0.0</v>
      </c>
      <c r="I4308" s="156">
        <v>0.0</v>
      </c>
      <c r="J4308" s="156">
        <v>0.0</v>
      </c>
      <c r="K4308" s="154" t="s">
        <v>197</v>
      </c>
    </row>
    <row r="4309">
      <c r="A4309" s="154" t="s">
        <v>9419</v>
      </c>
      <c r="B4309" s="155"/>
      <c r="C4309" s="154" t="s">
        <v>9420</v>
      </c>
      <c r="D4309" s="155"/>
      <c r="E4309" s="155"/>
      <c r="F4309" s="154" t="s">
        <v>2952</v>
      </c>
      <c r="G4309" s="154">
        <v>0.0</v>
      </c>
      <c r="H4309" s="156">
        <v>0.0</v>
      </c>
      <c r="I4309" s="156">
        <v>0.0</v>
      </c>
      <c r="J4309" s="156">
        <v>0.0</v>
      </c>
      <c r="K4309" s="154" t="s">
        <v>197</v>
      </c>
    </row>
    <row r="4310">
      <c r="A4310" s="154" t="s">
        <v>9421</v>
      </c>
      <c r="B4310" s="155"/>
      <c r="C4310" s="154" t="s">
        <v>9422</v>
      </c>
      <c r="D4310" s="155"/>
      <c r="E4310" s="155"/>
      <c r="F4310" s="154" t="s">
        <v>6956</v>
      </c>
      <c r="G4310" s="154">
        <v>5.673736856E9</v>
      </c>
      <c r="H4310" s="154" t="s">
        <v>6957</v>
      </c>
      <c r="I4310" s="154">
        <v>5.67376856E8</v>
      </c>
      <c r="J4310" s="156">
        <v>0.0</v>
      </c>
      <c r="K4310" s="154" t="s">
        <v>1731</v>
      </c>
    </row>
    <row r="4311">
      <c r="A4311" s="154" t="s">
        <v>9421</v>
      </c>
      <c r="B4311" s="154" t="s">
        <v>9422</v>
      </c>
      <c r="D4311" s="154">
        <v>2.0</v>
      </c>
      <c r="E4311" s="154" t="s">
        <v>761</v>
      </c>
      <c r="F4311" s="154" t="s">
        <v>6956</v>
      </c>
      <c r="G4311" s="154">
        <v>5.673736856E9</v>
      </c>
      <c r="H4311" s="154" t="s">
        <v>6957</v>
      </c>
      <c r="I4311" s="154">
        <v>5.67376856E8</v>
      </c>
      <c r="J4311" s="156">
        <v>0.0</v>
      </c>
      <c r="K4311" s="154" t="s">
        <v>1731</v>
      </c>
    </row>
    <row r="4312">
      <c r="A4312" s="154" t="s">
        <v>9423</v>
      </c>
      <c r="B4312" s="155"/>
      <c r="C4312" s="154" t="s">
        <v>9424</v>
      </c>
      <c r="D4312" s="155"/>
      <c r="E4312" s="155"/>
      <c r="F4312" s="154" t="s">
        <v>9425</v>
      </c>
      <c r="G4312" s="156">
        <v>0.0</v>
      </c>
      <c r="H4312" s="154" t="s">
        <v>3913</v>
      </c>
      <c r="I4312" s="154" t="s">
        <v>9426</v>
      </c>
      <c r="J4312" s="154" t="s">
        <v>9427</v>
      </c>
      <c r="K4312" s="154" t="s">
        <v>361</v>
      </c>
    </row>
    <row r="4313">
      <c r="A4313" s="154" t="s">
        <v>9423</v>
      </c>
      <c r="B4313" s="154" t="s">
        <v>9424</v>
      </c>
      <c r="D4313" s="154">
        <v>2.0</v>
      </c>
      <c r="E4313" s="154" t="s">
        <v>761</v>
      </c>
      <c r="F4313" s="154" t="s">
        <v>9425</v>
      </c>
      <c r="G4313" s="156">
        <v>0.0</v>
      </c>
      <c r="H4313" s="154" t="s">
        <v>3913</v>
      </c>
      <c r="I4313" s="154" t="s">
        <v>9426</v>
      </c>
      <c r="J4313" s="154" t="s">
        <v>9427</v>
      </c>
      <c r="K4313" s="154" t="s">
        <v>361</v>
      </c>
    </row>
    <row r="4314">
      <c r="A4314" s="154" t="s">
        <v>9428</v>
      </c>
      <c r="B4314" s="154" t="s">
        <v>9429</v>
      </c>
      <c r="D4314" s="154">
        <v>2.0</v>
      </c>
      <c r="E4314" s="154" t="s">
        <v>761</v>
      </c>
      <c r="F4314" s="154" t="s">
        <v>9430</v>
      </c>
      <c r="G4314" s="156">
        <v>0.0</v>
      </c>
      <c r="H4314" s="156">
        <v>0.0</v>
      </c>
      <c r="I4314" s="154" t="s">
        <v>9431</v>
      </c>
      <c r="J4314" s="156">
        <v>0.0</v>
      </c>
      <c r="K4314" s="154" t="s">
        <v>197</v>
      </c>
    </row>
    <row r="4315">
      <c r="A4315" s="154" t="s">
        <v>9428</v>
      </c>
      <c r="B4315" s="155"/>
      <c r="C4315" s="154" t="s">
        <v>9429</v>
      </c>
      <c r="D4315" s="155"/>
      <c r="E4315" s="155"/>
      <c r="F4315" s="154" t="s">
        <v>9430</v>
      </c>
      <c r="G4315" s="156">
        <v>0.0</v>
      </c>
      <c r="H4315" s="156">
        <v>0.0</v>
      </c>
      <c r="I4315" s="154" t="s">
        <v>9431</v>
      </c>
      <c r="J4315" s="156">
        <v>0.0</v>
      </c>
      <c r="K4315" s="154" t="s">
        <v>197</v>
      </c>
    </row>
    <row r="4316">
      <c r="A4316" s="154" t="s">
        <v>9432</v>
      </c>
      <c r="B4316" s="155"/>
      <c r="C4316" s="154" t="s">
        <v>9433</v>
      </c>
      <c r="D4316" s="155"/>
      <c r="E4316" s="155"/>
      <c r="F4316" s="154" t="s">
        <v>9434</v>
      </c>
      <c r="G4316" s="154">
        <v>4.8812222E7</v>
      </c>
      <c r="H4316" s="156">
        <v>0.0</v>
      </c>
      <c r="I4316" s="156">
        <v>0.0</v>
      </c>
      <c r="J4316" s="156">
        <v>0.0</v>
      </c>
      <c r="K4316" s="154" t="s">
        <v>1446</v>
      </c>
    </row>
    <row r="4317">
      <c r="A4317" s="154" t="s">
        <v>9432</v>
      </c>
      <c r="B4317" s="154" t="s">
        <v>9433</v>
      </c>
      <c r="D4317" s="154">
        <v>2.0</v>
      </c>
      <c r="E4317" s="154" t="s">
        <v>761</v>
      </c>
      <c r="F4317" s="154" t="s">
        <v>9434</v>
      </c>
      <c r="G4317" s="154">
        <v>4.8812222E7</v>
      </c>
      <c r="H4317" s="156">
        <v>0.0</v>
      </c>
      <c r="I4317" s="156">
        <v>0.0</v>
      </c>
      <c r="J4317" s="156">
        <v>0.0</v>
      </c>
      <c r="K4317" s="154" t="s">
        <v>1446</v>
      </c>
    </row>
    <row r="4318">
      <c r="A4318" s="154" t="s">
        <v>9435</v>
      </c>
      <c r="B4318" s="154" t="s">
        <v>9436</v>
      </c>
      <c r="D4318" s="154">
        <v>2.0</v>
      </c>
      <c r="E4318" s="154" t="s">
        <v>761</v>
      </c>
      <c r="F4318" s="154" t="s">
        <v>6956</v>
      </c>
      <c r="G4318" s="154">
        <v>5.673736856E9</v>
      </c>
      <c r="H4318" s="154" t="s">
        <v>6957</v>
      </c>
      <c r="I4318" s="154">
        <v>5.67376856E8</v>
      </c>
      <c r="J4318" s="156">
        <v>0.0</v>
      </c>
      <c r="K4318" s="154" t="s">
        <v>1731</v>
      </c>
    </row>
    <row r="4319">
      <c r="A4319" s="154" t="s">
        <v>9435</v>
      </c>
      <c r="B4319" s="155"/>
      <c r="C4319" s="154" t="s">
        <v>9436</v>
      </c>
      <c r="D4319" s="155"/>
      <c r="E4319" s="155"/>
      <c r="F4319" s="154" t="s">
        <v>6956</v>
      </c>
      <c r="G4319" s="154">
        <v>5.673736856E9</v>
      </c>
      <c r="H4319" s="154" t="s">
        <v>6957</v>
      </c>
      <c r="I4319" s="154">
        <v>5.67376856E8</v>
      </c>
      <c r="J4319" s="156">
        <v>0.0</v>
      </c>
      <c r="K4319" s="154" t="s">
        <v>1731</v>
      </c>
    </row>
    <row r="4320">
      <c r="A4320" s="154" t="s">
        <v>9437</v>
      </c>
      <c r="B4320" s="154" t="s">
        <v>9438</v>
      </c>
      <c r="D4320" s="154">
        <v>2.0</v>
      </c>
      <c r="E4320" s="154" t="s">
        <v>761</v>
      </c>
      <c r="F4320" s="154" t="s">
        <v>9439</v>
      </c>
      <c r="G4320" s="154">
        <v>5.55809319E8</v>
      </c>
      <c r="H4320" s="154" t="s">
        <v>9440</v>
      </c>
      <c r="I4320" s="156">
        <v>0.0</v>
      </c>
      <c r="J4320" s="156">
        <v>0.0</v>
      </c>
      <c r="K4320" s="156">
        <v>0.0</v>
      </c>
    </row>
    <row r="4321">
      <c r="A4321" s="154" t="s">
        <v>9437</v>
      </c>
      <c r="B4321" s="155"/>
      <c r="C4321" s="154" t="s">
        <v>9438</v>
      </c>
      <c r="D4321" s="155"/>
      <c r="E4321" s="155"/>
      <c r="F4321" s="154" t="s">
        <v>9441</v>
      </c>
      <c r="G4321" s="154">
        <v>8813000.0</v>
      </c>
      <c r="H4321" s="156">
        <v>0.0</v>
      </c>
      <c r="I4321" s="154">
        <v>5.04264253E8</v>
      </c>
      <c r="J4321" s="156">
        <v>0.0</v>
      </c>
      <c r="K4321" s="154" t="s">
        <v>361</v>
      </c>
    </row>
    <row r="4322">
      <c r="A4322" s="154" t="s">
        <v>9442</v>
      </c>
      <c r="B4322" s="154" t="s">
        <v>9443</v>
      </c>
      <c r="D4322" s="154">
        <v>2.0</v>
      </c>
      <c r="E4322" s="154" t="s">
        <v>761</v>
      </c>
      <c r="F4322" s="154" t="s">
        <v>9444</v>
      </c>
      <c r="G4322" s="156">
        <v>0.0</v>
      </c>
      <c r="H4322" s="154" t="s">
        <v>9445</v>
      </c>
      <c r="I4322" s="154" t="s">
        <v>9446</v>
      </c>
      <c r="J4322" s="154" t="s">
        <v>9447</v>
      </c>
      <c r="K4322" s="154" t="s">
        <v>361</v>
      </c>
    </row>
    <row r="4323">
      <c r="A4323" s="154" t="s">
        <v>9442</v>
      </c>
      <c r="B4323" s="155"/>
      <c r="C4323" s="154" t="s">
        <v>9443</v>
      </c>
      <c r="D4323" s="155"/>
      <c r="E4323" s="155"/>
      <c r="F4323" s="154" t="s">
        <v>9444</v>
      </c>
      <c r="G4323" s="156">
        <v>0.0</v>
      </c>
      <c r="H4323" s="154" t="s">
        <v>9445</v>
      </c>
      <c r="I4323" s="154" t="s">
        <v>9446</v>
      </c>
      <c r="J4323" s="154" t="s">
        <v>9447</v>
      </c>
      <c r="K4323" s="154" t="s">
        <v>361</v>
      </c>
    </row>
    <row r="4324">
      <c r="A4324" s="154" t="s">
        <v>9448</v>
      </c>
      <c r="B4324" s="154" t="s">
        <v>9449</v>
      </c>
      <c r="D4324" s="154">
        <v>2.0</v>
      </c>
      <c r="E4324" s="154" t="s">
        <v>761</v>
      </c>
      <c r="F4324" s="154" t="s">
        <v>990</v>
      </c>
      <c r="G4324" s="156">
        <v>0.0</v>
      </c>
      <c r="H4324" s="156">
        <v>0.0</v>
      </c>
      <c r="I4324" s="154">
        <v>5.02523411E8</v>
      </c>
      <c r="J4324" s="156">
        <v>0.0</v>
      </c>
      <c r="K4324" s="154" t="s">
        <v>914</v>
      </c>
    </row>
    <row r="4325">
      <c r="A4325" s="154" t="s">
        <v>9448</v>
      </c>
      <c r="B4325" s="155"/>
      <c r="C4325" s="154" t="s">
        <v>9449</v>
      </c>
      <c r="D4325" s="155"/>
      <c r="E4325" s="155"/>
      <c r="F4325" s="154" t="s">
        <v>990</v>
      </c>
      <c r="G4325" s="156">
        <v>0.0</v>
      </c>
      <c r="H4325" s="156">
        <v>0.0</v>
      </c>
      <c r="I4325" s="154">
        <v>5.02523411E8</v>
      </c>
      <c r="J4325" s="156">
        <v>0.0</v>
      </c>
      <c r="K4325" s="154" t="s">
        <v>914</v>
      </c>
    </row>
    <row r="4326">
      <c r="A4326" s="154" t="s">
        <v>9450</v>
      </c>
      <c r="B4326" s="155"/>
      <c r="C4326" s="154" t="s">
        <v>9451</v>
      </c>
      <c r="D4326" s="155"/>
      <c r="E4326" s="155"/>
      <c r="F4326" s="154" t="s">
        <v>9452</v>
      </c>
      <c r="G4326" s="156">
        <v>0.0</v>
      </c>
      <c r="H4326" s="154" t="s">
        <v>9453</v>
      </c>
      <c r="I4326" s="154" t="s">
        <v>9454</v>
      </c>
      <c r="J4326" s="154" t="s">
        <v>9455</v>
      </c>
      <c r="K4326" s="154" t="s">
        <v>240</v>
      </c>
    </row>
    <row r="4327">
      <c r="A4327" s="154" t="s">
        <v>9450</v>
      </c>
      <c r="B4327" s="154" t="s">
        <v>9451</v>
      </c>
      <c r="D4327" s="154">
        <v>2.0</v>
      </c>
      <c r="E4327" s="154" t="s">
        <v>761</v>
      </c>
      <c r="F4327" s="154" t="s">
        <v>9452</v>
      </c>
      <c r="G4327" s="156">
        <v>0.0</v>
      </c>
      <c r="H4327" s="154" t="s">
        <v>9453</v>
      </c>
      <c r="I4327" s="154" t="s">
        <v>9454</v>
      </c>
      <c r="J4327" s="154" t="s">
        <v>9455</v>
      </c>
      <c r="K4327" s="154" t="s">
        <v>240</v>
      </c>
    </row>
    <row r="4328">
      <c r="A4328" s="154" t="s">
        <v>9456</v>
      </c>
      <c r="B4328" s="154" t="s">
        <v>9457</v>
      </c>
      <c r="D4328" s="154">
        <v>2.0</v>
      </c>
      <c r="E4328" s="154" t="s">
        <v>761</v>
      </c>
      <c r="F4328" s="154" t="s">
        <v>9458</v>
      </c>
      <c r="G4328" s="154" t="s">
        <v>9459</v>
      </c>
      <c r="H4328" s="156">
        <v>0.0</v>
      </c>
      <c r="I4328" s="154" t="s">
        <v>9460</v>
      </c>
      <c r="J4328" s="154" t="s">
        <v>9459</v>
      </c>
      <c r="K4328" s="154" t="s">
        <v>259</v>
      </c>
    </row>
    <row r="4329">
      <c r="A4329" s="154" t="s">
        <v>9456</v>
      </c>
      <c r="B4329" s="155"/>
      <c r="C4329" s="154" t="s">
        <v>9457</v>
      </c>
      <c r="D4329" s="155"/>
      <c r="E4329" s="155"/>
      <c r="F4329" s="154" t="s">
        <v>9458</v>
      </c>
      <c r="G4329" s="154" t="s">
        <v>9459</v>
      </c>
      <c r="H4329" s="156">
        <v>0.0</v>
      </c>
      <c r="I4329" s="154" t="s">
        <v>9460</v>
      </c>
      <c r="J4329" s="154" t="s">
        <v>9459</v>
      </c>
      <c r="K4329" s="154" t="s">
        <v>259</v>
      </c>
    </row>
    <row r="4330">
      <c r="A4330" s="154" t="s">
        <v>9461</v>
      </c>
      <c r="B4330" s="154" t="s">
        <v>9462</v>
      </c>
      <c r="D4330" s="154">
        <v>2.0</v>
      </c>
      <c r="E4330" s="154" t="s">
        <v>761</v>
      </c>
      <c r="F4330" s="154" t="s">
        <v>9463</v>
      </c>
      <c r="G4330" s="154">
        <v>4.3636888E7</v>
      </c>
      <c r="H4330" s="156">
        <v>0.0</v>
      </c>
      <c r="I4330" s="156">
        <v>0.0</v>
      </c>
      <c r="J4330" s="156">
        <v>0.0</v>
      </c>
      <c r="K4330" s="154" t="s">
        <v>939</v>
      </c>
    </row>
    <row r="4331">
      <c r="A4331" s="154" t="s">
        <v>9461</v>
      </c>
      <c r="B4331" s="155"/>
      <c r="C4331" s="154" t="s">
        <v>9462</v>
      </c>
      <c r="D4331" s="155"/>
      <c r="E4331" s="155"/>
      <c r="F4331" s="154" t="s">
        <v>9463</v>
      </c>
      <c r="G4331" s="154">
        <v>4.3636888E7</v>
      </c>
      <c r="H4331" s="156">
        <v>0.0</v>
      </c>
      <c r="I4331" s="156">
        <v>0.0</v>
      </c>
      <c r="J4331" s="156">
        <v>0.0</v>
      </c>
      <c r="K4331" s="154" t="s">
        <v>939</v>
      </c>
    </row>
    <row r="4332">
      <c r="A4332" s="154" t="s">
        <v>9464</v>
      </c>
      <c r="B4332" s="155"/>
      <c r="C4332" s="154" t="s">
        <v>9465</v>
      </c>
      <c r="D4332" s="155"/>
      <c r="E4332" s="155"/>
      <c r="F4332" s="154" t="s">
        <v>3715</v>
      </c>
      <c r="G4332" s="154">
        <v>2260480.0</v>
      </c>
      <c r="H4332" s="154" t="s">
        <v>9466</v>
      </c>
      <c r="I4332" s="154">
        <v>5.06245208E8</v>
      </c>
      <c r="J4332" s="156">
        <v>0.0</v>
      </c>
      <c r="K4332" s="154" t="s">
        <v>361</v>
      </c>
    </row>
    <row r="4333">
      <c r="A4333" s="154" t="s">
        <v>9464</v>
      </c>
      <c r="B4333" s="154" t="s">
        <v>9465</v>
      </c>
      <c r="D4333" s="154">
        <v>2.0</v>
      </c>
      <c r="E4333" s="154" t="s">
        <v>761</v>
      </c>
      <c r="F4333" s="154" t="s">
        <v>3715</v>
      </c>
      <c r="G4333" s="154">
        <v>2260480.0</v>
      </c>
      <c r="H4333" s="154" t="s">
        <v>9466</v>
      </c>
      <c r="I4333" s="154">
        <v>5.06245208E8</v>
      </c>
      <c r="J4333" s="156">
        <v>0.0</v>
      </c>
      <c r="K4333" s="154" t="s">
        <v>361</v>
      </c>
    </row>
    <row r="4334">
      <c r="A4334" s="154" t="s">
        <v>9467</v>
      </c>
      <c r="B4334" s="155"/>
      <c r="C4334" s="154" t="s">
        <v>9468</v>
      </c>
      <c r="D4334" s="155"/>
      <c r="E4334" s="155"/>
      <c r="F4334" s="154" t="s">
        <v>9469</v>
      </c>
      <c r="G4334" s="154">
        <v>0.0</v>
      </c>
      <c r="H4334" s="156">
        <v>0.0</v>
      </c>
      <c r="I4334" s="154">
        <v>0.0</v>
      </c>
      <c r="J4334" s="156">
        <v>0.0</v>
      </c>
      <c r="K4334" s="154" t="s">
        <v>240</v>
      </c>
    </row>
    <row r="4335">
      <c r="A4335" s="154" t="s">
        <v>9467</v>
      </c>
      <c r="B4335" s="154" t="s">
        <v>9468</v>
      </c>
      <c r="D4335" s="154">
        <v>2.0</v>
      </c>
      <c r="E4335" s="154" t="s">
        <v>761</v>
      </c>
      <c r="F4335" s="154" t="s">
        <v>9469</v>
      </c>
      <c r="G4335" s="154">
        <v>0.0</v>
      </c>
      <c r="H4335" s="156">
        <v>0.0</v>
      </c>
      <c r="I4335" s="154">
        <v>0.0</v>
      </c>
      <c r="J4335" s="156">
        <v>0.0</v>
      </c>
      <c r="K4335" s="154" t="s">
        <v>240</v>
      </c>
    </row>
    <row r="4336">
      <c r="A4336" s="154" t="s">
        <v>9470</v>
      </c>
      <c r="B4336" s="154" t="s">
        <v>9471</v>
      </c>
      <c r="D4336" s="154">
        <v>2.0</v>
      </c>
      <c r="E4336" s="154" t="s">
        <v>761</v>
      </c>
      <c r="F4336" s="154" t="s">
        <v>9472</v>
      </c>
      <c r="G4336" s="154" t="s">
        <v>9473</v>
      </c>
      <c r="H4336" s="156">
        <v>0.0</v>
      </c>
      <c r="I4336" s="154" t="s">
        <v>9474</v>
      </c>
      <c r="J4336" s="154" t="s">
        <v>9475</v>
      </c>
      <c r="K4336" s="154" t="s">
        <v>846</v>
      </c>
    </row>
    <row r="4337">
      <c r="A4337" s="154" t="s">
        <v>9470</v>
      </c>
      <c r="B4337" s="155"/>
      <c r="C4337" s="154" t="s">
        <v>9471</v>
      </c>
      <c r="D4337" s="155"/>
      <c r="E4337" s="155"/>
      <c r="F4337" s="154" t="s">
        <v>9472</v>
      </c>
      <c r="G4337" s="154" t="s">
        <v>9473</v>
      </c>
      <c r="H4337" s="156">
        <v>0.0</v>
      </c>
      <c r="I4337" s="154" t="s">
        <v>9474</v>
      </c>
      <c r="J4337" s="154" t="s">
        <v>9475</v>
      </c>
      <c r="K4337" s="154" t="s">
        <v>846</v>
      </c>
    </row>
    <row r="4338">
      <c r="A4338" s="154" t="s">
        <v>9476</v>
      </c>
      <c r="B4338" s="155"/>
      <c r="C4338" s="154" t="s">
        <v>9477</v>
      </c>
      <c r="D4338" s="155"/>
      <c r="E4338" s="155"/>
      <c r="F4338" s="154" t="s">
        <v>9478</v>
      </c>
      <c r="G4338" s="154">
        <v>5.04545102E8</v>
      </c>
      <c r="H4338" s="156">
        <v>0.0</v>
      </c>
      <c r="I4338" s="156">
        <v>0.0</v>
      </c>
      <c r="J4338" s="156">
        <v>0.0</v>
      </c>
      <c r="K4338" s="154" t="s">
        <v>329</v>
      </c>
    </row>
    <row r="4339">
      <c r="A4339" s="154" t="s">
        <v>9476</v>
      </c>
      <c r="B4339" s="154" t="s">
        <v>9477</v>
      </c>
      <c r="D4339" s="154">
        <v>2.0</v>
      </c>
      <c r="E4339" s="154" t="s">
        <v>761</v>
      </c>
      <c r="F4339" s="154" t="s">
        <v>9478</v>
      </c>
      <c r="G4339" s="154">
        <v>5.04545102E8</v>
      </c>
      <c r="H4339" s="156">
        <v>0.0</v>
      </c>
      <c r="I4339" s="156">
        <v>0.0</v>
      </c>
      <c r="J4339" s="156">
        <v>0.0</v>
      </c>
      <c r="K4339" s="154" t="s">
        <v>329</v>
      </c>
    </row>
    <row r="4340">
      <c r="A4340" s="154" t="s">
        <v>9479</v>
      </c>
      <c r="B4340" s="154" t="s">
        <v>9480</v>
      </c>
      <c r="D4340" s="154">
        <v>2.0</v>
      </c>
      <c r="E4340" s="154" t="s">
        <v>761</v>
      </c>
      <c r="F4340" s="154" t="s">
        <v>1190</v>
      </c>
      <c r="G4340" s="154">
        <v>5.0851975E8</v>
      </c>
      <c r="H4340" s="154" t="s">
        <v>1191</v>
      </c>
      <c r="I4340" s="156">
        <v>0.0</v>
      </c>
      <c r="J4340" s="156">
        <v>0.0</v>
      </c>
      <c r="K4340" s="156">
        <v>0.0</v>
      </c>
    </row>
    <row r="4341">
      <c r="A4341" s="154" t="s">
        <v>9479</v>
      </c>
      <c r="B4341" s="155"/>
      <c r="C4341" s="154" t="s">
        <v>9480</v>
      </c>
      <c r="D4341" s="155"/>
      <c r="E4341" s="155"/>
      <c r="F4341" s="154" t="s">
        <v>9481</v>
      </c>
      <c r="G4341" s="156">
        <v>0.0</v>
      </c>
      <c r="H4341" s="156">
        <v>0.0</v>
      </c>
      <c r="I4341" s="154">
        <v>5.01522334E8</v>
      </c>
      <c r="J4341" s="156">
        <v>0.0</v>
      </c>
      <c r="K4341" s="154" t="s">
        <v>361</v>
      </c>
    </row>
    <row r="4342">
      <c r="A4342" s="154" t="s">
        <v>9482</v>
      </c>
      <c r="B4342" s="155"/>
      <c r="C4342" s="154" t="s">
        <v>9483</v>
      </c>
      <c r="D4342" s="155"/>
      <c r="E4342" s="155"/>
      <c r="F4342" s="154" t="s">
        <v>9484</v>
      </c>
      <c r="G4342" s="156">
        <v>0.0</v>
      </c>
      <c r="H4342" s="156">
        <v>0.0</v>
      </c>
      <c r="I4342" s="154">
        <v>5.05647204E8</v>
      </c>
      <c r="J4342" s="156">
        <v>0.0</v>
      </c>
      <c r="K4342" s="154" t="s">
        <v>760</v>
      </c>
    </row>
    <row r="4343">
      <c r="A4343" s="154" t="s">
        <v>9482</v>
      </c>
      <c r="B4343" s="154" t="s">
        <v>9483</v>
      </c>
      <c r="D4343" s="154">
        <v>2.0</v>
      </c>
      <c r="E4343" s="154" t="s">
        <v>761</v>
      </c>
      <c r="F4343" s="154" t="s">
        <v>9485</v>
      </c>
      <c r="G4343" s="154">
        <v>4.3197799E7</v>
      </c>
      <c r="H4343" s="154" t="s">
        <v>9486</v>
      </c>
      <c r="I4343" s="154">
        <v>9.71509200747E11</v>
      </c>
      <c r="J4343" s="156">
        <v>0.0</v>
      </c>
      <c r="K4343" s="154" t="s">
        <v>207</v>
      </c>
    </row>
    <row r="4344">
      <c r="A4344" s="154" t="s">
        <v>9487</v>
      </c>
      <c r="B4344" s="155"/>
      <c r="C4344" s="154" t="s">
        <v>9488</v>
      </c>
      <c r="D4344" s="155"/>
      <c r="E4344" s="155"/>
      <c r="F4344" s="154" t="s">
        <v>9489</v>
      </c>
      <c r="G4344" s="154">
        <v>0.0</v>
      </c>
      <c r="H4344" s="156">
        <v>0.0</v>
      </c>
      <c r="I4344" s="154">
        <v>5.07385513E8</v>
      </c>
      <c r="J4344" s="156">
        <v>0.0</v>
      </c>
      <c r="K4344" s="154" t="s">
        <v>361</v>
      </c>
    </row>
    <row r="4345">
      <c r="A4345" s="154" t="s">
        <v>9487</v>
      </c>
      <c r="B4345" s="154" t="s">
        <v>9488</v>
      </c>
      <c r="D4345" s="154">
        <v>2.0</v>
      </c>
      <c r="E4345" s="154" t="s">
        <v>761</v>
      </c>
      <c r="F4345" s="154" t="s">
        <v>9489</v>
      </c>
      <c r="G4345" s="154">
        <v>0.0</v>
      </c>
      <c r="H4345" s="156">
        <v>0.0</v>
      </c>
      <c r="I4345" s="154">
        <v>5.07385513E8</v>
      </c>
      <c r="J4345" s="156">
        <v>0.0</v>
      </c>
      <c r="K4345" s="154" t="s">
        <v>361</v>
      </c>
    </row>
    <row r="4346">
      <c r="A4346" s="154" t="s">
        <v>9490</v>
      </c>
      <c r="B4346" s="154" t="s">
        <v>9491</v>
      </c>
      <c r="D4346" s="154">
        <v>2.0</v>
      </c>
      <c r="E4346" s="154" t="s">
        <v>761</v>
      </c>
      <c r="F4346" s="154" t="s">
        <v>9492</v>
      </c>
      <c r="G4346" s="154">
        <v>4.8861772E7</v>
      </c>
      <c r="H4346" s="156">
        <v>0.0</v>
      </c>
      <c r="I4346" s="154">
        <v>9.71505457524E11</v>
      </c>
      <c r="J4346" s="156">
        <v>0.0</v>
      </c>
      <c r="K4346" s="154" t="s">
        <v>361</v>
      </c>
    </row>
    <row r="4347">
      <c r="A4347" s="154" t="s">
        <v>9490</v>
      </c>
      <c r="B4347" s="155"/>
      <c r="C4347" s="154" t="s">
        <v>9491</v>
      </c>
      <c r="D4347" s="155"/>
      <c r="E4347" s="155"/>
      <c r="F4347" s="154" t="s">
        <v>9492</v>
      </c>
      <c r="G4347" s="154">
        <v>4.8861772E7</v>
      </c>
      <c r="H4347" s="156">
        <v>0.0</v>
      </c>
      <c r="I4347" s="154">
        <v>9.71505457524E11</v>
      </c>
      <c r="J4347" s="156">
        <v>0.0</v>
      </c>
      <c r="K4347" s="154" t="s">
        <v>361</v>
      </c>
    </row>
    <row r="4348">
      <c r="A4348" s="154" t="s">
        <v>9493</v>
      </c>
      <c r="B4348" s="155"/>
      <c r="C4348" s="154" t="s">
        <v>9494</v>
      </c>
      <c r="D4348" s="155"/>
      <c r="E4348" s="155"/>
      <c r="F4348" s="154" t="s">
        <v>9425</v>
      </c>
      <c r="G4348" s="156">
        <v>0.0</v>
      </c>
      <c r="H4348" s="154" t="s">
        <v>3913</v>
      </c>
      <c r="I4348" s="154" t="s">
        <v>9426</v>
      </c>
      <c r="J4348" s="154" t="s">
        <v>9427</v>
      </c>
      <c r="K4348" s="154" t="s">
        <v>361</v>
      </c>
    </row>
    <row r="4349">
      <c r="A4349" s="154" t="s">
        <v>9493</v>
      </c>
      <c r="B4349" s="154" t="s">
        <v>9494</v>
      </c>
      <c r="D4349" s="154">
        <v>2.0</v>
      </c>
      <c r="E4349" s="154" t="s">
        <v>761</v>
      </c>
      <c r="F4349" s="154" t="s">
        <v>9425</v>
      </c>
      <c r="G4349" s="156">
        <v>0.0</v>
      </c>
      <c r="H4349" s="154" t="s">
        <v>3913</v>
      </c>
      <c r="I4349" s="154" t="s">
        <v>9426</v>
      </c>
      <c r="J4349" s="154" t="s">
        <v>9427</v>
      </c>
      <c r="K4349" s="154" t="s">
        <v>361</v>
      </c>
    </row>
    <row r="4350">
      <c r="A4350" s="154" t="s">
        <v>9495</v>
      </c>
      <c r="B4350" s="154" t="s">
        <v>9496</v>
      </c>
      <c r="D4350" s="154">
        <v>2.0</v>
      </c>
      <c r="E4350" s="154" t="s">
        <v>761</v>
      </c>
      <c r="F4350" s="154" t="s">
        <v>9497</v>
      </c>
      <c r="G4350" s="156">
        <v>0.0</v>
      </c>
      <c r="H4350" s="154" t="s">
        <v>2294</v>
      </c>
      <c r="I4350" s="154" t="s">
        <v>9498</v>
      </c>
      <c r="J4350" s="156">
        <v>0.0</v>
      </c>
      <c r="K4350" s="154" t="s">
        <v>361</v>
      </c>
    </row>
    <row r="4351">
      <c r="A4351" s="154" t="s">
        <v>9495</v>
      </c>
      <c r="B4351" s="155"/>
      <c r="C4351" s="154" t="s">
        <v>9496</v>
      </c>
      <c r="D4351" s="155"/>
      <c r="E4351" s="155"/>
      <c r="F4351" s="154" t="s">
        <v>9497</v>
      </c>
      <c r="G4351" s="156">
        <v>0.0</v>
      </c>
      <c r="H4351" s="154" t="s">
        <v>2294</v>
      </c>
      <c r="I4351" s="154" t="s">
        <v>9498</v>
      </c>
      <c r="J4351" s="156">
        <v>0.0</v>
      </c>
      <c r="K4351" s="154" t="s">
        <v>361</v>
      </c>
    </row>
    <row r="4352">
      <c r="A4352" s="154" t="s">
        <v>9499</v>
      </c>
      <c r="B4352" s="154" t="s">
        <v>9500</v>
      </c>
      <c r="D4352" s="154">
        <v>2.0</v>
      </c>
      <c r="E4352" s="154" t="s">
        <v>761</v>
      </c>
      <c r="F4352" s="154" t="s">
        <v>9501</v>
      </c>
      <c r="G4352" s="154" t="s">
        <v>9502</v>
      </c>
      <c r="H4352" s="156">
        <v>0.0</v>
      </c>
      <c r="I4352" s="154">
        <v>5.06611736E8</v>
      </c>
      <c r="J4352" s="156">
        <v>0.0</v>
      </c>
      <c r="K4352" s="154" t="s">
        <v>197</v>
      </c>
    </row>
    <row r="4353">
      <c r="A4353" s="154" t="s">
        <v>9499</v>
      </c>
      <c r="B4353" s="155"/>
      <c r="C4353" s="154" t="s">
        <v>9500</v>
      </c>
      <c r="D4353" s="155"/>
      <c r="E4353" s="155"/>
      <c r="F4353" s="154" t="s">
        <v>9501</v>
      </c>
      <c r="G4353" s="154" t="s">
        <v>9502</v>
      </c>
      <c r="H4353" s="156">
        <v>0.0</v>
      </c>
      <c r="I4353" s="154">
        <v>5.06611736E8</v>
      </c>
      <c r="J4353" s="156">
        <v>0.0</v>
      </c>
      <c r="K4353" s="154" t="s">
        <v>197</v>
      </c>
    </row>
    <row r="4354">
      <c r="A4354" s="154" t="s">
        <v>9503</v>
      </c>
      <c r="B4354" s="154" t="s">
        <v>9504</v>
      </c>
      <c r="D4354" s="154">
        <v>2.0</v>
      </c>
      <c r="E4354" s="154" t="s">
        <v>761</v>
      </c>
      <c r="F4354" s="154" t="s">
        <v>9505</v>
      </c>
      <c r="G4354" s="156">
        <v>0.0</v>
      </c>
      <c r="H4354" s="156">
        <v>0.0</v>
      </c>
      <c r="I4354" s="154">
        <v>0.0</v>
      </c>
      <c r="J4354" s="156">
        <v>0.0</v>
      </c>
      <c r="K4354" s="154" t="s">
        <v>240</v>
      </c>
    </row>
    <row r="4355">
      <c r="A4355" s="154" t="s">
        <v>9503</v>
      </c>
      <c r="B4355" s="155"/>
      <c r="C4355" s="154" t="s">
        <v>9504</v>
      </c>
      <c r="D4355" s="155"/>
      <c r="E4355" s="155"/>
      <c r="F4355" s="154" t="s">
        <v>9505</v>
      </c>
      <c r="G4355" s="156">
        <v>0.0</v>
      </c>
      <c r="H4355" s="156">
        <v>0.0</v>
      </c>
      <c r="I4355" s="154">
        <v>0.0</v>
      </c>
      <c r="J4355" s="156">
        <v>0.0</v>
      </c>
      <c r="K4355" s="154" t="s">
        <v>240</v>
      </c>
    </row>
    <row r="4356">
      <c r="A4356" s="154" t="s">
        <v>9506</v>
      </c>
      <c r="B4356" s="154" t="s">
        <v>9507</v>
      </c>
      <c r="D4356" s="154">
        <v>2.0</v>
      </c>
      <c r="E4356" s="154" t="s">
        <v>761</v>
      </c>
      <c r="F4356" s="154" t="s">
        <v>9508</v>
      </c>
      <c r="G4356" s="156">
        <v>0.0</v>
      </c>
      <c r="H4356" s="154" t="s">
        <v>9509</v>
      </c>
      <c r="I4356" s="154" t="s">
        <v>9510</v>
      </c>
      <c r="J4356" s="154" t="s">
        <v>9511</v>
      </c>
      <c r="K4356" s="154" t="s">
        <v>361</v>
      </c>
    </row>
    <row r="4357">
      <c r="A4357" s="154" t="s">
        <v>9506</v>
      </c>
      <c r="B4357" s="155"/>
      <c r="C4357" s="154" t="s">
        <v>9507</v>
      </c>
      <c r="D4357" s="155"/>
      <c r="E4357" s="155"/>
      <c r="F4357" s="154" t="s">
        <v>9512</v>
      </c>
      <c r="G4357" s="156">
        <v>0.0</v>
      </c>
      <c r="H4357" s="156">
        <v>0.0</v>
      </c>
      <c r="I4357" s="154" t="s">
        <v>9513</v>
      </c>
      <c r="J4357" s="154" t="s">
        <v>9514</v>
      </c>
      <c r="K4357" s="154" t="s">
        <v>207</v>
      </c>
    </row>
    <row r="4358">
      <c r="A4358" s="154" t="s">
        <v>9515</v>
      </c>
      <c r="B4358" s="155"/>
      <c r="C4358" s="154" t="s">
        <v>9516</v>
      </c>
      <c r="D4358" s="155"/>
      <c r="E4358" s="155"/>
      <c r="F4358" s="154" t="s">
        <v>9517</v>
      </c>
      <c r="G4358" s="154" t="s">
        <v>9518</v>
      </c>
      <c r="H4358" s="154" t="s">
        <v>9519</v>
      </c>
      <c r="I4358" s="154" t="s">
        <v>9520</v>
      </c>
      <c r="J4358" s="154" t="s">
        <v>9518</v>
      </c>
      <c r="K4358" s="154" t="s">
        <v>776</v>
      </c>
    </row>
    <row r="4359">
      <c r="A4359" s="154" t="s">
        <v>9515</v>
      </c>
      <c r="B4359" s="154" t="s">
        <v>9516</v>
      </c>
      <c r="D4359" s="154">
        <v>2.0</v>
      </c>
      <c r="E4359" s="154" t="s">
        <v>761</v>
      </c>
      <c r="F4359" s="154" t="s">
        <v>9517</v>
      </c>
      <c r="G4359" s="154" t="s">
        <v>9518</v>
      </c>
      <c r="H4359" s="154" t="s">
        <v>9519</v>
      </c>
      <c r="I4359" s="154" t="s">
        <v>9520</v>
      </c>
      <c r="J4359" s="154" t="s">
        <v>9518</v>
      </c>
      <c r="K4359" s="154" t="s">
        <v>776</v>
      </c>
    </row>
    <row r="4360">
      <c r="A4360" s="154" t="s">
        <v>9521</v>
      </c>
      <c r="B4360" s="154" t="s">
        <v>9522</v>
      </c>
      <c r="D4360" s="154">
        <v>2.0</v>
      </c>
      <c r="E4360" s="154" t="s">
        <v>761</v>
      </c>
      <c r="F4360" s="154" t="s">
        <v>9523</v>
      </c>
      <c r="G4360" s="156">
        <v>0.0</v>
      </c>
      <c r="H4360" s="156">
        <v>0.0</v>
      </c>
      <c r="I4360" s="154" t="s">
        <v>9524</v>
      </c>
      <c r="J4360" s="156">
        <v>0.0</v>
      </c>
      <c r="K4360" s="154" t="s">
        <v>939</v>
      </c>
    </row>
    <row r="4361">
      <c r="A4361" s="154" t="s">
        <v>9521</v>
      </c>
      <c r="B4361" s="155"/>
      <c r="C4361" s="154" t="s">
        <v>9522</v>
      </c>
      <c r="D4361" s="155"/>
      <c r="E4361" s="155"/>
      <c r="F4361" s="154" t="s">
        <v>9525</v>
      </c>
      <c r="G4361" s="154">
        <v>5.06527137E8</v>
      </c>
      <c r="H4361" s="156">
        <v>0.0</v>
      </c>
      <c r="I4361" s="154" t="s">
        <v>9524</v>
      </c>
      <c r="J4361" s="156">
        <v>0.0</v>
      </c>
      <c r="K4361" s="154" t="s">
        <v>259</v>
      </c>
    </row>
    <row r="4362">
      <c r="A4362" s="154" t="s">
        <v>9526</v>
      </c>
      <c r="B4362" s="155"/>
      <c r="C4362" s="154" t="s">
        <v>9527</v>
      </c>
      <c r="D4362" s="155"/>
      <c r="E4362" s="155"/>
      <c r="F4362" s="154" t="s">
        <v>1289</v>
      </c>
      <c r="G4362" s="156">
        <v>0.0</v>
      </c>
      <c r="H4362" s="154" t="s">
        <v>1290</v>
      </c>
      <c r="I4362" s="154" t="s">
        <v>1291</v>
      </c>
      <c r="J4362" s="156">
        <v>0.0</v>
      </c>
      <c r="K4362" s="154" t="s">
        <v>207</v>
      </c>
    </row>
    <row r="4363">
      <c r="A4363" s="154" t="s">
        <v>9526</v>
      </c>
      <c r="B4363" s="154" t="s">
        <v>9527</v>
      </c>
      <c r="D4363" s="154">
        <v>2.0</v>
      </c>
      <c r="E4363" s="154" t="s">
        <v>761</v>
      </c>
      <c r="F4363" s="154" t="s">
        <v>1289</v>
      </c>
      <c r="G4363" s="156">
        <v>0.0</v>
      </c>
      <c r="H4363" s="154" t="s">
        <v>1290</v>
      </c>
      <c r="I4363" s="154" t="s">
        <v>1291</v>
      </c>
      <c r="J4363" s="156">
        <v>0.0</v>
      </c>
      <c r="K4363" s="154" t="s">
        <v>207</v>
      </c>
    </row>
    <row r="4364">
      <c r="A4364" s="154" t="s">
        <v>9528</v>
      </c>
      <c r="B4364" s="155"/>
      <c r="C4364" s="154" t="s">
        <v>9529</v>
      </c>
      <c r="D4364" s="155"/>
      <c r="E4364" s="155"/>
      <c r="F4364" s="154" t="s">
        <v>1206</v>
      </c>
      <c r="G4364" s="154" t="s">
        <v>1207</v>
      </c>
      <c r="H4364" s="154" t="s">
        <v>1208</v>
      </c>
      <c r="I4364" s="156">
        <v>0.0</v>
      </c>
      <c r="J4364" s="156">
        <v>0.0</v>
      </c>
      <c r="K4364" s="156">
        <v>0.0</v>
      </c>
    </row>
    <row r="4365">
      <c r="A4365" s="154" t="s">
        <v>9528</v>
      </c>
      <c r="B4365" s="154" t="s">
        <v>9529</v>
      </c>
      <c r="D4365" s="154">
        <v>2.0</v>
      </c>
      <c r="E4365" s="154" t="s">
        <v>761</v>
      </c>
      <c r="F4365" s="154" t="s">
        <v>1206</v>
      </c>
      <c r="G4365" s="154" t="s">
        <v>1207</v>
      </c>
      <c r="H4365" s="154" t="s">
        <v>1208</v>
      </c>
      <c r="I4365" s="156">
        <v>0.0</v>
      </c>
      <c r="J4365" s="156">
        <v>0.0</v>
      </c>
      <c r="K4365" s="156">
        <v>0.0</v>
      </c>
    </row>
    <row r="4366">
      <c r="A4366" s="154" t="s">
        <v>9530</v>
      </c>
      <c r="B4366" s="154" t="s">
        <v>9531</v>
      </c>
      <c r="D4366" s="154">
        <v>2.0</v>
      </c>
      <c r="E4366" s="154" t="s">
        <v>761</v>
      </c>
      <c r="F4366" s="154" t="s">
        <v>792</v>
      </c>
      <c r="G4366" s="154" t="s">
        <v>793</v>
      </c>
      <c r="H4366" s="154" t="s">
        <v>794</v>
      </c>
      <c r="I4366" s="156">
        <v>0.0</v>
      </c>
      <c r="J4366" s="156">
        <v>0.0</v>
      </c>
      <c r="K4366" s="156">
        <v>0.0</v>
      </c>
    </row>
    <row r="4367">
      <c r="A4367" s="154" t="s">
        <v>9530</v>
      </c>
      <c r="B4367" s="155"/>
      <c r="C4367" s="154" t="s">
        <v>9531</v>
      </c>
      <c r="D4367" s="155"/>
      <c r="E4367" s="155"/>
      <c r="F4367" s="154" t="s">
        <v>9532</v>
      </c>
      <c r="G4367" s="154">
        <v>0.0</v>
      </c>
      <c r="H4367" s="156">
        <v>0.0</v>
      </c>
      <c r="I4367" s="154">
        <v>0.0</v>
      </c>
      <c r="J4367" s="156">
        <v>0.0</v>
      </c>
      <c r="K4367" s="154" t="s">
        <v>1059</v>
      </c>
    </row>
    <row r="4368">
      <c r="A4368" s="154" t="s">
        <v>9533</v>
      </c>
      <c r="B4368" s="155"/>
      <c r="C4368" s="154" t="s">
        <v>9534</v>
      </c>
      <c r="D4368" s="155"/>
      <c r="E4368" s="155"/>
      <c r="F4368" s="154" t="s">
        <v>9535</v>
      </c>
      <c r="G4368" s="154" t="s">
        <v>9536</v>
      </c>
      <c r="H4368" s="154" t="s">
        <v>9537</v>
      </c>
      <c r="I4368" s="154" t="s">
        <v>9538</v>
      </c>
      <c r="J4368" s="156">
        <v>0.0</v>
      </c>
      <c r="K4368" s="154" t="s">
        <v>259</v>
      </c>
    </row>
    <row r="4369">
      <c r="A4369" s="154" t="s">
        <v>9533</v>
      </c>
      <c r="B4369" s="154" t="s">
        <v>9534</v>
      </c>
      <c r="D4369" s="154">
        <v>2.0</v>
      </c>
      <c r="E4369" s="154" t="s">
        <v>761</v>
      </c>
      <c r="F4369" s="154" t="s">
        <v>9535</v>
      </c>
      <c r="G4369" s="154" t="s">
        <v>9536</v>
      </c>
      <c r="H4369" s="154" t="s">
        <v>9537</v>
      </c>
      <c r="I4369" s="154" t="s">
        <v>9538</v>
      </c>
      <c r="J4369" s="156">
        <v>0.0</v>
      </c>
      <c r="K4369" s="154" t="s">
        <v>259</v>
      </c>
    </row>
    <row r="4370">
      <c r="A4370" s="154" t="s">
        <v>9539</v>
      </c>
      <c r="B4370" s="154" t="s">
        <v>9540</v>
      </c>
      <c r="D4370" s="154">
        <v>2.0</v>
      </c>
      <c r="E4370" s="154" t="s">
        <v>761</v>
      </c>
      <c r="F4370" s="154" t="s">
        <v>9541</v>
      </c>
      <c r="G4370" s="156">
        <v>0.0</v>
      </c>
      <c r="H4370" s="156">
        <v>0.0</v>
      </c>
      <c r="I4370" s="154">
        <v>9.71506446619E11</v>
      </c>
      <c r="J4370" s="156">
        <v>0.0</v>
      </c>
      <c r="K4370" s="154" t="s">
        <v>207</v>
      </c>
    </row>
    <row r="4371">
      <c r="A4371" s="154" t="s">
        <v>9539</v>
      </c>
      <c r="B4371" s="155"/>
      <c r="C4371" s="154" t="s">
        <v>9540</v>
      </c>
      <c r="D4371" s="155"/>
      <c r="E4371" s="155"/>
      <c r="F4371" s="154" t="s">
        <v>9541</v>
      </c>
      <c r="G4371" s="156">
        <v>0.0</v>
      </c>
      <c r="H4371" s="156">
        <v>0.0</v>
      </c>
      <c r="I4371" s="154">
        <v>9.71506446619E11</v>
      </c>
      <c r="J4371" s="156">
        <v>0.0</v>
      </c>
      <c r="K4371" s="154" t="s">
        <v>207</v>
      </c>
    </row>
    <row r="4372">
      <c r="A4372" s="154" t="s">
        <v>9542</v>
      </c>
      <c r="B4372" s="154" t="s">
        <v>9543</v>
      </c>
      <c r="D4372" s="154">
        <v>2.0</v>
      </c>
      <c r="E4372" s="154" t="s">
        <v>761</v>
      </c>
      <c r="F4372" s="154" t="s">
        <v>9544</v>
      </c>
      <c r="G4372" s="154">
        <v>4.240505E7</v>
      </c>
      <c r="H4372" s="154" t="s">
        <v>9545</v>
      </c>
      <c r="I4372" s="154">
        <v>9.71555044405E11</v>
      </c>
      <c r="J4372" s="156">
        <v>0.0</v>
      </c>
      <c r="K4372" s="154" t="s">
        <v>329</v>
      </c>
    </row>
    <row r="4373">
      <c r="A4373" s="154" t="s">
        <v>9542</v>
      </c>
      <c r="B4373" s="155"/>
      <c r="C4373" s="154" t="s">
        <v>9543</v>
      </c>
      <c r="D4373" s="155"/>
      <c r="E4373" s="155"/>
      <c r="F4373" s="154" t="s">
        <v>9544</v>
      </c>
      <c r="G4373" s="154">
        <v>4.240505E7</v>
      </c>
      <c r="H4373" s="154" t="s">
        <v>9545</v>
      </c>
      <c r="I4373" s="154">
        <v>9.71555044405E11</v>
      </c>
      <c r="J4373" s="156">
        <v>0.0</v>
      </c>
      <c r="K4373" s="154" t="s">
        <v>329</v>
      </c>
    </row>
    <row r="4374">
      <c r="A4374" s="154" t="s">
        <v>9546</v>
      </c>
      <c r="B4374" s="154" t="s">
        <v>9547</v>
      </c>
      <c r="D4374" s="154">
        <v>2.0</v>
      </c>
      <c r="E4374" s="154" t="s">
        <v>761</v>
      </c>
      <c r="F4374" s="154" t="s">
        <v>9548</v>
      </c>
      <c r="G4374" s="156">
        <v>0.0</v>
      </c>
      <c r="H4374" s="156">
        <v>0.0</v>
      </c>
      <c r="I4374" s="154" t="s">
        <v>9549</v>
      </c>
      <c r="J4374" s="154" t="s">
        <v>809</v>
      </c>
      <c r="K4374" s="154" t="s">
        <v>760</v>
      </c>
    </row>
    <row r="4375">
      <c r="A4375" s="154" t="s">
        <v>9546</v>
      </c>
      <c r="B4375" s="155"/>
      <c r="C4375" s="154" t="s">
        <v>9547</v>
      </c>
      <c r="D4375" s="155"/>
      <c r="E4375" s="155"/>
      <c r="F4375" s="154" t="s">
        <v>9548</v>
      </c>
      <c r="G4375" s="156">
        <v>0.0</v>
      </c>
      <c r="H4375" s="156">
        <v>0.0</v>
      </c>
      <c r="I4375" s="154" t="s">
        <v>9549</v>
      </c>
      <c r="J4375" s="154" t="s">
        <v>809</v>
      </c>
      <c r="K4375" s="154" t="s">
        <v>760</v>
      </c>
    </row>
    <row r="4376">
      <c r="A4376" s="154" t="s">
        <v>9550</v>
      </c>
      <c r="B4376" s="154" t="s">
        <v>9551</v>
      </c>
      <c r="D4376" s="154">
        <v>2.0</v>
      </c>
      <c r="E4376" s="154" t="s">
        <v>761</v>
      </c>
      <c r="F4376" s="154" t="s">
        <v>1157</v>
      </c>
      <c r="G4376" s="154" t="s">
        <v>1158</v>
      </c>
      <c r="H4376" s="154" t="s">
        <v>1159</v>
      </c>
      <c r="I4376" s="156">
        <v>0.0</v>
      </c>
      <c r="J4376" s="156">
        <v>0.0</v>
      </c>
      <c r="K4376" s="156">
        <v>0.0</v>
      </c>
    </row>
    <row r="4377">
      <c r="A4377" s="154" t="s">
        <v>9550</v>
      </c>
      <c r="B4377" s="155"/>
      <c r="C4377" s="154" t="s">
        <v>9551</v>
      </c>
      <c r="D4377" s="155"/>
      <c r="E4377" s="155"/>
      <c r="F4377" s="154" t="s">
        <v>9552</v>
      </c>
      <c r="G4377" s="154">
        <v>0.0</v>
      </c>
      <c r="H4377" s="154" t="s">
        <v>9553</v>
      </c>
      <c r="I4377" s="154">
        <v>9.71506463065E11</v>
      </c>
      <c r="J4377" s="156">
        <v>0.0</v>
      </c>
      <c r="K4377" s="154" t="s">
        <v>361</v>
      </c>
    </row>
    <row r="4378">
      <c r="A4378" s="154" t="s">
        <v>9554</v>
      </c>
      <c r="B4378" s="154" t="s">
        <v>9555</v>
      </c>
      <c r="D4378" s="154">
        <v>2.0</v>
      </c>
      <c r="E4378" s="154" t="s">
        <v>761</v>
      </c>
      <c r="F4378" s="154" t="s">
        <v>2047</v>
      </c>
      <c r="G4378" s="154" t="s">
        <v>2048</v>
      </c>
      <c r="H4378" s="154" t="s">
        <v>2049</v>
      </c>
      <c r="I4378" s="154" t="s">
        <v>2050</v>
      </c>
      <c r="J4378" s="156">
        <v>0.0</v>
      </c>
      <c r="K4378" s="154" t="s">
        <v>207</v>
      </c>
    </row>
    <row r="4379">
      <c r="A4379" s="154" t="s">
        <v>9554</v>
      </c>
      <c r="B4379" s="155"/>
      <c r="C4379" s="154" t="s">
        <v>9555</v>
      </c>
      <c r="D4379" s="155"/>
      <c r="E4379" s="155"/>
      <c r="F4379" s="154" t="s">
        <v>2047</v>
      </c>
      <c r="G4379" s="154" t="s">
        <v>2048</v>
      </c>
      <c r="H4379" s="154" t="s">
        <v>2049</v>
      </c>
      <c r="I4379" s="154" t="s">
        <v>2050</v>
      </c>
      <c r="J4379" s="156">
        <v>0.0</v>
      </c>
      <c r="K4379" s="154" t="s">
        <v>207</v>
      </c>
    </row>
    <row r="4380">
      <c r="A4380" s="154" t="s">
        <v>9556</v>
      </c>
      <c r="B4380" s="154" t="s">
        <v>9557</v>
      </c>
      <c r="D4380" s="154">
        <v>2.0</v>
      </c>
      <c r="E4380" s="154" t="s">
        <v>761</v>
      </c>
      <c r="F4380" s="154" t="s">
        <v>9558</v>
      </c>
      <c r="G4380" s="154">
        <v>3498125.0</v>
      </c>
      <c r="H4380" s="156">
        <v>0.0</v>
      </c>
      <c r="I4380" s="154">
        <v>5.61704797E8</v>
      </c>
      <c r="J4380" s="156">
        <v>0.0</v>
      </c>
      <c r="K4380" s="154" t="s">
        <v>361</v>
      </c>
    </row>
    <row r="4381">
      <c r="A4381" s="154" t="s">
        <v>9556</v>
      </c>
      <c r="B4381" s="155"/>
      <c r="C4381" s="154" t="s">
        <v>9557</v>
      </c>
      <c r="D4381" s="155"/>
      <c r="E4381" s="155"/>
      <c r="F4381" s="154" t="s">
        <v>9558</v>
      </c>
      <c r="G4381" s="154">
        <v>3498125.0</v>
      </c>
      <c r="H4381" s="156">
        <v>0.0</v>
      </c>
      <c r="I4381" s="154">
        <v>5.61704797E8</v>
      </c>
      <c r="J4381" s="156">
        <v>0.0</v>
      </c>
      <c r="K4381" s="154" t="s">
        <v>361</v>
      </c>
    </row>
    <row r="4382">
      <c r="A4382" s="154" t="s">
        <v>9559</v>
      </c>
      <c r="B4382" s="155"/>
      <c r="C4382" s="154" t="s">
        <v>9560</v>
      </c>
      <c r="D4382" s="155"/>
      <c r="E4382" s="155"/>
      <c r="F4382" s="154" t="s">
        <v>9561</v>
      </c>
      <c r="G4382" s="154">
        <v>9.714390525E10</v>
      </c>
      <c r="H4382" s="156">
        <v>0.0</v>
      </c>
      <c r="I4382" s="154">
        <v>9.71555515236E11</v>
      </c>
      <c r="J4382" s="156">
        <v>0.0</v>
      </c>
      <c r="K4382" s="154" t="s">
        <v>197</v>
      </c>
    </row>
    <row r="4383">
      <c r="A4383" s="154" t="s">
        <v>9559</v>
      </c>
      <c r="B4383" s="154" t="s">
        <v>9560</v>
      </c>
      <c r="D4383" s="154">
        <v>2.0</v>
      </c>
      <c r="E4383" s="154" t="s">
        <v>761</v>
      </c>
      <c r="F4383" s="154" t="s">
        <v>9561</v>
      </c>
      <c r="G4383" s="154">
        <v>9.714390525E10</v>
      </c>
      <c r="H4383" s="156">
        <v>0.0</v>
      </c>
      <c r="I4383" s="154">
        <v>9.71555515236E11</v>
      </c>
      <c r="J4383" s="156">
        <v>0.0</v>
      </c>
      <c r="K4383" s="154" t="s">
        <v>197</v>
      </c>
    </row>
    <row r="4384">
      <c r="A4384" s="154" t="s">
        <v>9562</v>
      </c>
      <c r="B4384" s="155"/>
      <c r="C4384" s="154" t="s">
        <v>9563</v>
      </c>
      <c r="D4384" s="155"/>
      <c r="E4384" s="155"/>
      <c r="F4384" s="154" t="s">
        <v>9564</v>
      </c>
      <c r="G4384" s="156">
        <v>0.0</v>
      </c>
      <c r="H4384" s="156">
        <v>0.0</v>
      </c>
      <c r="I4384" s="154">
        <v>5.04523533E8</v>
      </c>
      <c r="J4384" s="156">
        <v>0.0</v>
      </c>
      <c r="K4384" s="154" t="s">
        <v>1426</v>
      </c>
    </row>
    <row r="4385">
      <c r="A4385" s="154" t="s">
        <v>9562</v>
      </c>
      <c r="B4385" s="154" t="s">
        <v>9563</v>
      </c>
      <c r="D4385" s="154">
        <v>2.0</v>
      </c>
      <c r="E4385" s="154" t="s">
        <v>761</v>
      </c>
      <c r="F4385" s="154" t="s">
        <v>9564</v>
      </c>
      <c r="G4385" s="156">
        <v>0.0</v>
      </c>
      <c r="H4385" s="156">
        <v>0.0</v>
      </c>
      <c r="I4385" s="154">
        <v>5.04523533E8</v>
      </c>
      <c r="J4385" s="156">
        <v>0.0</v>
      </c>
      <c r="K4385" s="154" t="s">
        <v>1426</v>
      </c>
    </row>
    <row r="4386">
      <c r="A4386" s="154" t="s">
        <v>9565</v>
      </c>
      <c r="B4386" s="154" t="s">
        <v>9566</v>
      </c>
      <c r="D4386" s="154">
        <v>2.0</v>
      </c>
      <c r="E4386" s="154" t="s">
        <v>761</v>
      </c>
      <c r="F4386" s="154" t="s">
        <v>9567</v>
      </c>
      <c r="G4386" s="154">
        <v>0.0</v>
      </c>
      <c r="H4386" s="156">
        <v>0.0</v>
      </c>
      <c r="I4386" s="154">
        <v>9.71509531078E11</v>
      </c>
      <c r="J4386" s="156">
        <v>0.0</v>
      </c>
      <c r="K4386" s="154" t="s">
        <v>914</v>
      </c>
    </row>
    <row r="4387">
      <c r="A4387" s="154" t="s">
        <v>9565</v>
      </c>
      <c r="B4387" s="155"/>
      <c r="C4387" s="154" t="s">
        <v>9566</v>
      </c>
      <c r="D4387" s="155"/>
      <c r="E4387" s="155"/>
      <c r="F4387" s="154" t="s">
        <v>9567</v>
      </c>
      <c r="G4387" s="154">
        <v>0.0</v>
      </c>
      <c r="H4387" s="156">
        <v>0.0</v>
      </c>
      <c r="I4387" s="154">
        <v>9.71509531078E11</v>
      </c>
      <c r="J4387" s="156">
        <v>0.0</v>
      </c>
      <c r="K4387" s="154" t="s">
        <v>914</v>
      </c>
    </row>
    <row r="4388">
      <c r="A4388" s="154" t="s">
        <v>9568</v>
      </c>
      <c r="B4388" s="154" t="s">
        <v>9569</v>
      </c>
      <c r="D4388" s="154">
        <v>2.0</v>
      </c>
      <c r="E4388" s="154" t="s">
        <v>761</v>
      </c>
      <c r="F4388" s="154" t="s">
        <v>9570</v>
      </c>
      <c r="G4388" s="154" t="s">
        <v>9571</v>
      </c>
      <c r="H4388" s="156">
        <v>0.0</v>
      </c>
      <c r="I4388" s="154" t="s">
        <v>9572</v>
      </c>
      <c r="J4388" s="154" t="s">
        <v>9573</v>
      </c>
      <c r="K4388" s="154" t="s">
        <v>329</v>
      </c>
    </row>
    <row r="4389">
      <c r="A4389" s="154" t="s">
        <v>9568</v>
      </c>
      <c r="B4389" s="155"/>
      <c r="C4389" s="154" t="s">
        <v>9569</v>
      </c>
      <c r="D4389" s="155"/>
      <c r="E4389" s="155"/>
      <c r="F4389" s="154" t="s">
        <v>9574</v>
      </c>
      <c r="G4389" s="154" t="s">
        <v>9575</v>
      </c>
      <c r="H4389" s="156">
        <v>0.0</v>
      </c>
      <c r="I4389" s="154" t="s">
        <v>9572</v>
      </c>
      <c r="J4389" s="154" t="s">
        <v>9575</v>
      </c>
      <c r="K4389" s="154" t="s">
        <v>259</v>
      </c>
    </row>
    <row r="4390">
      <c r="A4390" s="154" t="s">
        <v>9576</v>
      </c>
      <c r="B4390" s="155"/>
      <c r="C4390" s="154" t="s">
        <v>9577</v>
      </c>
      <c r="D4390" s="155"/>
      <c r="E4390" s="155"/>
      <c r="F4390" s="154" t="s">
        <v>9578</v>
      </c>
      <c r="G4390" s="156">
        <v>0.0</v>
      </c>
      <c r="H4390" s="154" t="s">
        <v>9579</v>
      </c>
      <c r="I4390" s="154" t="s">
        <v>9580</v>
      </c>
      <c r="J4390" s="154" t="s">
        <v>9581</v>
      </c>
      <c r="K4390" s="154" t="s">
        <v>207</v>
      </c>
    </row>
    <row r="4391">
      <c r="A4391" s="154" t="s">
        <v>9576</v>
      </c>
      <c r="B4391" s="154" t="s">
        <v>9577</v>
      </c>
      <c r="D4391" s="154">
        <v>2.0</v>
      </c>
      <c r="E4391" s="154" t="s">
        <v>761</v>
      </c>
      <c r="F4391" s="154" t="s">
        <v>9578</v>
      </c>
      <c r="G4391" s="156">
        <v>0.0</v>
      </c>
      <c r="H4391" s="154" t="s">
        <v>9579</v>
      </c>
      <c r="I4391" s="154" t="s">
        <v>9580</v>
      </c>
      <c r="J4391" s="154" t="s">
        <v>9581</v>
      </c>
      <c r="K4391" s="154" t="s">
        <v>207</v>
      </c>
    </row>
    <row r="4392">
      <c r="A4392" s="154" t="s">
        <v>9582</v>
      </c>
      <c r="B4392" s="155"/>
      <c r="C4392" s="154" t="s">
        <v>9583</v>
      </c>
      <c r="D4392" s="155"/>
      <c r="E4392" s="155"/>
      <c r="F4392" s="154" t="s">
        <v>9584</v>
      </c>
      <c r="G4392" s="154">
        <v>0.0</v>
      </c>
      <c r="H4392" s="156">
        <v>0.0</v>
      </c>
      <c r="I4392" s="156">
        <v>0.0</v>
      </c>
      <c r="J4392" s="156">
        <v>0.0</v>
      </c>
      <c r="K4392" s="156">
        <v>0.0</v>
      </c>
    </row>
    <row r="4393">
      <c r="A4393" s="154" t="s">
        <v>9582</v>
      </c>
      <c r="B4393" s="154" t="s">
        <v>9583</v>
      </c>
      <c r="D4393" s="154">
        <v>2.0</v>
      </c>
      <c r="E4393" s="154" t="s">
        <v>761</v>
      </c>
      <c r="F4393" s="154" t="s">
        <v>9584</v>
      </c>
      <c r="G4393" s="154">
        <v>0.0</v>
      </c>
      <c r="H4393" s="156">
        <v>0.0</v>
      </c>
      <c r="I4393" s="156">
        <v>0.0</v>
      </c>
      <c r="J4393" s="156">
        <v>0.0</v>
      </c>
      <c r="K4393" s="156">
        <v>0.0</v>
      </c>
    </row>
    <row r="4394">
      <c r="A4394" s="154" t="s">
        <v>9585</v>
      </c>
      <c r="B4394" s="155"/>
      <c r="C4394" s="154" t="s">
        <v>9586</v>
      </c>
      <c r="D4394" s="155"/>
      <c r="E4394" s="155"/>
      <c r="F4394" s="154" t="s">
        <v>9587</v>
      </c>
      <c r="G4394" s="156">
        <v>0.0</v>
      </c>
      <c r="H4394" s="156">
        <v>0.0</v>
      </c>
      <c r="I4394" s="154">
        <v>5.55940007E8</v>
      </c>
      <c r="J4394" s="156">
        <v>0.0</v>
      </c>
      <c r="K4394" s="154" t="s">
        <v>207</v>
      </c>
    </row>
    <row r="4395">
      <c r="A4395" s="154" t="s">
        <v>9585</v>
      </c>
      <c r="B4395" s="154" t="s">
        <v>9586</v>
      </c>
      <c r="D4395" s="154">
        <v>2.0</v>
      </c>
      <c r="E4395" s="154" t="s">
        <v>761</v>
      </c>
      <c r="F4395" s="154" t="s">
        <v>9587</v>
      </c>
      <c r="G4395" s="156">
        <v>0.0</v>
      </c>
      <c r="H4395" s="156">
        <v>0.0</v>
      </c>
      <c r="I4395" s="154">
        <v>5.55940007E8</v>
      </c>
      <c r="J4395" s="156">
        <v>0.0</v>
      </c>
      <c r="K4395" s="154" t="s">
        <v>207</v>
      </c>
    </row>
    <row r="4396">
      <c r="A4396" s="154" t="s">
        <v>9588</v>
      </c>
      <c r="B4396" s="154" t="s">
        <v>9589</v>
      </c>
      <c r="D4396" s="154">
        <v>2.0</v>
      </c>
      <c r="E4396" s="154" t="s">
        <v>761</v>
      </c>
      <c r="F4396" s="154" t="s">
        <v>9590</v>
      </c>
      <c r="G4396" s="154">
        <v>971.0</v>
      </c>
      <c r="H4396" s="154" t="s">
        <v>9591</v>
      </c>
      <c r="I4396" s="154" t="s">
        <v>9592</v>
      </c>
      <c r="J4396" s="154" t="s">
        <v>9593</v>
      </c>
      <c r="K4396" s="154" t="s">
        <v>939</v>
      </c>
    </row>
    <row r="4397">
      <c r="A4397" s="154" t="s">
        <v>9588</v>
      </c>
      <c r="B4397" s="155"/>
      <c r="C4397" s="154" t="s">
        <v>9589</v>
      </c>
      <c r="D4397" s="155"/>
      <c r="E4397" s="155"/>
      <c r="F4397" s="154" t="s">
        <v>9590</v>
      </c>
      <c r="G4397" s="154">
        <v>971.0</v>
      </c>
      <c r="H4397" s="154" t="s">
        <v>9591</v>
      </c>
      <c r="I4397" s="154" t="s">
        <v>9592</v>
      </c>
      <c r="J4397" s="154" t="s">
        <v>9593</v>
      </c>
      <c r="K4397" s="154" t="s">
        <v>939</v>
      </c>
    </row>
    <row r="4398">
      <c r="A4398" s="154" t="s">
        <v>9594</v>
      </c>
      <c r="B4398" s="155"/>
      <c r="C4398" s="154" t="s">
        <v>9595</v>
      </c>
      <c r="D4398" s="155"/>
      <c r="E4398" s="155"/>
      <c r="F4398" s="154" t="s">
        <v>9596</v>
      </c>
      <c r="G4398" s="154">
        <v>5.05740704E8</v>
      </c>
      <c r="H4398" s="156">
        <v>0.0</v>
      </c>
      <c r="I4398" s="154">
        <v>5.05740704E8</v>
      </c>
      <c r="J4398" s="156">
        <v>0.0</v>
      </c>
      <c r="K4398" s="154" t="s">
        <v>760</v>
      </c>
    </row>
    <row r="4399">
      <c r="A4399" s="154" t="s">
        <v>9594</v>
      </c>
      <c r="B4399" s="154" t="s">
        <v>9595</v>
      </c>
      <c r="D4399" s="154">
        <v>2.0</v>
      </c>
      <c r="E4399" s="154" t="s">
        <v>761</v>
      </c>
      <c r="F4399" s="154" t="s">
        <v>9597</v>
      </c>
      <c r="G4399" s="156">
        <v>0.0</v>
      </c>
      <c r="H4399" s="156">
        <v>0.0</v>
      </c>
      <c r="I4399" s="154">
        <v>9.71506246826E11</v>
      </c>
      <c r="J4399" s="156">
        <v>0.0</v>
      </c>
      <c r="K4399" s="154" t="s">
        <v>760</v>
      </c>
    </row>
    <row r="4400">
      <c r="A4400" s="154" t="s">
        <v>9598</v>
      </c>
      <c r="B4400" s="155"/>
      <c r="C4400" s="154" t="s">
        <v>9599</v>
      </c>
      <c r="D4400" s="155"/>
      <c r="E4400" s="155"/>
      <c r="F4400" s="154" t="s">
        <v>9600</v>
      </c>
      <c r="G4400" s="154">
        <v>0.0</v>
      </c>
      <c r="H4400" s="156">
        <v>0.0</v>
      </c>
      <c r="I4400" s="154">
        <v>9.71566820477E11</v>
      </c>
      <c r="J4400" s="156">
        <v>0.0</v>
      </c>
      <c r="K4400" s="154" t="s">
        <v>240</v>
      </c>
    </row>
    <row r="4401">
      <c r="A4401" s="154" t="s">
        <v>9598</v>
      </c>
      <c r="B4401" s="154" t="s">
        <v>9599</v>
      </c>
      <c r="D4401" s="154">
        <v>2.0</v>
      </c>
      <c r="E4401" s="154" t="s">
        <v>761</v>
      </c>
      <c r="F4401" s="154" t="s">
        <v>9600</v>
      </c>
      <c r="G4401" s="154">
        <v>0.0</v>
      </c>
      <c r="H4401" s="156">
        <v>0.0</v>
      </c>
      <c r="I4401" s="154">
        <v>9.71566820477E11</v>
      </c>
      <c r="J4401" s="156">
        <v>0.0</v>
      </c>
      <c r="K4401" s="154" t="s">
        <v>240</v>
      </c>
    </row>
    <row r="4402">
      <c r="A4402" s="154" t="s">
        <v>9601</v>
      </c>
      <c r="B4402" s="154" t="s">
        <v>9602</v>
      </c>
      <c r="D4402" s="154">
        <v>2.0</v>
      </c>
      <c r="E4402" s="154" t="s">
        <v>761</v>
      </c>
      <c r="F4402" s="154" t="s">
        <v>9603</v>
      </c>
      <c r="G4402" s="154">
        <v>5.06517158E8</v>
      </c>
      <c r="H4402" s="156">
        <v>0.0</v>
      </c>
      <c r="I4402" s="156">
        <v>0.0</v>
      </c>
      <c r="J4402" s="156">
        <v>0.0</v>
      </c>
      <c r="K4402" s="154" t="s">
        <v>361</v>
      </c>
    </row>
    <row r="4403">
      <c r="A4403" s="154" t="s">
        <v>9601</v>
      </c>
      <c r="B4403" s="155"/>
      <c r="C4403" s="154" t="s">
        <v>9602</v>
      </c>
      <c r="D4403" s="155"/>
      <c r="E4403" s="155"/>
      <c r="F4403" s="154" t="s">
        <v>9603</v>
      </c>
      <c r="G4403" s="154">
        <v>5.06517158E8</v>
      </c>
      <c r="H4403" s="156">
        <v>0.0</v>
      </c>
      <c r="I4403" s="156">
        <v>0.0</v>
      </c>
      <c r="J4403" s="156">
        <v>0.0</v>
      </c>
      <c r="K4403" s="154" t="s">
        <v>361</v>
      </c>
    </row>
    <row r="4404">
      <c r="A4404" s="154" t="s">
        <v>9604</v>
      </c>
      <c r="B4404" s="155"/>
      <c r="C4404" s="154" t="s">
        <v>9605</v>
      </c>
      <c r="D4404" s="155"/>
      <c r="E4404" s="155"/>
      <c r="F4404" s="154" t="s">
        <v>4387</v>
      </c>
      <c r="G4404" s="154">
        <v>4.2952662E7</v>
      </c>
      <c r="H4404" s="156">
        <v>0.0</v>
      </c>
      <c r="I4404" s="154">
        <v>5.06436438E8</v>
      </c>
      <c r="J4404" s="156">
        <v>0.0</v>
      </c>
      <c r="K4404" s="154" t="s">
        <v>207</v>
      </c>
    </row>
    <row r="4405">
      <c r="A4405" s="154" t="s">
        <v>9604</v>
      </c>
      <c r="B4405" s="154" t="s">
        <v>9605</v>
      </c>
      <c r="D4405" s="154">
        <v>2.0</v>
      </c>
      <c r="E4405" s="154" t="s">
        <v>761</v>
      </c>
      <c r="F4405" s="154" t="s">
        <v>4387</v>
      </c>
      <c r="G4405" s="154">
        <v>4.2952662E7</v>
      </c>
      <c r="H4405" s="156">
        <v>0.0</v>
      </c>
      <c r="I4405" s="154">
        <v>5.06436438E8</v>
      </c>
      <c r="J4405" s="156">
        <v>0.0</v>
      </c>
      <c r="K4405" s="154" t="s">
        <v>207</v>
      </c>
    </row>
    <row r="4406">
      <c r="A4406" s="154" t="s">
        <v>9606</v>
      </c>
      <c r="B4406" s="154" t="s">
        <v>9607</v>
      </c>
      <c r="D4406" s="154">
        <v>2.0</v>
      </c>
      <c r="E4406" s="154" t="s">
        <v>761</v>
      </c>
      <c r="F4406" s="154" t="s">
        <v>9608</v>
      </c>
      <c r="G4406" s="154">
        <v>0.0</v>
      </c>
      <c r="H4406" s="156">
        <v>0.0</v>
      </c>
      <c r="I4406" s="154">
        <v>9.71506409207E11</v>
      </c>
      <c r="J4406" s="156">
        <v>0.0</v>
      </c>
      <c r="K4406" s="154" t="s">
        <v>760</v>
      </c>
    </row>
    <row r="4407">
      <c r="A4407" s="154" t="s">
        <v>9606</v>
      </c>
      <c r="B4407" s="155"/>
      <c r="C4407" s="154" t="s">
        <v>9607</v>
      </c>
      <c r="D4407" s="155"/>
      <c r="E4407" s="155"/>
      <c r="F4407" s="154" t="s">
        <v>9608</v>
      </c>
      <c r="G4407" s="154">
        <v>0.0</v>
      </c>
      <c r="H4407" s="156">
        <v>0.0</v>
      </c>
      <c r="I4407" s="154">
        <v>9.71506409207E11</v>
      </c>
      <c r="J4407" s="156">
        <v>0.0</v>
      </c>
      <c r="K4407" s="154" t="s">
        <v>760</v>
      </c>
    </row>
    <row r="4408">
      <c r="A4408" s="154" t="s">
        <v>9609</v>
      </c>
      <c r="B4408" s="154" t="s">
        <v>9610</v>
      </c>
      <c r="D4408" s="154">
        <v>2.0</v>
      </c>
      <c r="E4408" s="154" t="s">
        <v>761</v>
      </c>
      <c r="F4408" s="154" t="s">
        <v>9611</v>
      </c>
      <c r="G4408" s="156">
        <v>0.0</v>
      </c>
      <c r="H4408" s="156">
        <v>0.0</v>
      </c>
      <c r="I4408" s="154">
        <v>5.05541389E8</v>
      </c>
      <c r="J4408" s="156">
        <v>0.0</v>
      </c>
      <c r="K4408" s="154" t="s">
        <v>361</v>
      </c>
    </row>
    <row r="4409">
      <c r="A4409" s="154" t="s">
        <v>9609</v>
      </c>
      <c r="B4409" s="155"/>
      <c r="C4409" s="154" t="s">
        <v>9610</v>
      </c>
      <c r="D4409" s="155"/>
      <c r="E4409" s="155"/>
      <c r="F4409" s="154" t="s">
        <v>1190</v>
      </c>
      <c r="G4409" s="154">
        <v>5.0851975E8</v>
      </c>
      <c r="H4409" s="154" t="s">
        <v>1191</v>
      </c>
      <c r="I4409" s="156">
        <v>0.0</v>
      </c>
      <c r="J4409" s="156">
        <v>0.0</v>
      </c>
      <c r="K4409" s="156">
        <v>0.0</v>
      </c>
    </row>
    <row r="4410">
      <c r="A4410" s="154" t="s">
        <v>9612</v>
      </c>
      <c r="B4410" s="155"/>
      <c r="C4410" s="154" t="s">
        <v>9613</v>
      </c>
      <c r="D4410" s="155"/>
      <c r="E4410" s="155"/>
      <c r="F4410" s="154" t="s">
        <v>9614</v>
      </c>
      <c r="G4410" s="156">
        <v>0.0</v>
      </c>
      <c r="H4410" s="156">
        <v>0.0</v>
      </c>
      <c r="I4410" s="154" t="s">
        <v>9615</v>
      </c>
      <c r="J4410" s="154" t="s">
        <v>809</v>
      </c>
      <c r="K4410" s="154" t="s">
        <v>240</v>
      </c>
    </row>
    <row r="4411">
      <c r="A4411" s="154" t="s">
        <v>9612</v>
      </c>
      <c r="B4411" s="154" t="s">
        <v>9613</v>
      </c>
      <c r="D4411" s="154">
        <v>2.0</v>
      </c>
      <c r="E4411" s="154" t="s">
        <v>761</v>
      </c>
      <c r="F4411" s="154" t="s">
        <v>9614</v>
      </c>
      <c r="G4411" s="156">
        <v>0.0</v>
      </c>
      <c r="H4411" s="156">
        <v>0.0</v>
      </c>
      <c r="I4411" s="154" t="s">
        <v>9615</v>
      </c>
      <c r="J4411" s="154" t="s">
        <v>809</v>
      </c>
      <c r="K4411" s="154" t="s">
        <v>240</v>
      </c>
    </row>
    <row r="4412">
      <c r="A4412" s="154" t="s">
        <v>9616</v>
      </c>
      <c r="B4412" s="155"/>
      <c r="C4412" s="154" t="s">
        <v>9617</v>
      </c>
      <c r="D4412" s="155"/>
      <c r="E4412" s="155"/>
      <c r="F4412" s="154" t="s">
        <v>9618</v>
      </c>
      <c r="G4412" s="154">
        <v>5.56235288E8</v>
      </c>
      <c r="H4412" s="156">
        <v>0.0</v>
      </c>
      <c r="I4412" s="154">
        <v>5.28459802E8</v>
      </c>
      <c r="J4412" s="156">
        <v>0.0</v>
      </c>
      <c r="K4412" s="154" t="s">
        <v>1059</v>
      </c>
    </row>
    <row r="4413">
      <c r="A4413" s="154" t="s">
        <v>9616</v>
      </c>
      <c r="B4413" s="154" t="s">
        <v>9617</v>
      </c>
      <c r="D4413" s="154">
        <v>2.0</v>
      </c>
      <c r="E4413" s="154" t="s">
        <v>761</v>
      </c>
      <c r="F4413" s="154" t="s">
        <v>9618</v>
      </c>
      <c r="G4413" s="154">
        <v>5.56235288E8</v>
      </c>
      <c r="H4413" s="156">
        <v>0.0</v>
      </c>
      <c r="I4413" s="154">
        <v>5.28459802E8</v>
      </c>
      <c r="J4413" s="156">
        <v>0.0</v>
      </c>
      <c r="K4413" s="154" t="s">
        <v>1059</v>
      </c>
    </row>
    <row r="4414">
      <c r="A4414" s="154" t="s">
        <v>9619</v>
      </c>
      <c r="B4414" s="154" t="s">
        <v>9620</v>
      </c>
      <c r="C4414" s="155"/>
      <c r="D4414" s="154">
        <v>2.0</v>
      </c>
      <c r="E4414" s="154" t="s">
        <v>897</v>
      </c>
      <c r="F4414" s="154" t="s">
        <v>8709</v>
      </c>
      <c r="G4414" s="154">
        <v>2.6272E7</v>
      </c>
      <c r="H4414" s="156">
        <v>0.0</v>
      </c>
      <c r="I4414" s="154">
        <v>5.06119097E8</v>
      </c>
      <c r="J4414" s="156">
        <v>0.0</v>
      </c>
      <c r="K4414" s="154" t="s">
        <v>207</v>
      </c>
    </row>
    <row r="4415">
      <c r="A4415" s="154" t="s">
        <v>9619</v>
      </c>
      <c r="B4415" s="155"/>
      <c r="C4415" s="154" t="s">
        <v>9620</v>
      </c>
      <c r="D4415" s="155"/>
      <c r="E4415" s="155"/>
      <c r="F4415" s="154" t="s">
        <v>8709</v>
      </c>
      <c r="G4415" s="154">
        <v>2.6272E7</v>
      </c>
      <c r="H4415" s="156">
        <v>0.0</v>
      </c>
      <c r="I4415" s="154">
        <v>5.06119097E8</v>
      </c>
      <c r="J4415" s="156">
        <v>0.0</v>
      </c>
      <c r="K4415" s="154" t="s">
        <v>207</v>
      </c>
    </row>
    <row r="4416">
      <c r="A4416" s="154" t="s">
        <v>9621</v>
      </c>
      <c r="B4416" s="155"/>
      <c r="C4416" s="154" t="s">
        <v>9622</v>
      </c>
      <c r="D4416" s="155"/>
      <c r="E4416" s="155"/>
      <c r="F4416" s="154" t="s">
        <v>9623</v>
      </c>
      <c r="G4416" s="154">
        <v>5.0105995E8</v>
      </c>
      <c r="H4416" s="156">
        <v>0.0</v>
      </c>
      <c r="I4416" s="156">
        <v>0.0</v>
      </c>
      <c r="J4416" s="156">
        <v>0.0</v>
      </c>
      <c r="K4416" s="156">
        <v>0.0</v>
      </c>
    </row>
    <row r="4417">
      <c r="A4417" s="154" t="s">
        <v>9621</v>
      </c>
      <c r="B4417" s="154" t="s">
        <v>9622</v>
      </c>
      <c r="C4417" s="155"/>
      <c r="D4417" s="154">
        <v>2.0</v>
      </c>
      <c r="E4417" s="154" t="s">
        <v>897</v>
      </c>
      <c r="F4417" s="154" t="s">
        <v>9623</v>
      </c>
      <c r="G4417" s="154">
        <v>5.0105995E8</v>
      </c>
      <c r="H4417" s="156">
        <v>0.0</v>
      </c>
      <c r="I4417" s="156">
        <v>0.0</v>
      </c>
      <c r="J4417" s="156">
        <v>0.0</v>
      </c>
      <c r="K4417" s="156">
        <v>0.0</v>
      </c>
    </row>
    <row r="4418">
      <c r="A4418" s="154" t="s">
        <v>9624</v>
      </c>
      <c r="B4418" s="155"/>
      <c r="C4418" s="154" t="s">
        <v>9625</v>
      </c>
      <c r="D4418" s="155"/>
      <c r="E4418" s="155"/>
      <c r="F4418" s="154" t="s">
        <v>1619</v>
      </c>
      <c r="G4418" s="154">
        <v>4.3903333E7</v>
      </c>
      <c r="H4418" s="154" t="s">
        <v>1620</v>
      </c>
      <c r="I4418" s="156">
        <v>0.0</v>
      </c>
      <c r="J4418" s="156">
        <v>0.0</v>
      </c>
      <c r="K4418" s="156">
        <v>0.0</v>
      </c>
    </row>
    <row r="4419">
      <c r="A4419" s="154" t="s">
        <v>9624</v>
      </c>
      <c r="B4419" s="154" t="s">
        <v>9625</v>
      </c>
      <c r="C4419" s="155"/>
      <c r="D4419" s="154">
        <v>2.0</v>
      </c>
      <c r="E4419" s="154" t="s">
        <v>897</v>
      </c>
      <c r="F4419" s="154" t="s">
        <v>9626</v>
      </c>
      <c r="G4419" s="154">
        <v>5.55578155E8</v>
      </c>
      <c r="H4419" s="154" t="s">
        <v>9627</v>
      </c>
      <c r="I4419" s="154">
        <v>9.71504505611E11</v>
      </c>
      <c r="J4419" s="156">
        <v>0.0</v>
      </c>
      <c r="K4419" s="154" t="s">
        <v>914</v>
      </c>
    </row>
    <row r="4420">
      <c r="A4420" s="154" t="s">
        <v>9628</v>
      </c>
      <c r="B4420" s="154" t="s">
        <v>9629</v>
      </c>
      <c r="C4420" s="155"/>
      <c r="D4420" s="154">
        <v>2.0</v>
      </c>
      <c r="E4420" s="154" t="s">
        <v>897</v>
      </c>
      <c r="F4420" s="154" t="s">
        <v>2154</v>
      </c>
      <c r="G4420" s="154" t="s">
        <v>2155</v>
      </c>
      <c r="H4420" s="154" t="s">
        <v>2156</v>
      </c>
      <c r="I4420" s="154">
        <v>9.71507181473E11</v>
      </c>
      <c r="J4420" s="156">
        <v>0.0</v>
      </c>
      <c r="K4420" s="154" t="s">
        <v>361</v>
      </c>
    </row>
    <row r="4421">
      <c r="A4421" s="154" t="s">
        <v>9628</v>
      </c>
      <c r="B4421" s="155"/>
      <c r="C4421" s="154" t="s">
        <v>9629</v>
      </c>
      <c r="D4421" s="155"/>
      <c r="E4421" s="155"/>
      <c r="F4421" s="154" t="s">
        <v>2152</v>
      </c>
      <c r="G4421" s="154" t="s">
        <v>2153</v>
      </c>
      <c r="H4421" s="156">
        <v>0.0</v>
      </c>
      <c r="I4421" s="154">
        <v>9.71507181473E11</v>
      </c>
      <c r="J4421" s="156">
        <v>0.0</v>
      </c>
      <c r="K4421" s="154" t="s">
        <v>361</v>
      </c>
    </row>
    <row r="4422">
      <c r="A4422" s="154" t="s">
        <v>9630</v>
      </c>
      <c r="B4422" s="154" t="s">
        <v>9631</v>
      </c>
      <c r="C4422" s="155"/>
      <c r="D4422" s="154">
        <v>2.0</v>
      </c>
      <c r="E4422" s="154" t="s">
        <v>897</v>
      </c>
      <c r="F4422" s="154" t="s">
        <v>9632</v>
      </c>
      <c r="G4422" s="154">
        <v>4.6091497E7</v>
      </c>
      <c r="H4422" s="156">
        <v>0.0</v>
      </c>
      <c r="I4422" s="154">
        <v>9.71558336963E11</v>
      </c>
      <c r="J4422" s="156">
        <v>0.0</v>
      </c>
      <c r="K4422" s="154" t="s">
        <v>197</v>
      </c>
    </row>
    <row r="4423">
      <c r="A4423" s="154" t="s">
        <v>9630</v>
      </c>
      <c r="B4423" s="155"/>
      <c r="C4423" s="154" t="s">
        <v>9631</v>
      </c>
      <c r="D4423" s="155"/>
      <c r="E4423" s="155"/>
      <c r="F4423" s="154" t="s">
        <v>9632</v>
      </c>
      <c r="G4423" s="154">
        <v>4.6091497E7</v>
      </c>
      <c r="H4423" s="156">
        <v>0.0</v>
      </c>
      <c r="I4423" s="154">
        <v>9.71558336963E11</v>
      </c>
      <c r="J4423" s="156">
        <v>0.0</v>
      </c>
      <c r="K4423" s="154" t="s">
        <v>197</v>
      </c>
    </row>
    <row r="4424">
      <c r="A4424" s="154" t="s">
        <v>9633</v>
      </c>
      <c r="B4424" s="155"/>
      <c r="C4424" s="154" t="s">
        <v>9634</v>
      </c>
      <c r="D4424" s="155"/>
      <c r="E4424" s="155"/>
      <c r="F4424" s="154" t="s">
        <v>1349</v>
      </c>
      <c r="G4424" s="156">
        <v>0.0</v>
      </c>
      <c r="H4424" s="154" t="s">
        <v>1185</v>
      </c>
      <c r="I4424" s="154" t="s">
        <v>1350</v>
      </c>
      <c r="J4424" s="154" t="s">
        <v>1351</v>
      </c>
      <c r="K4424" s="154" t="s">
        <v>846</v>
      </c>
    </row>
    <row r="4425">
      <c r="A4425" s="154" t="s">
        <v>9633</v>
      </c>
      <c r="B4425" s="154" t="s">
        <v>9634</v>
      </c>
      <c r="C4425" s="155"/>
      <c r="D4425" s="154">
        <v>2.0</v>
      </c>
      <c r="E4425" s="154" t="s">
        <v>897</v>
      </c>
      <c r="F4425" s="154" t="s">
        <v>1349</v>
      </c>
      <c r="G4425" s="156">
        <v>0.0</v>
      </c>
      <c r="H4425" s="154" t="s">
        <v>1185</v>
      </c>
      <c r="I4425" s="154" t="s">
        <v>1350</v>
      </c>
      <c r="J4425" s="154" t="s">
        <v>1351</v>
      </c>
      <c r="K4425" s="154" t="s">
        <v>846</v>
      </c>
    </row>
    <row r="4426">
      <c r="A4426" s="154" t="s">
        <v>9635</v>
      </c>
      <c r="B4426" s="154" t="s">
        <v>9636</v>
      </c>
      <c r="C4426" s="155"/>
      <c r="D4426" s="154">
        <v>2.0</v>
      </c>
      <c r="E4426" s="154" t="s">
        <v>897</v>
      </c>
      <c r="F4426" s="154" t="s">
        <v>9637</v>
      </c>
      <c r="G4426" s="156">
        <v>0.0</v>
      </c>
      <c r="H4426" s="156">
        <v>0.0</v>
      </c>
      <c r="I4426" s="154" t="s">
        <v>9638</v>
      </c>
      <c r="J4426" s="154" t="s">
        <v>9639</v>
      </c>
      <c r="K4426" s="154" t="s">
        <v>206</v>
      </c>
    </row>
    <row r="4427">
      <c r="A4427" s="154" t="s">
        <v>9635</v>
      </c>
      <c r="B4427" s="155"/>
      <c r="C4427" s="154" t="s">
        <v>9636</v>
      </c>
      <c r="D4427" s="155"/>
      <c r="E4427" s="155"/>
      <c r="F4427" s="154" t="s">
        <v>9637</v>
      </c>
      <c r="G4427" s="156">
        <v>0.0</v>
      </c>
      <c r="H4427" s="156">
        <v>0.0</v>
      </c>
      <c r="I4427" s="154" t="s">
        <v>9638</v>
      </c>
      <c r="J4427" s="154" t="s">
        <v>9639</v>
      </c>
      <c r="K4427" s="154" t="s">
        <v>206</v>
      </c>
    </row>
    <row r="4428">
      <c r="A4428" s="154" t="s">
        <v>9640</v>
      </c>
      <c r="B4428" s="155"/>
      <c r="C4428" s="154" t="s">
        <v>9641</v>
      </c>
      <c r="D4428" s="155"/>
      <c r="E4428" s="155"/>
      <c r="F4428" s="154" t="s">
        <v>9642</v>
      </c>
      <c r="G4428" s="154">
        <v>4.2266485E7</v>
      </c>
      <c r="H4428" s="156">
        <v>0.0</v>
      </c>
      <c r="I4428" s="154">
        <v>9.71506448634E11</v>
      </c>
      <c r="J4428" s="156">
        <v>0.0</v>
      </c>
      <c r="K4428" s="154" t="s">
        <v>760</v>
      </c>
    </row>
    <row r="4429">
      <c r="A4429" s="154" t="s">
        <v>9640</v>
      </c>
      <c r="B4429" s="154" t="s">
        <v>9641</v>
      </c>
      <c r="C4429" s="155"/>
      <c r="D4429" s="154">
        <v>2.0</v>
      </c>
      <c r="E4429" s="154" t="s">
        <v>897</v>
      </c>
      <c r="F4429" s="154" t="s">
        <v>9642</v>
      </c>
      <c r="G4429" s="154">
        <v>4.2266485E7</v>
      </c>
      <c r="H4429" s="156">
        <v>0.0</v>
      </c>
      <c r="I4429" s="154">
        <v>9.71506448634E11</v>
      </c>
      <c r="J4429" s="156">
        <v>0.0</v>
      </c>
      <c r="K4429" s="154" t="s">
        <v>760</v>
      </c>
    </row>
    <row r="4430">
      <c r="A4430" s="154" t="s">
        <v>9643</v>
      </c>
      <c r="B4430" s="154" t="s">
        <v>9644</v>
      </c>
      <c r="C4430" s="155"/>
      <c r="D4430" s="154">
        <v>2.0</v>
      </c>
      <c r="E4430" s="154" t="s">
        <v>897</v>
      </c>
      <c r="F4430" s="154" t="s">
        <v>9645</v>
      </c>
      <c r="G4430" s="154" t="s">
        <v>9646</v>
      </c>
      <c r="H4430" s="154" t="s">
        <v>9647</v>
      </c>
      <c r="I4430" s="154">
        <v>5.05511561E8</v>
      </c>
      <c r="J4430" s="156">
        <v>0.0</v>
      </c>
      <c r="K4430" s="154" t="s">
        <v>1537</v>
      </c>
    </row>
    <row r="4431">
      <c r="A4431" s="154" t="s">
        <v>9643</v>
      </c>
      <c r="B4431" s="155"/>
      <c r="C4431" s="154" t="s">
        <v>9644</v>
      </c>
      <c r="D4431" s="155"/>
      <c r="E4431" s="155"/>
      <c r="F4431" s="154" t="s">
        <v>9645</v>
      </c>
      <c r="G4431" s="154" t="s">
        <v>9646</v>
      </c>
      <c r="H4431" s="154" t="s">
        <v>9647</v>
      </c>
      <c r="I4431" s="154">
        <v>5.05511561E8</v>
      </c>
      <c r="J4431" s="156">
        <v>0.0</v>
      </c>
      <c r="K4431" s="154" t="s">
        <v>1537</v>
      </c>
    </row>
    <row r="4432">
      <c r="A4432" s="154" t="s">
        <v>9648</v>
      </c>
      <c r="B4432" s="155"/>
      <c r="C4432" s="154" t="s">
        <v>9649</v>
      </c>
      <c r="D4432" s="155"/>
      <c r="E4432" s="155"/>
      <c r="F4432" s="154" t="s">
        <v>9650</v>
      </c>
      <c r="G4432" s="156">
        <v>0.0</v>
      </c>
      <c r="H4432" s="154" t="s">
        <v>9651</v>
      </c>
      <c r="I4432" s="154" t="s">
        <v>9652</v>
      </c>
      <c r="J4432" s="156">
        <v>0.0</v>
      </c>
      <c r="K4432" s="154" t="s">
        <v>361</v>
      </c>
    </row>
    <row r="4433">
      <c r="A4433" s="154" t="s">
        <v>9648</v>
      </c>
      <c r="B4433" s="154" t="s">
        <v>9649</v>
      </c>
      <c r="C4433" s="155"/>
      <c r="D4433" s="154">
        <v>2.0</v>
      </c>
      <c r="E4433" s="154" t="s">
        <v>897</v>
      </c>
      <c r="F4433" s="154" t="s">
        <v>9650</v>
      </c>
      <c r="G4433" s="156">
        <v>0.0</v>
      </c>
      <c r="H4433" s="154" t="s">
        <v>9651</v>
      </c>
      <c r="I4433" s="154" t="s">
        <v>9652</v>
      </c>
      <c r="J4433" s="156">
        <v>0.0</v>
      </c>
      <c r="K4433" s="154" t="s">
        <v>361</v>
      </c>
    </row>
    <row r="4434">
      <c r="A4434" s="154" t="s">
        <v>9653</v>
      </c>
      <c r="B4434" s="155"/>
      <c r="C4434" s="154" t="s">
        <v>9654</v>
      </c>
      <c r="D4434" s="155"/>
      <c r="E4434" s="155"/>
      <c r="F4434" s="154" t="s">
        <v>9655</v>
      </c>
      <c r="G4434" s="154">
        <v>0.0</v>
      </c>
      <c r="H4434" s="156">
        <v>0.0</v>
      </c>
      <c r="I4434" s="154">
        <v>9.71566039099E11</v>
      </c>
      <c r="J4434" s="156">
        <v>0.0</v>
      </c>
      <c r="K4434" s="154" t="s">
        <v>760</v>
      </c>
    </row>
    <row r="4435">
      <c r="A4435" s="154" t="s">
        <v>9653</v>
      </c>
      <c r="B4435" s="154" t="s">
        <v>9654</v>
      </c>
      <c r="C4435" s="155"/>
      <c r="D4435" s="154">
        <v>2.0</v>
      </c>
      <c r="E4435" s="154" t="s">
        <v>897</v>
      </c>
      <c r="F4435" s="154" t="s">
        <v>9655</v>
      </c>
      <c r="G4435" s="154">
        <v>0.0</v>
      </c>
      <c r="H4435" s="156">
        <v>0.0</v>
      </c>
      <c r="I4435" s="154">
        <v>9.71566039099E11</v>
      </c>
      <c r="J4435" s="156">
        <v>0.0</v>
      </c>
      <c r="K4435" s="154" t="s">
        <v>760</v>
      </c>
    </row>
    <row r="4436">
      <c r="A4436" s="154" t="s">
        <v>9656</v>
      </c>
      <c r="B4436" s="155"/>
      <c r="C4436" s="154" t="s">
        <v>9657</v>
      </c>
      <c r="D4436" s="155"/>
      <c r="E4436" s="155"/>
      <c r="F4436" s="154" t="s">
        <v>9658</v>
      </c>
      <c r="G4436" s="154">
        <v>5.06563285E8</v>
      </c>
      <c r="H4436" s="156">
        <v>0.0</v>
      </c>
      <c r="I4436" s="154">
        <v>5.06563285E8</v>
      </c>
      <c r="J4436" s="156">
        <v>0.0</v>
      </c>
      <c r="K4436" s="154" t="s">
        <v>361</v>
      </c>
    </row>
    <row r="4437">
      <c r="A4437" s="154" t="s">
        <v>9656</v>
      </c>
      <c r="B4437" s="154" t="s">
        <v>9657</v>
      </c>
      <c r="C4437" s="155"/>
      <c r="D4437" s="154">
        <v>2.0</v>
      </c>
      <c r="E4437" s="154" t="s">
        <v>897</v>
      </c>
      <c r="F4437" s="154" t="s">
        <v>9658</v>
      </c>
      <c r="G4437" s="154">
        <v>5.06563285E8</v>
      </c>
      <c r="H4437" s="156">
        <v>0.0</v>
      </c>
      <c r="I4437" s="154">
        <v>5.06563285E8</v>
      </c>
      <c r="J4437" s="156">
        <v>0.0</v>
      </c>
      <c r="K4437" s="154" t="s">
        <v>361</v>
      </c>
    </row>
    <row r="4438">
      <c r="A4438" s="154" t="s">
        <v>9659</v>
      </c>
      <c r="B4438" s="155"/>
      <c r="C4438" s="154" t="s">
        <v>9660</v>
      </c>
      <c r="D4438" s="155"/>
      <c r="E4438" s="155"/>
      <c r="F4438" s="154" t="s">
        <v>9661</v>
      </c>
      <c r="G4438" s="154">
        <v>5.55137553E8</v>
      </c>
      <c r="H4438" s="156">
        <v>0.0</v>
      </c>
      <c r="I4438" s="154" t="s">
        <v>9662</v>
      </c>
      <c r="J4438" s="156">
        <v>0.0</v>
      </c>
      <c r="K4438" s="154" t="s">
        <v>1059</v>
      </c>
    </row>
    <row r="4439">
      <c r="A4439" s="154" t="s">
        <v>9659</v>
      </c>
      <c r="B4439" s="154" t="s">
        <v>9660</v>
      </c>
      <c r="C4439" s="155"/>
      <c r="D4439" s="154">
        <v>2.0</v>
      </c>
      <c r="E4439" s="154" t="s">
        <v>897</v>
      </c>
      <c r="F4439" s="154" t="s">
        <v>9661</v>
      </c>
      <c r="G4439" s="154">
        <v>5.55137553E8</v>
      </c>
      <c r="H4439" s="156">
        <v>0.0</v>
      </c>
      <c r="I4439" s="154" t="s">
        <v>9662</v>
      </c>
      <c r="J4439" s="156">
        <v>0.0</v>
      </c>
      <c r="K4439" s="154" t="s">
        <v>1059</v>
      </c>
    </row>
    <row r="4440">
      <c r="A4440" s="154" t="s">
        <v>9663</v>
      </c>
      <c r="B4440" s="155"/>
      <c r="C4440" s="154" t="s">
        <v>9664</v>
      </c>
      <c r="D4440" s="155"/>
      <c r="E4440" s="155"/>
      <c r="F4440" s="154" t="s">
        <v>5168</v>
      </c>
      <c r="G4440" s="154">
        <v>971.0</v>
      </c>
      <c r="H4440" s="156">
        <v>0.0</v>
      </c>
      <c r="I4440" s="154" t="s">
        <v>5169</v>
      </c>
      <c r="J4440" s="154" t="s">
        <v>809</v>
      </c>
      <c r="K4440" s="154" t="s">
        <v>259</v>
      </c>
    </row>
    <row r="4441">
      <c r="A4441" s="154" t="s">
        <v>9663</v>
      </c>
      <c r="B4441" s="154" t="s">
        <v>9664</v>
      </c>
      <c r="C4441" s="155"/>
      <c r="D4441" s="154">
        <v>2.0</v>
      </c>
      <c r="E4441" s="154" t="s">
        <v>897</v>
      </c>
      <c r="F4441" s="154" t="s">
        <v>5164</v>
      </c>
      <c r="G4441" s="156">
        <v>0.0</v>
      </c>
      <c r="H4441" s="154" t="s">
        <v>5165</v>
      </c>
      <c r="I4441" s="154" t="s">
        <v>5166</v>
      </c>
      <c r="J4441" s="154" t="s">
        <v>5167</v>
      </c>
      <c r="K4441" s="154" t="s">
        <v>259</v>
      </c>
    </row>
    <row r="4442">
      <c r="A4442" s="154" t="s">
        <v>9665</v>
      </c>
      <c r="B4442" s="154" t="s">
        <v>9666</v>
      </c>
      <c r="C4442" s="155"/>
      <c r="D4442" s="154">
        <v>2.0</v>
      </c>
      <c r="E4442" s="154" t="s">
        <v>897</v>
      </c>
      <c r="F4442" s="154" t="s">
        <v>9667</v>
      </c>
      <c r="G4442" s="154">
        <v>6.5341183E7</v>
      </c>
      <c r="H4442" s="156">
        <v>0.0</v>
      </c>
      <c r="I4442" s="154">
        <v>9.71506742831E11</v>
      </c>
      <c r="J4442" s="156">
        <v>0.0</v>
      </c>
      <c r="K4442" s="154" t="s">
        <v>776</v>
      </c>
    </row>
    <row r="4443">
      <c r="A4443" s="154" t="s">
        <v>9665</v>
      </c>
      <c r="B4443" s="155"/>
      <c r="C4443" s="154" t="s">
        <v>9666</v>
      </c>
      <c r="D4443" s="155"/>
      <c r="E4443" s="155"/>
      <c r="F4443" s="154" t="s">
        <v>9667</v>
      </c>
      <c r="G4443" s="154">
        <v>6.5341183E7</v>
      </c>
      <c r="H4443" s="156">
        <v>0.0</v>
      </c>
      <c r="I4443" s="154">
        <v>9.71506742831E11</v>
      </c>
      <c r="J4443" s="156">
        <v>0.0</v>
      </c>
      <c r="K4443" s="154" t="s">
        <v>776</v>
      </c>
    </row>
    <row r="4444">
      <c r="A4444" s="154" t="s">
        <v>9668</v>
      </c>
      <c r="B4444" s="155"/>
      <c r="C4444" s="154" t="s">
        <v>9669</v>
      </c>
      <c r="D4444" s="155"/>
      <c r="E4444" s="155"/>
      <c r="F4444" s="154" t="s">
        <v>9670</v>
      </c>
      <c r="G4444" s="156">
        <v>0.0</v>
      </c>
      <c r="H4444" s="156">
        <v>0.0</v>
      </c>
      <c r="I4444" s="154">
        <v>5.06599805E8</v>
      </c>
      <c r="J4444" s="156">
        <v>0.0</v>
      </c>
      <c r="K4444" s="154" t="s">
        <v>206</v>
      </c>
    </row>
    <row r="4445">
      <c r="A4445" s="154" t="s">
        <v>9668</v>
      </c>
      <c r="B4445" s="154" t="s">
        <v>9669</v>
      </c>
      <c r="C4445" s="155"/>
      <c r="D4445" s="154">
        <v>2.0</v>
      </c>
      <c r="E4445" s="154" t="s">
        <v>897</v>
      </c>
      <c r="F4445" s="154" t="s">
        <v>9670</v>
      </c>
      <c r="G4445" s="156">
        <v>0.0</v>
      </c>
      <c r="H4445" s="156">
        <v>0.0</v>
      </c>
      <c r="I4445" s="154">
        <v>5.06599805E8</v>
      </c>
      <c r="J4445" s="156">
        <v>0.0</v>
      </c>
      <c r="K4445" s="154" t="s">
        <v>206</v>
      </c>
    </row>
    <row r="4446">
      <c r="A4446" s="154" t="s">
        <v>9671</v>
      </c>
      <c r="B4446" s="154" t="s">
        <v>9672</v>
      </c>
      <c r="C4446" s="155"/>
      <c r="D4446" s="154">
        <v>2.0</v>
      </c>
      <c r="E4446" s="154" t="s">
        <v>897</v>
      </c>
      <c r="F4446" s="154" t="s">
        <v>9673</v>
      </c>
      <c r="G4446" s="154">
        <v>11.0</v>
      </c>
      <c r="H4446" s="156">
        <v>0.0</v>
      </c>
      <c r="I4446" s="156">
        <v>0.0</v>
      </c>
      <c r="J4446" s="156">
        <v>0.0</v>
      </c>
      <c r="K4446" s="156">
        <v>0.0</v>
      </c>
    </row>
    <row r="4447">
      <c r="A4447" s="154" t="s">
        <v>9671</v>
      </c>
      <c r="B4447" s="155"/>
      <c r="C4447" s="154" t="s">
        <v>9672</v>
      </c>
      <c r="D4447" s="155"/>
      <c r="E4447" s="155"/>
      <c r="F4447" s="154" t="s">
        <v>9673</v>
      </c>
      <c r="G4447" s="154">
        <v>11.0</v>
      </c>
      <c r="H4447" s="156">
        <v>0.0</v>
      </c>
      <c r="I4447" s="156">
        <v>0.0</v>
      </c>
      <c r="J4447" s="156">
        <v>0.0</v>
      </c>
      <c r="K4447" s="156">
        <v>0.0</v>
      </c>
    </row>
    <row r="4448">
      <c r="A4448" s="154" t="s">
        <v>9674</v>
      </c>
      <c r="B4448" s="154" t="s">
        <v>9675</v>
      </c>
      <c r="C4448" s="155"/>
      <c r="D4448" s="154">
        <v>2.0</v>
      </c>
      <c r="E4448" s="154" t="s">
        <v>1237</v>
      </c>
      <c r="F4448" s="154" t="s">
        <v>9676</v>
      </c>
      <c r="G4448" s="156">
        <v>0.0</v>
      </c>
      <c r="H4448" s="156">
        <v>0.0</v>
      </c>
      <c r="I4448" s="154" t="s">
        <v>9677</v>
      </c>
      <c r="J4448" s="156">
        <v>0.0</v>
      </c>
      <c r="K4448" s="154" t="s">
        <v>1945</v>
      </c>
    </row>
    <row r="4449">
      <c r="A4449" s="154" t="s">
        <v>9674</v>
      </c>
      <c r="B4449" s="155"/>
      <c r="C4449" s="154" t="s">
        <v>9675</v>
      </c>
      <c r="D4449" s="155"/>
      <c r="E4449" s="155"/>
      <c r="F4449" s="154" t="s">
        <v>1157</v>
      </c>
      <c r="G4449" s="154" t="s">
        <v>1158</v>
      </c>
      <c r="H4449" s="154" t="s">
        <v>1159</v>
      </c>
      <c r="I4449" s="156">
        <v>0.0</v>
      </c>
      <c r="J4449" s="156">
        <v>0.0</v>
      </c>
      <c r="K4449" s="156">
        <v>0.0</v>
      </c>
    </row>
    <row r="4450">
      <c r="A4450" s="154" t="s">
        <v>9678</v>
      </c>
      <c r="B4450" s="154" t="s">
        <v>9679</v>
      </c>
      <c r="C4450" s="155"/>
      <c r="D4450" s="154">
        <v>2.0</v>
      </c>
      <c r="E4450" s="154" t="s">
        <v>1237</v>
      </c>
      <c r="F4450" s="154" t="s">
        <v>2769</v>
      </c>
      <c r="G4450" s="156">
        <v>0.0</v>
      </c>
      <c r="H4450" s="156">
        <v>0.0</v>
      </c>
      <c r="I4450" s="154" t="s">
        <v>2770</v>
      </c>
      <c r="J4450" s="154" t="s">
        <v>2771</v>
      </c>
      <c r="K4450" s="154" t="s">
        <v>1426</v>
      </c>
    </row>
    <row r="4451">
      <c r="A4451" s="154" t="s">
        <v>9678</v>
      </c>
      <c r="B4451" s="155"/>
      <c r="C4451" s="154" t="s">
        <v>9679</v>
      </c>
      <c r="D4451" s="155"/>
      <c r="E4451" s="155"/>
      <c r="F4451" s="154" t="s">
        <v>2769</v>
      </c>
      <c r="G4451" s="156">
        <v>0.0</v>
      </c>
      <c r="H4451" s="156">
        <v>0.0</v>
      </c>
      <c r="I4451" s="154" t="s">
        <v>2770</v>
      </c>
      <c r="J4451" s="154" t="s">
        <v>2771</v>
      </c>
      <c r="K4451" s="154" t="s">
        <v>1426</v>
      </c>
    </row>
    <row r="4452">
      <c r="A4452" s="154" t="s">
        <v>9680</v>
      </c>
      <c r="B4452" s="154" t="s">
        <v>9681</v>
      </c>
      <c r="C4452" s="155"/>
      <c r="D4452" s="154">
        <v>2.0</v>
      </c>
      <c r="E4452" s="154" t="s">
        <v>1237</v>
      </c>
      <c r="F4452" s="154" t="s">
        <v>9682</v>
      </c>
      <c r="G4452" s="156">
        <v>0.0</v>
      </c>
      <c r="H4452" s="154" t="s">
        <v>4143</v>
      </c>
      <c r="I4452" s="154" t="s">
        <v>9683</v>
      </c>
      <c r="J4452" s="154" t="s">
        <v>9684</v>
      </c>
      <c r="K4452" s="154" t="s">
        <v>776</v>
      </c>
    </row>
    <row r="4453">
      <c r="A4453" s="154" t="s">
        <v>9680</v>
      </c>
      <c r="B4453" s="155"/>
      <c r="C4453" s="154" t="s">
        <v>9681</v>
      </c>
      <c r="D4453" s="155"/>
      <c r="E4453" s="155"/>
      <c r="F4453" s="154" t="s">
        <v>9682</v>
      </c>
      <c r="G4453" s="156">
        <v>0.0</v>
      </c>
      <c r="H4453" s="154" t="s">
        <v>4143</v>
      </c>
      <c r="I4453" s="154" t="s">
        <v>9683</v>
      </c>
      <c r="J4453" s="154" t="s">
        <v>9684</v>
      </c>
      <c r="K4453" s="154" t="s">
        <v>776</v>
      </c>
    </row>
    <row r="4454">
      <c r="A4454" s="154" t="s">
        <v>9685</v>
      </c>
      <c r="B4454" s="155"/>
      <c r="C4454" s="154" t="s">
        <v>9686</v>
      </c>
      <c r="D4454" s="155"/>
      <c r="E4454" s="155"/>
      <c r="F4454" s="154" t="s">
        <v>9687</v>
      </c>
      <c r="G4454" s="154">
        <v>4.3917E7</v>
      </c>
      <c r="H4454" s="156">
        <v>0.0</v>
      </c>
      <c r="I4454" s="154">
        <v>9.71555164928E11</v>
      </c>
      <c r="J4454" s="156">
        <v>0.0</v>
      </c>
      <c r="K4454" s="154" t="s">
        <v>253</v>
      </c>
    </row>
    <row r="4455">
      <c r="A4455" s="154" t="s">
        <v>9685</v>
      </c>
      <c r="B4455" s="154" t="s">
        <v>9686</v>
      </c>
      <c r="C4455" s="155"/>
      <c r="D4455" s="154">
        <v>2.0</v>
      </c>
      <c r="E4455" s="154" t="s">
        <v>1237</v>
      </c>
      <c r="F4455" s="154" t="s">
        <v>9688</v>
      </c>
      <c r="G4455" s="154">
        <v>4.3911111E7</v>
      </c>
      <c r="H4455" s="156">
        <v>0.0</v>
      </c>
      <c r="I4455" s="154">
        <v>9.71555164928E11</v>
      </c>
      <c r="J4455" s="156">
        <v>0.0</v>
      </c>
      <c r="K4455" s="154" t="s">
        <v>253</v>
      </c>
    </row>
    <row r="4456">
      <c r="A4456" s="154" t="s">
        <v>9689</v>
      </c>
      <c r="B4456" s="155"/>
      <c r="C4456" s="154" t="s">
        <v>9690</v>
      </c>
      <c r="D4456" s="155"/>
      <c r="E4456" s="155"/>
      <c r="F4456" s="154" t="s">
        <v>9691</v>
      </c>
      <c r="G4456" s="156">
        <v>0.0</v>
      </c>
      <c r="H4456" s="156">
        <v>0.0</v>
      </c>
      <c r="I4456" s="154" t="s">
        <v>9692</v>
      </c>
      <c r="J4456" s="154" t="s">
        <v>9693</v>
      </c>
      <c r="K4456" s="154" t="s">
        <v>361</v>
      </c>
    </row>
    <row r="4457">
      <c r="A4457" s="154" t="s">
        <v>9689</v>
      </c>
      <c r="B4457" s="154" t="s">
        <v>9690</v>
      </c>
      <c r="C4457" s="155"/>
      <c r="D4457" s="154">
        <v>2.0</v>
      </c>
      <c r="E4457" s="154" t="s">
        <v>1237</v>
      </c>
      <c r="F4457" s="154" t="s">
        <v>9691</v>
      </c>
      <c r="G4457" s="156">
        <v>0.0</v>
      </c>
      <c r="H4457" s="156">
        <v>0.0</v>
      </c>
      <c r="I4457" s="154" t="s">
        <v>9692</v>
      </c>
      <c r="J4457" s="154" t="s">
        <v>9693</v>
      </c>
      <c r="K4457" s="154" t="s">
        <v>361</v>
      </c>
    </row>
    <row r="4458">
      <c r="A4458" s="154" t="s">
        <v>9694</v>
      </c>
      <c r="B4458" s="155"/>
      <c r="C4458" s="154" t="s">
        <v>9695</v>
      </c>
      <c r="D4458" s="155"/>
      <c r="E4458" s="155"/>
      <c r="F4458" s="154" t="s">
        <v>1021</v>
      </c>
      <c r="G4458" s="154">
        <v>5.06462781E8</v>
      </c>
      <c r="H4458" s="156">
        <v>0.0</v>
      </c>
      <c r="I4458" s="154" t="s">
        <v>1022</v>
      </c>
      <c r="J4458" s="156">
        <v>0.0</v>
      </c>
      <c r="K4458" s="154" t="s">
        <v>361</v>
      </c>
    </row>
    <row r="4459">
      <c r="A4459" s="154" t="s">
        <v>9694</v>
      </c>
      <c r="B4459" s="154" t="s">
        <v>9695</v>
      </c>
      <c r="C4459" s="155"/>
      <c r="D4459" s="154">
        <v>2.0</v>
      </c>
      <c r="E4459" s="154" t="s">
        <v>1237</v>
      </c>
      <c r="F4459" s="154" t="s">
        <v>1021</v>
      </c>
      <c r="G4459" s="154">
        <v>5.06462781E8</v>
      </c>
      <c r="H4459" s="156">
        <v>0.0</v>
      </c>
      <c r="I4459" s="154" t="s">
        <v>1022</v>
      </c>
      <c r="J4459" s="156">
        <v>0.0</v>
      </c>
      <c r="K4459" s="154" t="s">
        <v>361</v>
      </c>
    </row>
    <row r="4460">
      <c r="A4460" s="154" t="s">
        <v>9696</v>
      </c>
      <c r="B4460" s="155"/>
      <c r="C4460" s="154" t="s">
        <v>9697</v>
      </c>
      <c r="D4460" s="155"/>
      <c r="E4460" s="155"/>
      <c r="F4460" s="154" t="s">
        <v>9698</v>
      </c>
      <c r="G4460" s="156">
        <v>0.0</v>
      </c>
      <c r="H4460" s="156">
        <v>0.0</v>
      </c>
      <c r="I4460" s="154">
        <v>9.71566778808E11</v>
      </c>
      <c r="J4460" s="156">
        <v>0.0</v>
      </c>
      <c r="K4460" s="154" t="s">
        <v>776</v>
      </c>
    </row>
    <row r="4461">
      <c r="A4461" s="154" t="s">
        <v>9696</v>
      </c>
      <c r="B4461" s="154" t="s">
        <v>9697</v>
      </c>
      <c r="C4461" s="155"/>
      <c r="D4461" s="154">
        <v>2.0</v>
      </c>
      <c r="E4461" s="154" t="s">
        <v>1237</v>
      </c>
      <c r="F4461" s="154" t="s">
        <v>9698</v>
      </c>
      <c r="G4461" s="156">
        <v>0.0</v>
      </c>
      <c r="H4461" s="156">
        <v>0.0</v>
      </c>
      <c r="I4461" s="154">
        <v>9.71566778808E11</v>
      </c>
      <c r="J4461" s="156">
        <v>0.0</v>
      </c>
      <c r="K4461" s="154" t="s">
        <v>776</v>
      </c>
    </row>
    <row r="4462">
      <c r="A4462" s="154" t="s">
        <v>9699</v>
      </c>
      <c r="B4462" s="154" t="s">
        <v>9700</v>
      </c>
      <c r="C4462" s="155"/>
      <c r="D4462" s="154">
        <v>2.0</v>
      </c>
      <c r="E4462" s="154" t="s">
        <v>1237</v>
      </c>
      <c r="F4462" s="154" t="s">
        <v>9701</v>
      </c>
      <c r="G4462" s="154" t="s">
        <v>4915</v>
      </c>
      <c r="H4462" s="156">
        <v>0.0</v>
      </c>
      <c r="I4462" s="156">
        <v>0.0</v>
      </c>
      <c r="J4462" s="156">
        <v>0.0</v>
      </c>
      <c r="K4462" s="156">
        <v>0.0</v>
      </c>
    </row>
    <row r="4463">
      <c r="A4463" s="154" t="s">
        <v>9699</v>
      </c>
      <c r="B4463" s="155"/>
      <c r="C4463" s="154" t="s">
        <v>9700</v>
      </c>
      <c r="D4463" s="155"/>
      <c r="E4463" s="155"/>
      <c r="F4463" s="154" t="s">
        <v>9701</v>
      </c>
      <c r="G4463" s="154" t="s">
        <v>4915</v>
      </c>
      <c r="H4463" s="156">
        <v>0.0</v>
      </c>
      <c r="I4463" s="156">
        <v>0.0</v>
      </c>
      <c r="J4463" s="156">
        <v>0.0</v>
      </c>
      <c r="K4463" s="156">
        <v>0.0</v>
      </c>
    </row>
    <row r="4464">
      <c r="A4464" s="154" t="s">
        <v>9702</v>
      </c>
      <c r="B4464" s="154" t="s">
        <v>9703</v>
      </c>
      <c r="C4464" s="155"/>
      <c r="D4464" s="154">
        <v>2.0</v>
      </c>
      <c r="E4464" s="154" t="s">
        <v>1237</v>
      </c>
      <c r="F4464" s="154" t="s">
        <v>9704</v>
      </c>
      <c r="G4464" s="154">
        <v>5.05519395E8</v>
      </c>
      <c r="H4464" s="156">
        <v>0.0</v>
      </c>
      <c r="I4464" s="154">
        <v>5.05519395E8</v>
      </c>
      <c r="J4464" s="156">
        <v>0.0</v>
      </c>
      <c r="K4464" s="154" t="s">
        <v>846</v>
      </c>
    </row>
    <row r="4465">
      <c r="A4465" s="154" t="s">
        <v>9702</v>
      </c>
      <c r="B4465" s="155"/>
      <c r="C4465" s="154" t="s">
        <v>9703</v>
      </c>
      <c r="D4465" s="155"/>
      <c r="E4465" s="155"/>
      <c r="F4465" s="154" t="s">
        <v>9704</v>
      </c>
      <c r="G4465" s="154">
        <v>5.05519395E8</v>
      </c>
      <c r="H4465" s="156">
        <v>0.0</v>
      </c>
      <c r="I4465" s="154">
        <v>5.05519395E8</v>
      </c>
      <c r="J4465" s="156">
        <v>0.0</v>
      </c>
      <c r="K4465" s="154" t="s">
        <v>846</v>
      </c>
    </row>
    <row r="4466">
      <c r="A4466" s="154" t="s">
        <v>9705</v>
      </c>
      <c r="B4466" s="155"/>
      <c r="C4466" s="154" t="s">
        <v>9706</v>
      </c>
      <c r="D4466" s="155"/>
      <c r="E4466" s="155"/>
      <c r="F4466" s="154" t="s">
        <v>9707</v>
      </c>
      <c r="G4466" s="154">
        <v>4.2711177E7</v>
      </c>
      <c r="H4466" s="156">
        <v>0.0</v>
      </c>
      <c r="I4466" s="154">
        <v>5.54294414E8</v>
      </c>
      <c r="J4466" s="156">
        <v>0.0</v>
      </c>
      <c r="K4466" s="154" t="s">
        <v>846</v>
      </c>
    </row>
    <row r="4467">
      <c r="A4467" s="154" t="s">
        <v>9705</v>
      </c>
      <c r="B4467" s="154" t="s">
        <v>9706</v>
      </c>
      <c r="C4467" s="155"/>
      <c r="D4467" s="154">
        <v>2.0</v>
      </c>
      <c r="E4467" s="154" t="s">
        <v>1237</v>
      </c>
      <c r="F4467" s="154" t="s">
        <v>9707</v>
      </c>
      <c r="G4467" s="154">
        <v>4.2711177E7</v>
      </c>
      <c r="H4467" s="156">
        <v>0.0</v>
      </c>
      <c r="I4467" s="154">
        <v>5.54294414E8</v>
      </c>
      <c r="J4467" s="156">
        <v>0.0</v>
      </c>
      <c r="K4467" s="154" t="s">
        <v>846</v>
      </c>
    </row>
    <row r="4468">
      <c r="A4468" s="154" t="s">
        <v>9708</v>
      </c>
      <c r="B4468" s="154" t="s">
        <v>9709</v>
      </c>
      <c r="C4468" s="155"/>
      <c r="D4468" s="154">
        <v>2.0</v>
      </c>
      <c r="E4468" s="154" t="s">
        <v>1237</v>
      </c>
      <c r="F4468" s="154" t="s">
        <v>9710</v>
      </c>
      <c r="G4468" s="156">
        <v>0.0</v>
      </c>
      <c r="H4468" s="154" t="s">
        <v>9711</v>
      </c>
      <c r="I4468" s="154" t="s">
        <v>9712</v>
      </c>
      <c r="J4468" s="154" t="s">
        <v>9713</v>
      </c>
      <c r="K4468" s="154" t="s">
        <v>259</v>
      </c>
    </row>
    <row r="4469">
      <c r="A4469" s="154" t="s">
        <v>9708</v>
      </c>
      <c r="B4469" s="155"/>
      <c r="C4469" s="154" t="s">
        <v>9709</v>
      </c>
      <c r="D4469" s="155"/>
      <c r="E4469" s="155"/>
      <c r="F4469" s="154" t="s">
        <v>9710</v>
      </c>
      <c r="G4469" s="156">
        <v>0.0</v>
      </c>
      <c r="H4469" s="154" t="s">
        <v>9711</v>
      </c>
      <c r="I4469" s="154" t="s">
        <v>9712</v>
      </c>
      <c r="J4469" s="154" t="s">
        <v>9713</v>
      </c>
      <c r="K4469" s="154" t="s">
        <v>259</v>
      </c>
    </row>
    <row r="4470">
      <c r="A4470" s="154" t="s">
        <v>9714</v>
      </c>
      <c r="B4470" s="155"/>
      <c r="C4470" s="154" t="s">
        <v>9715</v>
      </c>
      <c r="D4470" s="155"/>
      <c r="E4470" s="155"/>
      <c r="F4470" s="154" t="s">
        <v>9716</v>
      </c>
      <c r="G4470" s="154" t="s">
        <v>9717</v>
      </c>
      <c r="H4470" s="154" t="s">
        <v>9718</v>
      </c>
      <c r="I4470" s="154" t="s">
        <v>9719</v>
      </c>
      <c r="J4470" s="156">
        <v>0.0</v>
      </c>
      <c r="K4470" s="154" t="s">
        <v>329</v>
      </c>
    </row>
    <row r="4471">
      <c r="A4471" s="154" t="s">
        <v>9714</v>
      </c>
      <c r="B4471" s="154" t="s">
        <v>9715</v>
      </c>
      <c r="C4471" s="155"/>
      <c r="D4471" s="154">
        <v>2.0</v>
      </c>
      <c r="E4471" s="154" t="s">
        <v>1237</v>
      </c>
      <c r="F4471" s="154" t="s">
        <v>9716</v>
      </c>
      <c r="G4471" s="154" t="s">
        <v>9717</v>
      </c>
      <c r="H4471" s="154" t="s">
        <v>9718</v>
      </c>
      <c r="I4471" s="154" t="s">
        <v>9719</v>
      </c>
      <c r="J4471" s="156">
        <v>0.0</v>
      </c>
      <c r="K4471" s="154" t="s">
        <v>329</v>
      </c>
    </row>
    <row r="4472">
      <c r="A4472" s="154" t="s">
        <v>9720</v>
      </c>
      <c r="B4472" s="154" t="s">
        <v>9721</v>
      </c>
      <c r="C4472" s="155"/>
      <c r="D4472" s="154">
        <v>2.0</v>
      </c>
      <c r="E4472" s="154" t="s">
        <v>1237</v>
      </c>
      <c r="F4472" s="154" t="s">
        <v>9722</v>
      </c>
      <c r="G4472" s="156">
        <v>0.0</v>
      </c>
      <c r="H4472" s="156">
        <v>0.0</v>
      </c>
      <c r="I4472" s="154">
        <v>9.66505805796E11</v>
      </c>
      <c r="J4472" s="156">
        <v>0.0</v>
      </c>
      <c r="K4472" s="154" t="s">
        <v>914</v>
      </c>
    </row>
    <row r="4473">
      <c r="A4473" s="154" t="s">
        <v>9720</v>
      </c>
      <c r="B4473" s="155"/>
      <c r="C4473" s="154" t="s">
        <v>9721</v>
      </c>
      <c r="D4473" s="155"/>
      <c r="E4473" s="155"/>
      <c r="F4473" s="154" t="s">
        <v>9722</v>
      </c>
      <c r="G4473" s="156">
        <v>0.0</v>
      </c>
      <c r="H4473" s="156">
        <v>0.0</v>
      </c>
      <c r="I4473" s="154">
        <v>9.66505805796E11</v>
      </c>
      <c r="J4473" s="156">
        <v>0.0</v>
      </c>
      <c r="K4473" s="154" t="s">
        <v>914</v>
      </c>
    </row>
    <row r="4474">
      <c r="A4474" s="154" t="s">
        <v>9723</v>
      </c>
      <c r="B4474" s="154" t="s">
        <v>9724</v>
      </c>
      <c r="C4474" s="155"/>
      <c r="D4474" s="154">
        <v>2.0</v>
      </c>
      <c r="E4474" s="154" t="s">
        <v>1237</v>
      </c>
      <c r="F4474" s="154" t="s">
        <v>9725</v>
      </c>
      <c r="G4474" s="156">
        <v>0.0</v>
      </c>
      <c r="H4474" s="156">
        <v>0.0</v>
      </c>
      <c r="I4474" s="154">
        <v>9.71505580203E11</v>
      </c>
      <c r="J4474" s="156">
        <v>0.0</v>
      </c>
      <c r="K4474" s="154" t="s">
        <v>1059</v>
      </c>
    </row>
    <row r="4475">
      <c r="A4475" s="154" t="s">
        <v>9723</v>
      </c>
      <c r="B4475" s="155"/>
      <c r="C4475" s="154" t="s">
        <v>9724</v>
      </c>
      <c r="D4475" s="155"/>
      <c r="E4475" s="155"/>
      <c r="F4475" s="154" t="s">
        <v>9725</v>
      </c>
      <c r="G4475" s="156">
        <v>0.0</v>
      </c>
      <c r="H4475" s="156">
        <v>0.0</v>
      </c>
      <c r="I4475" s="154">
        <v>9.71505580203E11</v>
      </c>
      <c r="J4475" s="156">
        <v>0.0</v>
      </c>
      <c r="K4475" s="154" t="s">
        <v>1059</v>
      </c>
    </row>
    <row r="4476">
      <c r="A4476" s="154" t="s">
        <v>9726</v>
      </c>
      <c r="B4476" s="155"/>
      <c r="C4476" s="154" t="s">
        <v>9727</v>
      </c>
      <c r="D4476" s="155"/>
      <c r="E4476" s="155"/>
      <c r="F4476" s="154" t="s">
        <v>9728</v>
      </c>
      <c r="G4476" s="154">
        <v>5.52099266E8</v>
      </c>
      <c r="H4476" s="156">
        <v>0.0</v>
      </c>
      <c r="I4476" s="156">
        <v>0.0</v>
      </c>
      <c r="J4476" s="156">
        <v>0.0</v>
      </c>
      <c r="K4476" s="154" t="s">
        <v>1731</v>
      </c>
    </row>
    <row r="4477">
      <c r="A4477" s="154" t="s">
        <v>9726</v>
      </c>
      <c r="B4477" s="154" t="s">
        <v>9727</v>
      </c>
      <c r="C4477" s="155"/>
      <c r="D4477" s="154">
        <v>2.0</v>
      </c>
      <c r="E4477" s="154" t="s">
        <v>1237</v>
      </c>
      <c r="F4477" s="154" t="s">
        <v>9728</v>
      </c>
      <c r="G4477" s="154">
        <v>5.52099266E8</v>
      </c>
      <c r="H4477" s="156">
        <v>0.0</v>
      </c>
      <c r="I4477" s="156">
        <v>0.0</v>
      </c>
      <c r="J4477" s="156">
        <v>0.0</v>
      </c>
      <c r="K4477" s="154" t="s">
        <v>1731</v>
      </c>
    </row>
    <row r="4478">
      <c r="A4478" s="154" t="s">
        <v>9729</v>
      </c>
      <c r="B4478" s="155"/>
      <c r="C4478" s="154" t="s">
        <v>9730</v>
      </c>
      <c r="D4478" s="155"/>
      <c r="E4478" s="155"/>
      <c r="F4478" s="154" t="s">
        <v>2844</v>
      </c>
      <c r="G4478" s="156">
        <v>0.0</v>
      </c>
      <c r="H4478" s="156">
        <v>0.0</v>
      </c>
      <c r="I4478" s="154" t="s">
        <v>2845</v>
      </c>
      <c r="J4478" s="154" t="s">
        <v>2846</v>
      </c>
      <c r="K4478" s="154" t="s">
        <v>207</v>
      </c>
    </row>
    <row r="4479">
      <c r="A4479" s="154" t="s">
        <v>9729</v>
      </c>
      <c r="B4479" s="154" t="s">
        <v>9730</v>
      </c>
      <c r="C4479" s="155"/>
      <c r="D4479" s="154">
        <v>2.0</v>
      </c>
      <c r="E4479" s="154" t="s">
        <v>1237</v>
      </c>
      <c r="F4479" s="154" t="s">
        <v>2844</v>
      </c>
      <c r="G4479" s="156">
        <v>0.0</v>
      </c>
      <c r="H4479" s="156">
        <v>0.0</v>
      </c>
      <c r="I4479" s="154" t="s">
        <v>2845</v>
      </c>
      <c r="J4479" s="154" t="s">
        <v>2846</v>
      </c>
      <c r="K4479" s="154" t="s">
        <v>207</v>
      </c>
    </row>
    <row r="4480">
      <c r="A4480" s="154" t="s">
        <v>9731</v>
      </c>
      <c r="B4480" s="155"/>
      <c r="C4480" s="154" t="s">
        <v>9732</v>
      </c>
      <c r="D4480" s="155"/>
      <c r="E4480" s="155"/>
      <c r="F4480" s="154" t="s">
        <v>9733</v>
      </c>
      <c r="G4480" s="154" t="s">
        <v>9734</v>
      </c>
      <c r="H4480" s="154" t="s">
        <v>9735</v>
      </c>
      <c r="I4480" s="154" t="s">
        <v>9736</v>
      </c>
      <c r="J4480" s="156">
        <v>0.0</v>
      </c>
      <c r="K4480" s="154" t="s">
        <v>207</v>
      </c>
    </row>
    <row r="4481">
      <c r="A4481" s="154" t="s">
        <v>9731</v>
      </c>
      <c r="B4481" s="154" t="s">
        <v>9732</v>
      </c>
      <c r="C4481" s="155"/>
      <c r="D4481" s="154">
        <v>2.0</v>
      </c>
      <c r="E4481" s="154" t="s">
        <v>1237</v>
      </c>
      <c r="F4481" s="154" t="s">
        <v>9733</v>
      </c>
      <c r="G4481" s="154" t="s">
        <v>9734</v>
      </c>
      <c r="H4481" s="154" t="s">
        <v>9735</v>
      </c>
      <c r="I4481" s="154" t="s">
        <v>9736</v>
      </c>
      <c r="J4481" s="156">
        <v>0.0</v>
      </c>
      <c r="K4481" s="154" t="s">
        <v>207</v>
      </c>
    </row>
    <row r="4482">
      <c r="A4482" s="154" t="s">
        <v>9737</v>
      </c>
      <c r="B4482" s="155"/>
      <c r="C4482" s="154" t="s">
        <v>9738</v>
      </c>
      <c r="D4482" s="155"/>
      <c r="E4482" s="155"/>
      <c r="F4482" s="154" t="s">
        <v>9739</v>
      </c>
      <c r="G4482" s="154">
        <v>4.3358554E7</v>
      </c>
      <c r="H4482" s="156">
        <v>0.0</v>
      </c>
      <c r="I4482" s="154">
        <v>9.71506535685E11</v>
      </c>
      <c r="J4482" s="156">
        <v>0.0</v>
      </c>
      <c r="K4482" s="154" t="s">
        <v>361</v>
      </c>
    </row>
    <row r="4483">
      <c r="A4483" s="154" t="s">
        <v>9737</v>
      </c>
      <c r="B4483" s="154" t="s">
        <v>9738</v>
      </c>
      <c r="C4483" s="155"/>
      <c r="D4483" s="154">
        <v>2.0</v>
      </c>
      <c r="E4483" s="154" t="s">
        <v>1237</v>
      </c>
      <c r="F4483" s="154" t="s">
        <v>9740</v>
      </c>
      <c r="G4483" s="154">
        <v>0.0</v>
      </c>
      <c r="H4483" s="156">
        <v>0.0</v>
      </c>
      <c r="I4483" s="154">
        <v>5.06535685E8</v>
      </c>
      <c r="J4483" s="156">
        <v>0.0</v>
      </c>
      <c r="K4483" s="154" t="s">
        <v>361</v>
      </c>
    </row>
    <row r="4484">
      <c r="A4484" s="154" t="s">
        <v>9741</v>
      </c>
      <c r="B4484" s="155"/>
      <c r="C4484" s="154" t="s">
        <v>9742</v>
      </c>
      <c r="D4484" s="155"/>
      <c r="E4484" s="155"/>
      <c r="F4484" s="154" t="s">
        <v>8756</v>
      </c>
      <c r="G4484" s="154" t="s">
        <v>8757</v>
      </c>
      <c r="H4484" s="154" t="s">
        <v>8758</v>
      </c>
      <c r="I4484" s="154" t="s">
        <v>8759</v>
      </c>
      <c r="J4484" s="154" t="s">
        <v>8760</v>
      </c>
      <c r="K4484" s="154" t="s">
        <v>207</v>
      </c>
    </row>
    <row r="4485">
      <c r="A4485" s="154" t="s">
        <v>9741</v>
      </c>
      <c r="B4485" s="154" t="s">
        <v>9742</v>
      </c>
      <c r="C4485" s="155"/>
      <c r="D4485" s="154">
        <v>2.0</v>
      </c>
      <c r="E4485" s="154" t="s">
        <v>1237</v>
      </c>
      <c r="F4485" s="154" t="s">
        <v>8756</v>
      </c>
      <c r="G4485" s="154" t="s">
        <v>8757</v>
      </c>
      <c r="H4485" s="154" t="s">
        <v>8758</v>
      </c>
      <c r="I4485" s="154" t="s">
        <v>8759</v>
      </c>
      <c r="J4485" s="154" t="s">
        <v>8760</v>
      </c>
      <c r="K4485" s="154" t="s">
        <v>207</v>
      </c>
    </row>
    <row r="4486">
      <c r="A4486" s="154" t="s">
        <v>9743</v>
      </c>
      <c r="B4486" s="154" t="s">
        <v>9744</v>
      </c>
      <c r="C4486" s="155"/>
      <c r="D4486" s="154">
        <v>2.0</v>
      </c>
      <c r="E4486" s="154" t="s">
        <v>1237</v>
      </c>
      <c r="F4486" s="154" t="s">
        <v>9745</v>
      </c>
      <c r="G4486" s="154">
        <v>5.5170164E8</v>
      </c>
      <c r="H4486" s="156">
        <v>0.0</v>
      </c>
      <c r="I4486" s="156">
        <v>0.0</v>
      </c>
      <c r="J4486" s="156">
        <v>0.0</v>
      </c>
      <c r="K4486" s="156">
        <v>0.0</v>
      </c>
    </row>
    <row r="4487">
      <c r="A4487" s="154" t="s">
        <v>9743</v>
      </c>
      <c r="B4487" s="155"/>
      <c r="C4487" s="154" t="s">
        <v>9744</v>
      </c>
      <c r="D4487" s="155"/>
      <c r="E4487" s="155"/>
      <c r="F4487" s="154" t="s">
        <v>9745</v>
      </c>
      <c r="G4487" s="154">
        <v>5.5170164E8</v>
      </c>
      <c r="H4487" s="156">
        <v>0.0</v>
      </c>
      <c r="I4487" s="156">
        <v>0.0</v>
      </c>
      <c r="J4487" s="156">
        <v>0.0</v>
      </c>
      <c r="K4487" s="156">
        <v>0.0</v>
      </c>
    </row>
    <row r="4488">
      <c r="A4488" s="154" t="s">
        <v>9746</v>
      </c>
      <c r="B4488" s="154" t="s">
        <v>9747</v>
      </c>
      <c r="C4488" s="155"/>
      <c r="D4488" s="154">
        <v>2.0</v>
      </c>
      <c r="E4488" s="154" t="s">
        <v>1237</v>
      </c>
      <c r="F4488" s="154" t="s">
        <v>9748</v>
      </c>
      <c r="G4488" s="154">
        <v>3600000.0</v>
      </c>
      <c r="H4488" s="156">
        <v>0.0</v>
      </c>
      <c r="I4488" s="154">
        <v>9.71559374651E11</v>
      </c>
      <c r="J4488" s="156">
        <v>0.0</v>
      </c>
      <c r="K4488" s="154" t="s">
        <v>259</v>
      </c>
    </row>
    <row r="4489">
      <c r="A4489" s="154" t="s">
        <v>9746</v>
      </c>
      <c r="B4489" s="155"/>
      <c r="C4489" s="154" t="s">
        <v>9747</v>
      </c>
      <c r="D4489" s="155"/>
      <c r="E4489" s="155"/>
      <c r="F4489" s="154" t="s">
        <v>9748</v>
      </c>
      <c r="G4489" s="154">
        <v>3600000.0</v>
      </c>
      <c r="H4489" s="156">
        <v>0.0</v>
      </c>
      <c r="I4489" s="154">
        <v>9.71559374651E11</v>
      </c>
      <c r="J4489" s="156">
        <v>0.0</v>
      </c>
      <c r="K4489" s="154" t="s">
        <v>259</v>
      </c>
    </row>
    <row r="4490">
      <c r="A4490" s="154" t="s">
        <v>9749</v>
      </c>
      <c r="B4490" s="154" t="s">
        <v>9750</v>
      </c>
      <c r="C4490" s="155"/>
      <c r="D4490" s="154">
        <v>2.0</v>
      </c>
      <c r="E4490" s="154" t="s">
        <v>1237</v>
      </c>
      <c r="F4490" s="154" t="s">
        <v>9751</v>
      </c>
      <c r="G4490" s="156">
        <v>0.0</v>
      </c>
      <c r="H4490" s="156">
        <v>0.0</v>
      </c>
      <c r="I4490" s="154" t="s">
        <v>9752</v>
      </c>
      <c r="J4490" s="154" t="s">
        <v>9753</v>
      </c>
      <c r="K4490" s="154" t="s">
        <v>240</v>
      </c>
    </row>
    <row r="4491">
      <c r="A4491" s="154" t="s">
        <v>9749</v>
      </c>
      <c r="B4491" s="155"/>
      <c r="C4491" s="154" t="s">
        <v>9750</v>
      </c>
      <c r="D4491" s="155"/>
      <c r="E4491" s="155"/>
      <c r="F4491" s="154" t="s">
        <v>9751</v>
      </c>
      <c r="G4491" s="156">
        <v>0.0</v>
      </c>
      <c r="H4491" s="156">
        <v>0.0</v>
      </c>
      <c r="I4491" s="154" t="s">
        <v>9752</v>
      </c>
      <c r="J4491" s="154" t="s">
        <v>9753</v>
      </c>
      <c r="K4491" s="154" t="s">
        <v>240</v>
      </c>
    </row>
    <row r="4492">
      <c r="A4492" s="154" t="s">
        <v>9754</v>
      </c>
      <c r="B4492" s="154" t="s">
        <v>9755</v>
      </c>
      <c r="C4492" s="155"/>
      <c r="D4492" s="154">
        <v>2.0</v>
      </c>
      <c r="E4492" s="154" t="s">
        <v>1237</v>
      </c>
      <c r="F4492" s="154" t="s">
        <v>9756</v>
      </c>
      <c r="G4492" s="154" t="s">
        <v>9757</v>
      </c>
      <c r="H4492" s="154" t="s">
        <v>5791</v>
      </c>
      <c r="I4492" s="154">
        <v>9.7144473552E10</v>
      </c>
      <c r="J4492" s="156">
        <v>0.0</v>
      </c>
      <c r="K4492" s="154" t="s">
        <v>240</v>
      </c>
    </row>
    <row r="4493">
      <c r="A4493" s="154" t="s">
        <v>9754</v>
      </c>
      <c r="B4493" s="155"/>
      <c r="C4493" s="154" t="s">
        <v>9755</v>
      </c>
      <c r="D4493" s="155"/>
      <c r="E4493" s="155"/>
      <c r="F4493" s="154" t="s">
        <v>9756</v>
      </c>
      <c r="G4493" s="154" t="s">
        <v>9757</v>
      </c>
      <c r="H4493" s="154" t="s">
        <v>5791</v>
      </c>
      <c r="I4493" s="154">
        <v>9.7144473552E10</v>
      </c>
      <c r="J4493" s="156">
        <v>0.0</v>
      </c>
      <c r="K4493" s="154" t="s">
        <v>240</v>
      </c>
    </row>
    <row r="4494">
      <c r="A4494" s="154" t="s">
        <v>9758</v>
      </c>
      <c r="B4494" s="155"/>
      <c r="C4494" s="154" t="s">
        <v>9759</v>
      </c>
      <c r="D4494" s="155"/>
      <c r="E4494" s="155"/>
      <c r="F4494" s="154" t="s">
        <v>9760</v>
      </c>
      <c r="G4494" s="156">
        <v>0.0</v>
      </c>
      <c r="H4494" s="154" t="s">
        <v>9761</v>
      </c>
      <c r="I4494" s="154" t="s">
        <v>9762</v>
      </c>
      <c r="J4494" s="156">
        <v>0.0</v>
      </c>
      <c r="K4494" s="154" t="s">
        <v>923</v>
      </c>
    </row>
    <row r="4495">
      <c r="A4495" s="154" t="s">
        <v>9758</v>
      </c>
      <c r="B4495" s="154" t="s">
        <v>9759</v>
      </c>
      <c r="C4495" s="155"/>
      <c r="D4495" s="154">
        <v>2.0</v>
      </c>
      <c r="E4495" s="154" t="s">
        <v>1237</v>
      </c>
      <c r="F4495" s="154" t="s">
        <v>9763</v>
      </c>
      <c r="G4495" s="156">
        <v>0.0</v>
      </c>
      <c r="H4495" s="156">
        <v>0.0</v>
      </c>
      <c r="I4495" s="154" t="s">
        <v>9764</v>
      </c>
      <c r="J4495" s="154" t="s">
        <v>9765</v>
      </c>
      <c r="K4495" s="154" t="s">
        <v>923</v>
      </c>
    </row>
    <row r="4496">
      <c r="A4496" s="154" t="s">
        <v>9766</v>
      </c>
      <c r="B4496" s="155"/>
      <c r="C4496" s="154" t="s">
        <v>9767</v>
      </c>
      <c r="D4496" s="155"/>
      <c r="E4496" s="155"/>
      <c r="F4496" s="154" t="s">
        <v>9768</v>
      </c>
      <c r="G4496" s="156">
        <v>0.0</v>
      </c>
      <c r="H4496" s="154" t="s">
        <v>9769</v>
      </c>
      <c r="I4496" s="154" t="s">
        <v>9770</v>
      </c>
      <c r="J4496" s="154" t="s">
        <v>9771</v>
      </c>
      <c r="K4496" s="154" t="s">
        <v>361</v>
      </c>
    </row>
    <row r="4497">
      <c r="A4497" s="154" t="s">
        <v>9766</v>
      </c>
      <c r="B4497" s="154" t="s">
        <v>9767</v>
      </c>
      <c r="C4497" s="155"/>
      <c r="D4497" s="154">
        <v>2.0</v>
      </c>
      <c r="E4497" s="154" t="s">
        <v>1237</v>
      </c>
      <c r="F4497" s="154" t="s">
        <v>9772</v>
      </c>
      <c r="G4497" s="156">
        <v>0.0</v>
      </c>
      <c r="H4497" s="154" t="s">
        <v>9769</v>
      </c>
      <c r="I4497" s="154">
        <v>9.71506259891E11</v>
      </c>
      <c r="J4497" s="156">
        <v>0.0</v>
      </c>
      <c r="K4497" s="154" t="s">
        <v>361</v>
      </c>
    </row>
    <row r="4498">
      <c r="A4498" s="154" t="s">
        <v>9773</v>
      </c>
      <c r="B4498" s="155"/>
      <c r="C4498" s="154" t="s">
        <v>9774</v>
      </c>
      <c r="D4498" s="155"/>
      <c r="E4498" s="155"/>
      <c r="F4498" s="154" t="s">
        <v>1629</v>
      </c>
      <c r="G4498" s="156">
        <v>0.0</v>
      </c>
      <c r="H4498" s="154" t="s">
        <v>1630</v>
      </c>
      <c r="I4498" s="154" t="s">
        <v>1631</v>
      </c>
      <c r="J4498" s="154" t="s">
        <v>1632</v>
      </c>
      <c r="K4498" s="154" t="s">
        <v>760</v>
      </c>
    </row>
    <row r="4499">
      <c r="A4499" s="154" t="s">
        <v>9773</v>
      </c>
      <c r="B4499" s="154" t="s">
        <v>9774</v>
      </c>
      <c r="C4499" s="155"/>
      <c r="D4499" s="154">
        <v>2.0</v>
      </c>
      <c r="E4499" s="154" t="s">
        <v>1237</v>
      </c>
      <c r="F4499" s="154" t="s">
        <v>1629</v>
      </c>
      <c r="G4499" s="156">
        <v>0.0</v>
      </c>
      <c r="H4499" s="154" t="s">
        <v>1630</v>
      </c>
      <c r="I4499" s="154" t="s">
        <v>1631</v>
      </c>
      <c r="J4499" s="154" t="s">
        <v>1632</v>
      </c>
      <c r="K4499" s="154" t="s">
        <v>760</v>
      </c>
    </row>
    <row r="4500">
      <c r="A4500" s="154" t="s">
        <v>9775</v>
      </c>
      <c r="B4500" s="154" t="s">
        <v>9776</v>
      </c>
      <c r="C4500" s="155"/>
      <c r="D4500" s="154">
        <v>2.0</v>
      </c>
      <c r="E4500" s="154" t="s">
        <v>1237</v>
      </c>
      <c r="F4500" s="154" t="s">
        <v>9777</v>
      </c>
      <c r="G4500" s="154">
        <v>0.0</v>
      </c>
      <c r="H4500" s="156">
        <v>0.0</v>
      </c>
      <c r="I4500" s="154">
        <v>9.71506243137E11</v>
      </c>
      <c r="J4500" s="156">
        <v>0.0</v>
      </c>
      <c r="K4500" s="154" t="s">
        <v>361</v>
      </c>
    </row>
    <row r="4501">
      <c r="A4501" s="154" t="s">
        <v>9775</v>
      </c>
      <c r="B4501" s="155"/>
      <c r="C4501" s="154" t="s">
        <v>9776</v>
      </c>
      <c r="D4501" s="155"/>
      <c r="E4501" s="155"/>
      <c r="F4501" s="154" t="s">
        <v>9777</v>
      </c>
      <c r="G4501" s="154">
        <v>0.0</v>
      </c>
      <c r="H4501" s="156">
        <v>0.0</v>
      </c>
      <c r="I4501" s="154">
        <v>9.71506243137E11</v>
      </c>
      <c r="J4501" s="156">
        <v>0.0</v>
      </c>
      <c r="K4501" s="154" t="s">
        <v>361</v>
      </c>
    </row>
    <row r="4502">
      <c r="A4502" s="154" t="s">
        <v>9778</v>
      </c>
      <c r="B4502" s="155"/>
      <c r="C4502" s="154" t="s">
        <v>9779</v>
      </c>
      <c r="D4502" s="155"/>
      <c r="E4502" s="155"/>
      <c r="F4502" s="154" t="s">
        <v>9780</v>
      </c>
      <c r="G4502" s="154">
        <v>4.47871761555E11</v>
      </c>
      <c r="H4502" s="154" t="s">
        <v>9781</v>
      </c>
      <c r="I4502" s="156">
        <v>0.0</v>
      </c>
      <c r="J4502" s="156">
        <v>0.0</v>
      </c>
      <c r="K4502" s="156">
        <v>0.0</v>
      </c>
    </row>
    <row r="4503">
      <c r="A4503" s="154" t="s">
        <v>9778</v>
      </c>
      <c r="B4503" s="154" t="s">
        <v>9779</v>
      </c>
      <c r="C4503" s="155"/>
      <c r="D4503" s="154">
        <v>2.0</v>
      </c>
      <c r="E4503" s="154" t="s">
        <v>1237</v>
      </c>
      <c r="F4503" s="154" t="s">
        <v>9780</v>
      </c>
      <c r="G4503" s="154">
        <v>4.47871761555E11</v>
      </c>
      <c r="H4503" s="154" t="s">
        <v>9781</v>
      </c>
      <c r="I4503" s="156">
        <v>0.0</v>
      </c>
      <c r="J4503" s="156">
        <v>0.0</v>
      </c>
      <c r="K4503" s="156">
        <v>0.0</v>
      </c>
    </row>
    <row r="4504">
      <c r="A4504" s="154" t="s">
        <v>9782</v>
      </c>
      <c r="B4504" s="155"/>
      <c r="C4504" s="154" t="s">
        <v>9783</v>
      </c>
      <c r="D4504" s="155"/>
      <c r="E4504" s="155"/>
      <c r="F4504" s="154" t="s">
        <v>9784</v>
      </c>
      <c r="G4504" s="156">
        <v>0.0</v>
      </c>
      <c r="H4504" s="154" t="s">
        <v>9785</v>
      </c>
      <c r="I4504" s="154" t="s">
        <v>9786</v>
      </c>
      <c r="J4504" s="154" t="s">
        <v>9787</v>
      </c>
      <c r="K4504" s="154" t="s">
        <v>361</v>
      </c>
    </row>
    <row r="4505">
      <c r="A4505" s="154" t="s">
        <v>9782</v>
      </c>
      <c r="B4505" s="154" t="s">
        <v>9783</v>
      </c>
      <c r="C4505" s="155"/>
      <c r="D4505" s="154">
        <v>2.0</v>
      </c>
      <c r="E4505" s="154" t="s">
        <v>1237</v>
      </c>
      <c r="F4505" s="154" t="s">
        <v>9784</v>
      </c>
      <c r="G4505" s="156">
        <v>0.0</v>
      </c>
      <c r="H4505" s="154" t="s">
        <v>9785</v>
      </c>
      <c r="I4505" s="154" t="s">
        <v>9786</v>
      </c>
      <c r="J4505" s="154" t="s">
        <v>9787</v>
      </c>
      <c r="K4505" s="154" t="s">
        <v>361</v>
      </c>
    </row>
    <row r="4506">
      <c r="A4506" s="154" t="s">
        <v>9788</v>
      </c>
      <c r="B4506" s="154" t="s">
        <v>9789</v>
      </c>
      <c r="C4506" s="155"/>
      <c r="D4506" s="154">
        <v>2.0</v>
      </c>
      <c r="E4506" s="154" t="s">
        <v>1237</v>
      </c>
      <c r="F4506" s="154" t="s">
        <v>9790</v>
      </c>
      <c r="G4506" s="154">
        <v>5.05588238E8</v>
      </c>
      <c r="H4506" s="156">
        <v>0.0</v>
      </c>
      <c r="I4506" s="156">
        <v>0.0</v>
      </c>
      <c r="J4506" s="156">
        <v>0.0</v>
      </c>
      <c r="K4506" s="156">
        <v>0.0</v>
      </c>
    </row>
    <row r="4507">
      <c r="A4507" s="154" t="s">
        <v>9788</v>
      </c>
      <c r="B4507" s="155"/>
      <c r="C4507" s="154" t="s">
        <v>9789</v>
      </c>
      <c r="D4507" s="155"/>
      <c r="E4507" s="155"/>
      <c r="F4507" s="154" t="s">
        <v>9790</v>
      </c>
      <c r="G4507" s="154">
        <v>5.05588238E8</v>
      </c>
      <c r="H4507" s="156">
        <v>0.0</v>
      </c>
      <c r="I4507" s="156">
        <v>0.0</v>
      </c>
      <c r="J4507" s="156">
        <v>0.0</v>
      </c>
      <c r="K4507" s="156">
        <v>0.0</v>
      </c>
    </row>
    <row r="4508">
      <c r="A4508" s="154" t="s">
        <v>9791</v>
      </c>
      <c r="B4508" s="155"/>
      <c r="C4508" s="154" t="s">
        <v>9792</v>
      </c>
      <c r="D4508" s="155"/>
      <c r="E4508" s="155"/>
      <c r="F4508" s="154" t="s">
        <v>9793</v>
      </c>
      <c r="G4508" s="154">
        <v>0.0</v>
      </c>
      <c r="H4508" s="156">
        <v>0.0</v>
      </c>
      <c r="I4508" s="154">
        <v>9.71506458267E11</v>
      </c>
      <c r="J4508" s="156">
        <v>0.0</v>
      </c>
      <c r="K4508" s="154" t="s">
        <v>361</v>
      </c>
    </row>
    <row r="4509">
      <c r="A4509" s="154" t="s">
        <v>9791</v>
      </c>
      <c r="B4509" s="154" t="s">
        <v>9792</v>
      </c>
      <c r="C4509" s="155"/>
      <c r="D4509" s="154">
        <v>2.0</v>
      </c>
      <c r="E4509" s="154" t="s">
        <v>1237</v>
      </c>
      <c r="F4509" s="154" t="s">
        <v>9793</v>
      </c>
      <c r="G4509" s="154">
        <v>0.0</v>
      </c>
      <c r="H4509" s="156">
        <v>0.0</v>
      </c>
      <c r="I4509" s="154">
        <v>9.71506458267E11</v>
      </c>
      <c r="J4509" s="156">
        <v>0.0</v>
      </c>
      <c r="K4509" s="154" t="s">
        <v>361</v>
      </c>
    </row>
    <row r="4510">
      <c r="A4510" s="154" t="s">
        <v>9794</v>
      </c>
      <c r="B4510" s="154" t="s">
        <v>9795</v>
      </c>
      <c r="C4510" s="155"/>
      <c r="D4510" s="154">
        <v>2.0</v>
      </c>
      <c r="E4510" s="154" t="s">
        <v>1237</v>
      </c>
      <c r="F4510" s="154" t="s">
        <v>9796</v>
      </c>
      <c r="G4510" s="156">
        <v>0.0</v>
      </c>
      <c r="H4510" s="156">
        <v>0.0</v>
      </c>
      <c r="I4510" s="154" t="s">
        <v>853</v>
      </c>
      <c r="J4510" s="154" t="s">
        <v>809</v>
      </c>
      <c r="K4510" s="154" t="s">
        <v>206</v>
      </c>
    </row>
    <row r="4511">
      <c r="A4511" s="154" t="s">
        <v>9794</v>
      </c>
      <c r="B4511" s="155"/>
      <c r="C4511" s="154" t="s">
        <v>9795</v>
      </c>
      <c r="D4511" s="155"/>
      <c r="E4511" s="155"/>
      <c r="F4511" s="154" t="s">
        <v>9796</v>
      </c>
      <c r="G4511" s="156">
        <v>0.0</v>
      </c>
      <c r="H4511" s="156">
        <v>0.0</v>
      </c>
      <c r="I4511" s="154" t="s">
        <v>853</v>
      </c>
      <c r="J4511" s="154" t="s">
        <v>809</v>
      </c>
      <c r="K4511" s="154" t="s">
        <v>206</v>
      </c>
    </row>
    <row r="4512">
      <c r="A4512" s="154" t="s">
        <v>9797</v>
      </c>
      <c r="B4512" s="154" t="s">
        <v>9798</v>
      </c>
      <c r="C4512" s="155"/>
      <c r="D4512" s="154">
        <v>2.0</v>
      </c>
      <c r="E4512" s="154" t="s">
        <v>1237</v>
      </c>
      <c r="F4512" s="154" t="s">
        <v>9799</v>
      </c>
      <c r="G4512" s="156">
        <v>0.0</v>
      </c>
      <c r="H4512" s="156">
        <v>0.0</v>
      </c>
      <c r="I4512" s="154">
        <v>9.71503844324E11</v>
      </c>
      <c r="J4512" s="156">
        <v>0.0</v>
      </c>
      <c r="K4512" s="154" t="s">
        <v>1874</v>
      </c>
    </row>
    <row r="4513">
      <c r="A4513" s="154" t="s">
        <v>9797</v>
      </c>
      <c r="B4513" s="155"/>
      <c r="C4513" s="154" t="s">
        <v>9798</v>
      </c>
      <c r="D4513" s="155"/>
      <c r="E4513" s="155"/>
      <c r="F4513" s="154" t="s">
        <v>9799</v>
      </c>
      <c r="G4513" s="156">
        <v>0.0</v>
      </c>
      <c r="H4513" s="156">
        <v>0.0</v>
      </c>
      <c r="I4513" s="154">
        <v>9.71503844324E11</v>
      </c>
      <c r="J4513" s="156">
        <v>0.0</v>
      </c>
      <c r="K4513" s="154" t="s">
        <v>1874</v>
      </c>
    </row>
    <row r="4514">
      <c r="A4514" s="154" t="s">
        <v>9800</v>
      </c>
      <c r="B4514" s="154" t="s">
        <v>9801</v>
      </c>
      <c r="C4514" s="155"/>
      <c r="D4514" s="154">
        <v>2.0</v>
      </c>
      <c r="E4514" s="154" t="s">
        <v>1237</v>
      </c>
      <c r="F4514" s="154" t="s">
        <v>9802</v>
      </c>
      <c r="G4514" s="154">
        <v>4.9543504E7</v>
      </c>
      <c r="H4514" s="156">
        <v>0.0</v>
      </c>
      <c r="I4514" s="154">
        <v>5.56160147E8</v>
      </c>
      <c r="J4514" s="156">
        <v>0.0</v>
      </c>
      <c r="K4514" s="154" t="s">
        <v>1731</v>
      </c>
    </row>
    <row r="4515">
      <c r="A4515" s="154" t="s">
        <v>9800</v>
      </c>
      <c r="B4515" s="155"/>
      <c r="C4515" s="154" t="s">
        <v>9801</v>
      </c>
      <c r="D4515" s="155"/>
      <c r="E4515" s="155"/>
      <c r="F4515" s="154" t="s">
        <v>9802</v>
      </c>
      <c r="G4515" s="154">
        <v>4.9543504E7</v>
      </c>
      <c r="H4515" s="156">
        <v>0.0</v>
      </c>
      <c r="I4515" s="154">
        <v>5.56160147E8</v>
      </c>
      <c r="J4515" s="156">
        <v>0.0</v>
      </c>
      <c r="K4515" s="154" t="s">
        <v>1731</v>
      </c>
    </row>
    <row r="4516">
      <c r="A4516" s="154" t="s">
        <v>9803</v>
      </c>
      <c r="B4516" s="154" t="s">
        <v>9804</v>
      </c>
      <c r="D4516" s="154">
        <v>2.0</v>
      </c>
      <c r="E4516" s="154" t="s">
        <v>897</v>
      </c>
      <c r="F4516" s="154" t="s">
        <v>9805</v>
      </c>
      <c r="G4516" s="156">
        <v>0.0</v>
      </c>
      <c r="H4516" s="154" t="s">
        <v>9806</v>
      </c>
      <c r="I4516" s="154" t="s">
        <v>9807</v>
      </c>
      <c r="J4516" s="154" t="s">
        <v>9808</v>
      </c>
      <c r="K4516" s="154" t="s">
        <v>1446</v>
      </c>
    </row>
    <row r="4517">
      <c r="A4517" s="154" t="s">
        <v>9803</v>
      </c>
      <c r="B4517" s="155"/>
      <c r="C4517" s="154" t="s">
        <v>9809</v>
      </c>
      <c r="D4517" s="155"/>
      <c r="E4517" s="155"/>
      <c r="F4517" s="154" t="s">
        <v>9805</v>
      </c>
      <c r="G4517" s="156">
        <v>0.0</v>
      </c>
      <c r="H4517" s="154" t="s">
        <v>1437</v>
      </c>
      <c r="I4517" s="154" t="s">
        <v>9810</v>
      </c>
      <c r="J4517" s="156">
        <v>0.0</v>
      </c>
      <c r="K4517" s="154" t="s">
        <v>1446</v>
      </c>
    </row>
    <row r="4518">
      <c r="A4518" s="154" t="s">
        <v>9811</v>
      </c>
      <c r="B4518" s="154" t="s">
        <v>9812</v>
      </c>
      <c r="D4518" s="154">
        <v>2.0</v>
      </c>
      <c r="E4518" s="154" t="s">
        <v>897</v>
      </c>
      <c r="F4518" s="154" t="s">
        <v>1619</v>
      </c>
      <c r="G4518" s="154">
        <v>4.3903333E7</v>
      </c>
      <c r="H4518" s="154" t="s">
        <v>1620</v>
      </c>
      <c r="I4518" s="156">
        <v>0.0</v>
      </c>
      <c r="J4518" s="156">
        <v>0.0</v>
      </c>
      <c r="K4518" s="156">
        <v>0.0</v>
      </c>
    </row>
    <row r="4519">
      <c r="A4519" s="154" t="s">
        <v>9811</v>
      </c>
      <c r="B4519" s="155"/>
      <c r="C4519" s="154" t="s">
        <v>9813</v>
      </c>
      <c r="D4519" s="155"/>
      <c r="E4519" s="155"/>
      <c r="F4519" s="154" t="s">
        <v>9814</v>
      </c>
      <c r="G4519" s="154">
        <v>4.225052E7</v>
      </c>
      <c r="H4519" s="156">
        <v>0.0</v>
      </c>
      <c r="I4519" s="154">
        <v>5.0655824E8</v>
      </c>
      <c r="J4519" s="156">
        <v>0.0</v>
      </c>
      <c r="K4519" s="154" t="s">
        <v>760</v>
      </c>
    </row>
    <row r="4520">
      <c r="A4520" s="154" t="s">
        <v>9815</v>
      </c>
      <c r="B4520" s="155"/>
      <c r="C4520" s="154" t="s">
        <v>9816</v>
      </c>
      <c r="D4520" s="155"/>
      <c r="E4520" s="155"/>
      <c r="F4520" s="154" t="s">
        <v>7343</v>
      </c>
      <c r="G4520" s="156">
        <v>0.0</v>
      </c>
      <c r="H4520" s="156">
        <v>0.0</v>
      </c>
      <c r="I4520" s="154" t="s">
        <v>7344</v>
      </c>
      <c r="J4520" s="154" t="s">
        <v>3776</v>
      </c>
      <c r="K4520" s="154" t="s">
        <v>361</v>
      </c>
    </row>
    <row r="4521">
      <c r="A4521" s="154" t="s">
        <v>9815</v>
      </c>
      <c r="B4521" s="154" t="s">
        <v>9817</v>
      </c>
      <c r="D4521" s="154">
        <v>2.0</v>
      </c>
      <c r="E4521" s="154" t="s">
        <v>897</v>
      </c>
      <c r="F4521" s="154" t="s">
        <v>9818</v>
      </c>
      <c r="G4521" s="154">
        <v>1.6475319003E10</v>
      </c>
      <c r="H4521" s="154" t="s">
        <v>9819</v>
      </c>
      <c r="I4521" s="154">
        <v>1.6475319003E10</v>
      </c>
      <c r="J4521" s="156">
        <v>0.0</v>
      </c>
      <c r="K4521" s="154" t="s">
        <v>760</v>
      </c>
    </row>
    <row r="4522">
      <c r="A4522" s="154" t="s">
        <v>9820</v>
      </c>
      <c r="B4522" s="155"/>
      <c r="C4522" s="154" t="s">
        <v>9821</v>
      </c>
      <c r="D4522" s="155"/>
      <c r="E4522" s="155"/>
      <c r="F4522" s="154" t="s">
        <v>9822</v>
      </c>
      <c r="G4522" s="154" t="s">
        <v>9823</v>
      </c>
      <c r="H4522" s="156">
        <v>0.0</v>
      </c>
      <c r="I4522" s="154" t="s">
        <v>9824</v>
      </c>
      <c r="J4522" s="154" t="s">
        <v>9825</v>
      </c>
      <c r="K4522" s="154" t="s">
        <v>206</v>
      </c>
    </row>
    <row r="4523">
      <c r="A4523" s="154" t="s">
        <v>9820</v>
      </c>
      <c r="B4523" s="154" t="s">
        <v>9826</v>
      </c>
      <c r="D4523" s="154">
        <v>2.0</v>
      </c>
      <c r="E4523" s="154" t="s">
        <v>897</v>
      </c>
      <c r="F4523" s="154" t="s">
        <v>9822</v>
      </c>
      <c r="G4523" s="154" t="s">
        <v>9823</v>
      </c>
      <c r="H4523" s="156">
        <v>0.0</v>
      </c>
      <c r="I4523" s="154" t="s">
        <v>9824</v>
      </c>
      <c r="J4523" s="154" t="s">
        <v>9825</v>
      </c>
      <c r="K4523" s="154" t="s">
        <v>206</v>
      </c>
    </row>
    <row r="4524">
      <c r="A4524" s="154" t="s">
        <v>9827</v>
      </c>
      <c r="B4524" s="155"/>
      <c r="C4524" s="154" t="s">
        <v>9828</v>
      </c>
      <c r="D4524" s="155"/>
      <c r="E4524" s="155"/>
      <c r="F4524" s="154" t="s">
        <v>9829</v>
      </c>
      <c r="G4524" s="154">
        <v>0.0</v>
      </c>
      <c r="H4524" s="156">
        <v>0.0</v>
      </c>
      <c r="I4524" s="154">
        <v>9.71506533894E11</v>
      </c>
      <c r="J4524" s="156">
        <v>0.0</v>
      </c>
      <c r="K4524" s="154" t="s">
        <v>760</v>
      </c>
    </row>
    <row r="4525">
      <c r="A4525" s="154" t="s">
        <v>9827</v>
      </c>
      <c r="B4525" s="154" t="s">
        <v>9830</v>
      </c>
      <c r="D4525" s="154">
        <v>2.0</v>
      </c>
      <c r="E4525" s="154" t="s">
        <v>897</v>
      </c>
      <c r="F4525" s="154" t="s">
        <v>1619</v>
      </c>
      <c r="G4525" s="154">
        <v>4.3903333E7</v>
      </c>
      <c r="H4525" s="154" t="s">
        <v>1620</v>
      </c>
      <c r="I4525" s="156">
        <v>0.0</v>
      </c>
      <c r="J4525" s="156">
        <v>0.0</v>
      </c>
      <c r="K4525" s="156">
        <v>0.0</v>
      </c>
    </row>
    <row r="4526">
      <c r="A4526" s="154" t="s">
        <v>9831</v>
      </c>
      <c r="B4526" s="154" t="s">
        <v>9832</v>
      </c>
      <c r="D4526" s="154">
        <v>2.0</v>
      </c>
      <c r="E4526" s="154" t="s">
        <v>897</v>
      </c>
      <c r="F4526" s="154" t="s">
        <v>1619</v>
      </c>
      <c r="G4526" s="154">
        <v>4.3903333E7</v>
      </c>
      <c r="H4526" s="154" t="s">
        <v>1620</v>
      </c>
      <c r="I4526" s="156">
        <v>0.0</v>
      </c>
      <c r="J4526" s="156">
        <v>0.0</v>
      </c>
      <c r="K4526" s="156">
        <v>0.0</v>
      </c>
    </row>
    <row r="4527">
      <c r="A4527" s="154" t="s">
        <v>9831</v>
      </c>
      <c r="B4527" s="155"/>
      <c r="C4527" s="154" t="s">
        <v>9833</v>
      </c>
      <c r="D4527" s="155"/>
      <c r="E4527" s="155"/>
      <c r="F4527" s="154" t="s">
        <v>9834</v>
      </c>
      <c r="G4527" s="154">
        <v>0.0</v>
      </c>
      <c r="H4527" s="156">
        <v>0.0</v>
      </c>
      <c r="I4527" s="154">
        <v>9.7150645695E11</v>
      </c>
      <c r="J4527" s="156">
        <v>0.0</v>
      </c>
      <c r="K4527" s="154" t="s">
        <v>760</v>
      </c>
    </row>
    <row r="4528">
      <c r="A4528" s="154" t="s">
        <v>9835</v>
      </c>
      <c r="B4528" s="154" t="s">
        <v>9836</v>
      </c>
      <c r="D4528" s="154">
        <v>2.0</v>
      </c>
      <c r="E4528" s="154" t="s">
        <v>897</v>
      </c>
      <c r="F4528" s="154" t="s">
        <v>9837</v>
      </c>
      <c r="G4528" s="156">
        <v>0.0</v>
      </c>
      <c r="H4528" s="156">
        <v>0.0</v>
      </c>
      <c r="I4528" s="154" t="s">
        <v>3356</v>
      </c>
      <c r="J4528" s="154" t="s">
        <v>9838</v>
      </c>
      <c r="K4528" s="154" t="s">
        <v>361</v>
      </c>
    </row>
    <row r="4529">
      <c r="A4529" s="154" t="s">
        <v>9835</v>
      </c>
      <c r="B4529" s="155"/>
      <c r="C4529" s="154" t="s">
        <v>9839</v>
      </c>
      <c r="D4529" s="155"/>
      <c r="E4529" s="155"/>
      <c r="F4529" s="154" t="s">
        <v>9834</v>
      </c>
      <c r="G4529" s="154">
        <v>0.0</v>
      </c>
      <c r="H4529" s="156">
        <v>0.0</v>
      </c>
      <c r="I4529" s="154">
        <v>9.7150645695E11</v>
      </c>
      <c r="J4529" s="156">
        <v>0.0</v>
      </c>
      <c r="K4529" s="154" t="s">
        <v>760</v>
      </c>
    </row>
    <row r="4530">
      <c r="A4530" s="154" t="s">
        <v>9840</v>
      </c>
      <c r="B4530" s="154" t="s">
        <v>9841</v>
      </c>
      <c r="D4530" s="154">
        <v>2.0</v>
      </c>
      <c r="E4530" s="154" t="s">
        <v>897</v>
      </c>
      <c r="F4530" s="154" t="s">
        <v>9842</v>
      </c>
      <c r="G4530" s="156">
        <v>0.0</v>
      </c>
      <c r="H4530" s="156">
        <v>0.0</v>
      </c>
      <c r="I4530" s="154" t="s">
        <v>3356</v>
      </c>
      <c r="J4530" s="154" t="s">
        <v>9838</v>
      </c>
      <c r="K4530" s="154" t="s">
        <v>361</v>
      </c>
    </row>
    <row r="4531">
      <c r="A4531" s="154" t="s">
        <v>9840</v>
      </c>
      <c r="B4531" s="155"/>
      <c r="C4531" s="154" t="s">
        <v>9843</v>
      </c>
      <c r="D4531" s="155"/>
      <c r="E4531" s="155"/>
      <c r="F4531" s="154" t="s">
        <v>1619</v>
      </c>
      <c r="G4531" s="154">
        <v>4.3903333E7</v>
      </c>
      <c r="H4531" s="154" t="s">
        <v>1620</v>
      </c>
      <c r="I4531" s="156">
        <v>0.0</v>
      </c>
      <c r="J4531" s="156">
        <v>0.0</v>
      </c>
      <c r="K4531" s="156">
        <v>0.0</v>
      </c>
    </row>
    <row r="4532">
      <c r="A4532" s="154" t="s">
        <v>9844</v>
      </c>
      <c r="B4532" s="154" t="s">
        <v>9845</v>
      </c>
      <c r="D4532" s="154">
        <v>2.0</v>
      </c>
      <c r="E4532" s="154" t="s">
        <v>897</v>
      </c>
      <c r="F4532" s="154" t="s">
        <v>1619</v>
      </c>
      <c r="G4532" s="154">
        <v>4.3903333E7</v>
      </c>
      <c r="H4532" s="154" t="s">
        <v>1620</v>
      </c>
      <c r="I4532" s="156">
        <v>0.0</v>
      </c>
      <c r="J4532" s="156">
        <v>0.0</v>
      </c>
      <c r="K4532" s="156">
        <v>0.0</v>
      </c>
    </row>
    <row r="4533">
      <c r="A4533" s="154" t="s">
        <v>9844</v>
      </c>
      <c r="B4533" s="155"/>
      <c r="C4533" s="154" t="s">
        <v>9846</v>
      </c>
      <c r="D4533" s="155"/>
      <c r="E4533" s="155"/>
      <c r="F4533" s="154" t="s">
        <v>7633</v>
      </c>
      <c r="G4533" s="154">
        <v>5.6739285E8</v>
      </c>
      <c r="H4533" s="156">
        <v>0.0</v>
      </c>
      <c r="I4533" s="156">
        <v>0.0</v>
      </c>
      <c r="J4533" s="156">
        <v>0.0</v>
      </c>
      <c r="K4533" s="154" t="s">
        <v>9847</v>
      </c>
    </row>
    <row r="4534">
      <c r="A4534" s="154" t="s">
        <v>9848</v>
      </c>
      <c r="B4534" s="154" t="s">
        <v>9849</v>
      </c>
      <c r="D4534" s="154">
        <v>2.0</v>
      </c>
      <c r="E4534" s="154" t="s">
        <v>897</v>
      </c>
      <c r="F4534" s="154" t="s">
        <v>9850</v>
      </c>
      <c r="G4534" s="156">
        <v>0.0</v>
      </c>
      <c r="H4534" s="156">
        <v>0.0</v>
      </c>
      <c r="I4534" s="154" t="s">
        <v>9851</v>
      </c>
      <c r="J4534" s="154" t="s">
        <v>9852</v>
      </c>
      <c r="K4534" s="154" t="s">
        <v>760</v>
      </c>
    </row>
    <row r="4535">
      <c r="A4535" s="154" t="s">
        <v>9848</v>
      </c>
      <c r="B4535" s="155"/>
      <c r="C4535" s="154" t="s">
        <v>9853</v>
      </c>
      <c r="D4535" s="155"/>
      <c r="E4535" s="155"/>
      <c r="F4535" s="154" t="s">
        <v>9854</v>
      </c>
      <c r="G4535" s="156">
        <v>0.0</v>
      </c>
      <c r="H4535" s="156">
        <v>0.0</v>
      </c>
      <c r="I4535" s="154">
        <v>5.06444941E8</v>
      </c>
      <c r="J4535" s="156">
        <v>0.0</v>
      </c>
      <c r="K4535" s="154" t="s">
        <v>329</v>
      </c>
    </row>
    <row r="4536">
      <c r="A4536" s="154" t="s">
        <v>9855</v>
      </c>
      <c r="B4536" s="155"/>
      <c r="C4536" s="154" t="s">
        <v>9856</v>
      </c>
      <c r="D4536" s="155"/>
      <c r="E4536" s="155"/>
      <c r="F4536" s="154" t="s">
        <v>9857</v>
      </c>
      <c r="G4536" s="156">
        <v>0.0</v>
      </c>
      <c r="H4536" s="154" t="s">
        <v>1838</v>
      </c>
      <c r="I4536" s="154" t="s">
        <v>9858</v>
      </c>
      <c r="J4536" s="154" t="s">
        <v>9859</v>
      </c>
      <c r="K4536" s="154" t="s">
        <v>329</v>
      </c>
    </row>
    <row r="4537">
      <c r="A4537" s="154" t="s">
        <v>9855</v>
      </c>
      <c r="B4537" s="154" t="s">
        <v>9860</v>
      </c>
      <c r="D4537" s="154">
        <v>2.0</v>
      </c>
      <c r="E4537" s="154" t="s">
        <v>897</v>
      </c>
      <c r="F4537" s="154" t="s">
        <v>9857</v>
      </c>
      <c r="G4537" s="154">
        <v>5.03419285E8</v>
      </c>
      <c r="H4537" s="156">
        <v>0.0</v>
      </c>
      <c r="I4537" s="154">
        <v>5.03419285E8</v>
      </c>
      <c r="J4537" s="156">
        <v>0.0</v>
      </c>
      <c r="K4537" s="154" t="s">
        <v>329</v>
      </c>
    </row>
    <row r="4538">
      <c r="A4538" s="154" t="s">
        <v>9861</v>
      </c>
      <c r="B4538" s="155"/>
      <c r="C4538" s="154" t="s">
        <v>9862</v>
      </c>
      <c r="D4538" s="155"/>
      <c r="E4538" s="155"/>
      <c r="F4538" s="154" t="s">
        <v>9863</v>
      </c>
      <c r="G4538" s="156">
        <v>0.0</v>
      </c>
      <c r="H4538" s="156">
        <v>0.0</v>
      </c>
      <c r="I4538" s="154" t="s">
        <v>9864</v>
      </c>
      <c r="J4538" s="156">
        <v>0.0</v>
      </c>
      <c r="K4538" s="154" t="s">
        <v>320</v>
      </c>
    </row>
    <row r="4539">
      <c r="A4539" s="154" t="s">
        <v>9861</v>
      </c>
      <c r="B4539" s="154" t="s">
        <v>9865</v>
      </c>
      <c r="D4539" s="154">
        <v>2.0</v>
      </c>
      <c r="E4539" s="154" t="s">
        <v>897</v>
      </c>
      <c r="F4539" s="154" t="s">
        <v>9863</v>
      </c>
      <c r="G4539" s="156">
        <v>0.0</v>
      </c>
      <c r="H4539" s="156">
        <v>0.0</v>
      </c>
      <c r="I4539" s="154" t="s">
        <v>9864</v>
      </c>
      <c r="J4539" s="156">
        <v>0.0</v>
      </c>
      <c r="K4539" s="154" t="s">
        <v>320</v>
      </c>
    </row>
    <row r="4540">
      <c r="A4540" s="154" t="s">
        <v>9866</v>
      </c>
      <c r="B4540" s="155"/>
      <c r="C4540" s="154" t="s">
        <v>9867</v>
      </c>
      <c r="D4540" s="155"/>
      <c r="E4540" s="155"/>
      <c r="F4540" s="154" t="s">
        <v>9868</v>
      </c>
      <c r="G4540" s="156">
        <v>0.0</v>
      </c>
      <c r="H4540" s="154" t="s">
        <v>9869</v>
      </c>
      <c r="I4540" s="154" t="s">
        <v>1692</v>
      </c>
      <c r="J4540" s="156">
        <v>0.0</v>
      </c>
      <c r="K4540" s="154" t="s">
        <v>207</v>
      </c>
    </row>
    <row r="4541">
      <c r="A4541" s="154" t="s">
        <v>9866</v>
      </c>
      <c r="B4541" s="154" t="s">
        <v>9867</v>
      </c>
      <c r="D4541" s="154">
        <v>2.0</v>
      </c>
      <c r="E4541" s="154" t="s">
        <v>897</v>
      </c>
      <c r="F4541" s="154" t="s">
        <v>7484</v>
      </c>
      <c r="G4541" s="156">
        <v>0.0</v>
      </c>
      <c r="H4541" s="154" t="s">
        <v>7485</v>
      </c>
      <c r="I4541" s="154" t="s">
        <v>7486</v>
      </c>
      <c r="J4541" s="154" t="s">
        <v>7487</v>
      </c>
      <c r="K4541" s="154" t="s">
        <v>207</v>
      </c>
    </row>
    <row r="4542">
      <c r="A4542" s="154" t="s">
        <v>9870</v>
      </c>
      <c r="B4542" s="155"/>
      <c r="C4542" s="154" t="s">
        <v>9871</v>
      </c>
      <c r="D4542" s="155"/>
      <c r="E4542" s="155"/>
      <c r="F4542" s="154" t="s">
        <v>1619</v>
      </c>
      <c r="G4542" s="154">
        <v>4.3903333E7</v>
      </c>
      <c r="H4542" s="154" t="s">
        <v>1620</v>
      </c>
      <c r="I4542" s="156">
        <v>0.0</v>
      </c>
      <c r="J4542" s="156">
        <v>0.0</v>
      </c>
      <c r="K4542" s="156">
        <v>0.0</v>
      </c>
    </row>
    <row r="4543">
      <c r="A4543" s="154" t="s">
        <v>9870</v>
      </c>
      <c r="B4543" s="154" t="s">
        <v>9872</v>
      </c>
      <c r="D4543" s="154">
        <v>2.0</v>
      </c>
      <c r="E4543" s="154" t="s">
        <v>897</v>
      </c>
      <c r="F4543" s="154" t="s">
        <v>7664</v>
      </c>
      <c r="G4543" s="154">
        <v>5.51000846E8</v>
      </c>
      <c r="H4543" s="156">
        <v>0.0</v>
      </c>
      <c r="I4543" s="154" t="s">
        <v>7665</v>
      </c>
      <c r="J4543" s="154" t="s">
        <v>7666</v>
      </c>
      <c r="K4543" s="154" t="s">
        <v>301</v>
      </c>
    </row>
    <row r="4544">
      <c r="A4544" s="154" t="s">
        <v>9873</v>
      </c>
      <c r="B4544" s="155"/>
      <c r="C4544" s="154" t="s">
        <v>9874</v>
      </c>
      <c r="D4544" s="155"/>
      <c r="E4544" s="155"/>
      <c r="F4544" s="154" t="s">
        <v>7303</v>
      </c>
      <c r="G4544" s="156">
        <v>0.0</v>
      </c>
      <c r="H4544" s="154" t="s">
        <v>7304</v>
      </c>
      <c r="I4544" s="154" t="s">
        <v>7305</v>
      </c>
      <c r="J4544" s="154" t="s">
        <v>7306</v>
      </c>
      <c r="K4544" s="154" t="s">
        <v>197</v>
      </c>
    </row>
    <row r="4545">
      <c r="A4545" s="154" t="s">
        <v>9873</v>
      </c>
      <c r="B4545" s="154" t="s">
        <v>9875</v>
      </c>
      <c r="D4545" s="154">
        <v>2.0</v>
      </c>
      <c r="E4545" s="154" t="s">
        <v>897</v>
      </c>
      <c r="F4545" s="154" t="s">
        <v>7303</v>
      </c>
      <c r="G4545" s="156">
        <v>0.0</v>
      </c>
      <c r="H4545" s="154" t="s">
        <v>7304</v>
      </c>
      <c r="I4545" s="154" t="s">
        <v>7305</v>
      </c>
      <c r="J4545" s="154" t="s">
        <v>7306</v>
      </c>
      <c r="K4545" s="154" t="s">
        <v>197</v>
      </c>
    </row>
    <row r="4546">
      <c r="A4546" s="154" t="s">
        <v>9876</v>
      </c>
      <c r="B4546" s="155"/>
      <c r="C4546" s="154" t="s">
        <v>9877</v>
      </c>
      <c r="D4546" s="155"/>
      <c r="E4546" s="155"/>
      <c r="F4546" s="154" t="s">
        <v>3580</v>
      </c>
      <c r="G4546" s="156">
        <v>0.0</v>
      </c>
      <c r="H4546" s="156">
        <v>0.0</v>
      </c>
      <c r="I4546" s="154" t="s">
        <v>3581</v>
      </c>
      <c r="J4546" s="156">
        <v>0.0</v>
      </c>
      <c r="K4546" s="154" t="s">
        <v>776</v>
      </c>
    </row>
    <row r="4547">
      <c r="A4547" s="154" t="s">
        <v>9876</v>
      </c>
      <c r="B4547" s="154" t="s">
        <v>9878</v>
      </c>
      <c r="D4547" s="154">
        <v>2.0</v>
      </c>
      <c r="E4547" s="154" t="s">
        <v>897</v>
      </c>
      <c r="F4547" s="154" t="s">
        <v>3580</v>
      </c>
      <c r="G4547" s="156">
        <v>0.0</v>
      </c>
      <c r="H4547" s="156">
        <v>0.0</v>
      </c>
      <c r="I4547" s="154" t="s">
        <v>3581</v>
      </c>
      <c r="J4547" s="156">
        <v>0.0</v>
      </c>
      <c r="K4547" s="154" t="s">
        <v>776</v>
      </c>
    </row>
    <row r="4548">
      <c r="A4548" s="154" t="s">
        <v>9879</v>
      </c>
      <c r="B4548" s="154" t="s">
        <v>9880</v>
      </c>
      <c r="D4548" s="154">
        <v>2.0</v>
      </c>
      <c r="E4548" s="154" t="s">
        <v>897</v>
      </c>
      <c r="F4548" s="154" t="s">
        <v>7303</v>
      </c>
      <c r="G4548" s="156">
        <v>0.0</v>
      </c>
      <c r="H4548" s="154" t="s">
        <v>7304</v>
      </c>
      <c r="I4548" s="154" t="s">
        <v>7305</v>
      </c>
      <c r="J4548" s="154" t="s">
        <v>7306</v>
      </c>
      <c r="K4548" s="154" t="s">
        <v>197</v>
      </c>
    </row>
    <row r="4549">
      <c r="A4549" s="154" t="s">
        <v>9879</v>
      </c>
      <c r="B4549" s="155"/>
      <c r="C4549" s="154" t="s">
        <v>9881</v>
      </c>
      <c r="D4549" s="155"/>
      <c r="E4549" s="155"/>
      <c r="F4549" s="154" t="s">
        <v>7303</v>
      </c>
      <c r="G4549" s="156">
        <v>0.0</v>
      </c>
      <c r="H4549" s="154" t="s">
        <v>7304</v>
      </c>
      <c r="I4549" s="154" t="s">
        <v>7305</v>
      </c>
      <c r="J4549" s="154" t="s">
        <v>7306</v>
      </c>
      <c r="K4549" s="154" t="s">
        <v>197</v>
      </c>
    </row>
    <row r="4550">
      <c r="A4550" s="154" t="s">
        <v>9882</v>
      </c>
      <c r="B4550" s="154" t="s">
        <v>9883</v>
      </c>
      <c r="D4550" s="154">
        <v>2.0</v>
      </c>
      <c r="E4550" s="154" t="s">
        <v>761</v>
      </c>
      <c r="F4550" s="154" t="s">
        <v>7092</v>
      </c>
      <c r="G4550" s="156">
        <v>0.0</v>
      </c>
      <c r="H4550" s="154" t="s">
        <v>7093</v>
      </c>
      <c r="I4550" s="154" t="s">
        <v>7094</v>
      </c>
      <c r="J4550" s="156">
        <v>0.0</v>
      </c>
      <c r="K4550" s="154" t="s">
        <v>207</v>
      </c>
    </row>
    <row r="4551">
      <c r="A4551" s="154" t="s">
        <v>9882</v>
      </c>
      <c r="B4551" s="155"/>
      <c r="C4551" s="154" t="s">
        <v>9883</v>
      </c>
      <c r="D4551" s="155"/>
      <c r="E4551" s="155"/>
      <c r="F4551" s="154" t="s">
        <v>7092</v>
      </c>
      <c r="G4551" s="156">
        <v>0.0</v>
      </c>
      <c r="H4551" s="154" t="s">
        <v>7093</v>
      </c>
      <c r="I4551" s="154" t="s">
        <v>7094</v>
      </c>
      <c r="J4551" s="156">
        <v>0.0</v>
      </c>
      <c r="K4551" s="154" t="s">
        <v>207</v>
      </c>
    </row>
    <row r="4552">
      <c r="A4552" s="154" t="s">
        <v>9884</v>
      </c>
      <c r="B4552" s="154" t="s">
        <v>9885</v>
      </c>
      <c r="D4552" s="154">
        <v>2.0</v>
      </c>
      <c r="E4552" s="154" t="s">
        <v>761</v>
      </c>
      <c r="F4552" s="154" t="s">
        <v>9886</v>
      </c>
      <c r="G4552" s="156">
        <v>0.0</v>
      </c>
      <c r="H4552" s="156">
        <v>0.0</v>
      </c>
      <c r="I4552" s="154">
        <v>5.04501636E8</v>
      </c>
      <c r="J4552" s="156">
        <v>0.0</v>
      </c>
      <c r="K4552" s="154" t="s">
        <v>361</v>
      </c>
    </row>
    <row r="4553">
      <c r="A4553" s="154" t="s">
        <v>9884</v>
      </c>
      <c r="B4553" s="155"/>
      <c r="C4553" s="154" t="s">
        <v>9885</v>
      </c>
      <c r="D4553" s="155"/>
      <c r="E4553" s="155"/>
      <c r="F4553" s="154" t="s">
        <v>9886</v>
      </c>
      <c r="G4553" s="156">
        <v>0.0</v>
      </c>
      <c r="H4553" s="156">
        <v>0.0</v>
      </c>
      <c r="I4553" s="154">
        <v>5.04501636E8</v>
      </c>
      <c r="J4553" s="156">
        <v>0.0</v>
      </c>
      <c r="K4553" s="154" t="s">
        <v>361</v>
      </c>
    </row>
    <row r="4554">
      <c r="A4554" s="154" t="s">
        <v>9887</v>
      </c>
      <c r="B4554" s="154" t="s">
        <v>9888</v>
      </c>
      <c r="D4554" s="154">
        <v>2.0</v>
      </c>
      <c r="E4554" s="154" t="s">
        <v>761</v>
      </c>
      <c r="F4554" s="154" t="s">
        <v>9889</v>
      </c>
      <c r="G4554" s="154" t="s">
        <v>9890</v>
      </c>
      <c r="H4554" s="154" t="s">
        <v>9891</v>
      </c>
      <c r="I4554" s="154" t="s">
        <v>9892</v>
      </c>
      <c r="J4554" s="154" t="s">
        <v>9893</v>
      </c>
      <c r="K4554" s="154" t="s">
        <v>197</v>
      </c>
    </row>
    <row r="4555">
      <c r="A4555" s="154" t="s">
        <v>9887</v>
      </c>
      <c r="B4555" s="155"/>
      <c r="C4555" s="154" t="s">
        <v>9888</v>
      </c>
      <c r="D4555" s="155"/>
      <c r="E4555" s="155"/>
      <c r="F4555" s="154" t="s">
        <v>9889</v>
      </c>
      <c r="G4555" s="154" t="s">
        <v>9890</v>
      </c>
      <c r="H4555" s="154" t="s">
        <v>9891</v>
      </c>
      <c r="I4555" s="154" t="s">
        <v>9892</v>
      </c>
      <c r="J4555" s="154" t="s">
        <v>9893</v>
      </c>
      <c r="K4555" s="154" t="s">
        <v>197</v>
      </c>
    </row>
    <row r="4556">
      <c r="A4556" s="154" t="s">
        <v>9894</v>
      </c>
      <c r="B4556" s="154" t="s">
        <v>9895</v>
      </c>
      <c r="D4556" s="154">
        <v>2.0</v>
      </c>
      <c r="E4556" s="154" t="s">
        <v>761</v>
      </c>
      <c r="F4556" s="154" t="s">
        <v>9896</v>
      </c>
      <c r="G4556" s="156">
        <v>0.0</v>
      </c>
      <c r="H4556" s="154" t="s">
        <v>9897</v>
      </c>
      <c r="I4556" s="154" t="s">
        <v>943</v>
      </c>
      <c r="J4556" s="154" t="s">
        <v>944</v>
      </c>
      <c r="K4556" s="154" t="s">
        <v>760</v>
      </c>
    </row>
    <row r="4557">
      <c r="A4557" s="154" t="s">
        <v>9894</v>
      </c>
      <c r="B4557" s="155"/>
      <c r="C4557" s="154" t="s">
        <v>9895</v>
      </c>
      <c r="D4557" s="155"/>
      <c r="E4557" s="155"/>
      <c r="F4557" s="154" t="s">
        <v>9896</v>
      </c>
      <c r="G4557" s="156">
        <v>0.0</v>
      </c>
      <c r="H4557" s="154" t="s">
        <v>9897</v>
      </c>
      <c r="I4557" s="154" t="s">
        <v>943</v>
      </c>
      <c r="J4557" s="154" t="s">
        <v>944</v>
      </c>
      <c r="K4557" s="154" t="s">
        <v>760</v>
      </c>
    </row>
    <row r="4558">
      <c r="A4558" s="154" t="s">
        <v>9898</v>
      </c>
      <c r="B4558" s="155"/>
      <c r="C4558" s="154" t="s">
        <v>9899</v>
      </c>
      <c r="D4558" s="155"/>
      <c r="E4558" s="155"/>
      <c r="F4558" s="154" t="s">
        <v>9900</v>
      </c>
      <c r="G4558" s="156">
        <v>0.0</v>
      </c>
      <c r="H4558" s="156">
        <v>0.0</v>
      </c>
      <c r="I4558" s="154" t="s">
        <v>9901</v>
      </c>
      <c r="J4558" s="154" t="s">
        <v>9902</v>
      </c>
      <c r="K4558" s="154" t="s">
        <v>1408</v>
      </c>
    </row>
    <row r="4559">
      <c r="A4559" s="154" t="s">
        <v>9898</v>
      </c>
      <c r="B4559" s="154" t="s">
        <v>9899</v>
      </c>
      <c r="D4559" s="154">
        <v>2.0</v>
      </c>
      <c r="E4559" s="154" t="s">
        <v>761</v>
      </c>
      <c r="F4559" s="154" t="s">
        <v>9900</v>
      </c>
      <c r="G4559" s="156">
        <v>0.0</v>
      </c>
      <c r="H4559" s="156">
        <v>0.0</v>
      </c>
      <c r="I4559" s="154" t="s">
        <v>9901</v>
      </c>
      <c r="J4559" s="154" t="s">
        <v>9902</v>
      </c>
      <c r="K4559" s="154" t="s">
        <v>1408</v>
      </c>
    </row>
    <row r="4560">
      <c r="A4560" s="154" t="s">
        <v>9903</v>
      </c>
      <c r="B4560" s="155"/>
      <c r="C4560" s="154" t="s">
        <v>9904</v>
      </c>
      <c r="D4560" s="155"/>
      <c r="E4560" s="155"/>
      <c r="F4560" s="154" t="s">
        <v>9905</v>
      </c>
      <c r="G4560" s="156">
        <v>0.0</v>
      </c>
      <c r="H4560" s="156">
        <v>0.0</v>
      </c>
      <c r="I4560" s="154">
        <v>0.0</v>
      </c>
      <c r="J4560" s="156">
        <v>0.0</v>
      </c>
      <c r="K4560" s="154" t="s">
        <v>361</v>
      </c>
    </row>
    <row r="4561">
      <c r="A4561" s="154" t="s">
        <v>9903</v>
      </c>
      <c r="B4561" s="154" t="s">
        <v>9904</v>
      </c>
      <c r="D4561" s="154">
        <v>2.0</v>
      </c>
      <c r="E4561" s="154" t="s">
        <v>761</v>
      </c>
      <c r="F4561" s="154" t="s">
        <v>9905</v>
      </c>
      <c r="G4561" s="156">
        <v>0.0</v>
      </c>
      <c r="H4561" s="156">
        <v>0.0</v>
      </c>
      <c r="I4561" s="154">
        <v>0.0</v>
      </c>
      <c r="J4561" s="156">
        <v>0.0</v>
      </c>
      <c r="K4561" s="154" t="s">
        <v>361</v>
      </c>
    </row>
    <row r="4562">
      <c r="A4562" s="154" t="s">
        <v>9906</v>
      </c>
      <c r="B4562" s="155"/>
      <c r="C4562" s="154" t="s">
        <v>9907</v>
      </c>
      <c r="D4562" s="155"/>
      <c r="E4562" s="155"/>
      <c r="F4562" s="154" t="s">
        <v>9908</v>
      </c>
      <c r="G4562" s="156">
        <v>0.0</v>
      </c>
      <c r="H4562" s="154" t="s">
        <v>9909</v>
      </c>
      <c r="I4562" s="154" t="s">
        <v>9910</v>
      </c>
      <c r="J4562" s="156">
        <v>0.0</v>
      </c>
      <c r="K4562" s="154" t="s">
        <v>361</v>
      </c>
    </row>
    <row r="4563">
      <c r="A4563" s="154" t="s">
        <v>9906</v>
      </c>
      <c r="B4563" s="154" t="s">
        <v>9907</v>
      </c>
      <c r="D4563" s="154">
        <v>2.0</v>
      </c>
      <c r="E4563" s="154" t="s">
        <v>761</v>
      </c>
      <c r="F4563" s="154" t="s">
        <v>9911</v>
      </c>
      <c r="G4563" s="156">
        <v>0.0</v>
      </c>
      <c r="H4563" s="156">
        <v>0.0</v>
      </c>
      <c r="I4563" s="154">
        <v>9.71504531227E11</v>
      </c>
      <c r="J4563" s="156">
        <v>0.0</v>
      </c>
      <c r="K4563" s="154" t="s">
        <v>361</v>
      </c>
    </row>
    <row r="4564">
      <c r="A4564" s="154" t="s">
        <v>9912</v>
      </c>
      <c r="B4564" s="155"/>
      <c r="C4564" s="154" t="s">
        <v>9913</v>
      </c>
      <c r="D4564" s="155"/>
      <c r="E4564" s="155"/>
      <c r="F4564" s="154" t="s">
        <v>9914</v>
      </c>
      <c r="G4564" s="156">
        <v>0.0</v>
      </c>
      <c r="H4564" s="156">
        <v>0.0</v>
      </c>
      <c r="I4564" s="154" t="s">
        <v>9915</v>
      </c>
      <c r="J4564" s="154" t="s">
        <v>9916</v>
      </c>
      <c r="K4564" s="154" t="s">
        <v>1731</v>
      </c>
    </row>
    <row r="4565">
      <c r="A4565" s="154" t="s">
        <v>9912</v>
      </c>
      <c r="B4565" s="154" t="s">
        <v>9913</v>
      </c>
      <c r="D4565" s="154">
        <v>2.0</v>
      </c>
      <c r="E4565" s="154" t="s">
        <v>761</v>
      </c>
      <c r="F4565" s="154" t="s">
        <v>9914</v>
      </c>
      <c r="G4565" s="156">
        <v>0.0</v>
      </c>
      <c r="H4565" s="156">
        <v>0.0</v>
      </c>
      <c r="I4565" s="154" t="s">
        <v>9915</v>
      </c>
      <c r="J4565" s="154" t="s">
        <v>9916</v>
      </c>
      <c r="K4565" s="154" t="s">
        <v>1731</v>
      </c>
    </row>
    <row r="4566">
      <c r="A4566" s="154" t="s">
        <v>9917</v>
      </c>
      <c r="B4566" s="154" t="s">
        <v>9918</v>
      </c>
      <c r="D4566" s="154">
        <v>2.0</v>
      </c>
      <c r="E4566" s="154" t="s">
        <v>761</v>
      </c>
      <c r="F4566" s="154" t="s">
        <v>9919</v>
      </c>
      <c r="G4566" s="154">
        <v>0.0</v>
      </c>
      <c r="H4566" s="156">
        <v>0.0</v>
      </c>
      <c r="I4566" s="154">
        <v>5.05500704E8</v>
      </c>
      <c r="J4566" s="156">
        <v>0.0</v>
      </c>
      <c r="K4566" s="154" t="s">
        <v>1731</v>
      </c>
    </row>
    <row r="4567">
      <c r="A4567" s="154" t="s">
        <v>9917</v>
      </c>
      <c r="B4567" s="155"/>
      <c r="C4567" s="154" t="s">
        <v>9918</v>
      </c>
      <c r="D4567" s="155"/>
      <c r="E4567" s="155"/>
      <c r="F4567" s="154" t="s">
        <v>9919</v>
      </c>
      <c r="G4567" s="154">
        <v>0.0</v>
      </c>
      <c r="H4567" s="156">
        <v>0.0</v>
      </c>
      <c r="I4567" s="154">
        <v>5.05500704E8</v>
      </c>
      <c r="J4567" s="156">
        <v>0.0</v>
      </c>
      <c r="K4567" s="154" t="s">
        <v>1731</v>
      </c>
    </row>
    <row r="4568">
      <c r="A4568" s="154" t="s">
        <v>9920</v>
      </c>
      <c r="B4568" s="155"/>
      <c r="C4568" s="154" t="s">
        <v>9921</v>
      </c>
      <c r="D4568" s="155"/>
      <c r="E4568" s="155"/>
      <c r="F4568" s="154" t="s">
        <v>9922</v>
      </c>
      <c r="G4568" s="156">
        <v>0.0</v>
      </c>
      <c r="H4568" s="156">
        <v>0.0</v>
      </c>
      <c r="I4568" s="154">
        <v>9.71502528503E11</v>
      </c>
      <c r="J4568" s="156">
        <v>0.0</v>
      </c>
      <c r="K4568" s="154" t="s">
        <v>259</v>
      </c>
    </row>
    <row r="4569">
      <c r="A4569" s="154" t="s">
        <v>9920</v>
      </c>
      <c r="B4569" s="154" t="s">
        <v>9921</v>
      </c>
      <c r="D4569" s="154">
        <v>2.0</v>
      </c>
      <c r="E4569" s="154" t="s">
        <v>761</v>
      </c>
      <c r="F4569" s="154" t="s">
        <v>9922</v>
      </c>
      <c r="G4569" s="156">
        <v>0.0</v>
      </c>
      <c r="H4569" s="156">
        <v>0.0</v>
      </c>
      <c r="I4569" s="154">
        <v>9.71502528503E11</v>
      </c>
      <c r="J4569" s="156">
        <v>0.0</v>
      </c>
      <c r="K4569" s="154" t="s">
        <v>259</v>
      </c>
    </row>
    <row r="4570">
      <c r="A4570" s="154" t="s">
        <v>9923</v>
      </c>
      <c r="B4570" s="154" t="s">
        <v>9924</v>
      </c>
      <c r="D4570" s="154">
        <v>2.0</v>
      </c>
      <c r="E4570" s="154" t="s">
        <v>761</v>
      </c>
      <c r="F4570" s="154" t="s">
        <v>9925</v>
      </c>
      <c r="G4570" s="156">
        <v>0.0</v>
      </c>
      <c r="H4570" s="154" t="s">
        <v>9926</v>
      </c>
      <c r="I4570" s="154" t="s">
        <v>9927</v>
      </c>
      <c r="J4570" s="154" t="s">
        <v>9928</v>
      </c>
      <c r="K4570" s="154" t="s">
        <v>259</v>
      </c>
    </row>
    <row r="4571">
      <c r="A4571" s="154" t="s">
        <v>9923</v>
      </c>
      <c r="B4571" s="155"/>
      <c r="C4571" s="154" t="s">
        <v>9924</v>
      </c>
      <c r="D4571" s="155"/>
      <c r="E4571" s="155"/>
      <c r="F4571" s="154" t="s">
        <v>9929</v>
      </c>
      <c r="G4571" s="156">
        <v>0.0</v>
      </c>
      <c r="H4571" s="154" t="s">
        <v>9926</v>
      </c>
      <c r="I4571" s="154" t="s">
        <v>9927</v>
      </c>
      <c r="J4571" s="154" t="s">
        <v>9928</v>
      </c>
      <c r="K4571" s="154" t="s">
        <v>301</v>
      </c>
    </row>
    <row r="4572">
      <c r="A4572" s="154" t="s">
        <v>9930</v>
      </c>
      <c r="B4572" s="155"/>
      <c r="C4572" s="154" t="s">
        <v>9931</v>
      </c>
      <c r="D4572" s="155"/>
      <c r="E4572" s="155"/>
      <c r="F4572" s="154" t="s">
        <v>1206</v>
      </c>
      <c r="G4572" s="154" t="s">
        <v>1207</v>
      </c>
      <c r="H4572" s="154" t="s">
        <v>1208</v>
      </c>
      <c r="I4572" s="156">
        <v>0.0</v>
      </c>
      <c r="J4572" s="156">
        <v>0.0</v>
      </c>
      <c r="K4572" s="156">
        <v>0.0</v>
      </c>
    </row>
    <row r="4573">
      <c r="A4573" s="154" t="s">
        <v>9930</v>
      </c>
      <c r="B4573" s="154" t="s">
        <v>9931</v>
      </c>
      <c r="D4573" s="154">
        <v>2.0</v>
      </c>
      <c r="E4573" s="154" t="s">
        <v>761</v>
      </c>
      <c r="F4573" s="154" t="s">
        <v>1206</v>
      </c>
      <c r="G4573" s="154" t="s">
        <v>1207</v>
      </c>
      <c r="H4573" s="154" t="s">
        <v>1208</v>
      </c>
      <c r="I4573" s="156">
        <v>0.0</v>
      </c>
      <c r="J4573" s="156">
        <v>0.0</v>
      </c>
      <c r="K4573" s="156">
        <v>0.0</v>
      </c>
    </row>
    <row r="4574">
      <c r="A4574" s="154" t="s">
        <v>9932</v>
      </c>
      <c r="B4574" s="155"/>
      <c r="C4574" s="154" t="s">
        <v>9933</v>
      </c>
      <c r="D4574" s="155"/>
      <c r="E4574" s="155"/>
      <c r="F4574" s="154" t="s">
        <v>9934</v>
      </c>
      <c r="G4574" s="156">
        <v>0.0</v>
      </c>
      <c r="H4574" s="156">
        <v>0.0</v>
      </c>
      <c r="I4574" s="154" t="s">
        <v>4578</v>
      </c>
      <c r="J4574" s="156">
        <v>0.0</v>
      </c>
      <c r="K4574" s="154" t="s">
        <v>240</v>
      </c>
    </row>
    <row r="4575">
      <c r="A4575" s="154" t="s">
        <v>9932</v>
      </c>
      <c r="B4575" s="154" t="s">
        <v>9933</v>
      </c>
      <c r="D4575" s="154">
        <v>2.0</v>
      </c>
      <c r="E4575" s="154" t="s">
        <v>761</v>
      </c>
      <c r="F4575" s="154" t="s">
        <v>9935</v>
      </c>
      <c r="G4575" s="156">
        <v>0.0</v>
      </c>
      <c r="H4575" s="156">
        <v>0.0</v>
      </c>
      <c r="I4575" s="154" t="s">
        <v>4578</v>
      </c>
      <c r="J4575" s="156">
        <v>0.0</v>
      </c>
      <c r="K4575" s="154" t="s">
        <v>240</v>
      </c>
    </row>
    <row r="4576">
      <c r="A4576" s="154" t="s">
        <v>9936</v>
      </c>
      <c r="B4576" s="154" t="s">
        <v>9937</v>
      </c>
      <c r="D4576" s="154">
        <v>2.0</v>
      </c>
      <c r="E4576" s="154" t="s">
        <v>761</v>
      </c>
      <c r="F4576" s="154" t="s">
        <v>9938</v>
      </c>
      <c r="G4576" s="154">
        <v>9.71505575771E11</v>
      </c>
      <c r="H4576" s="154" t="s">
        <v>9939</v>
      </c>
      <c r="I4576" s="156">
        <v>0.0</v>
      </c>
      <c r="J4576" s="156">
        <v>0.0</v>
      </c>
      <c r="K4576" s="156">
        <v>0.0</v>
      </c>
    </row>
    <row r="4577">
      <c r="A4577" s="154" t="s">
        <v>9936</v>
      </c>
      <c r="B4577" s="155"/>
      <c r="C4577" s="154" t="s">
        <v>9937</v>
      </c>
      <c r="D4577" s="155"/>
      <c r="E4577" s="155"/>
      <c r="F4577" s="154" t="s">
        <v>9940</v>
      </c>
      <c r="G4577" s="154" t="s">
        <v>9941</v>
      </c>
      <c r="H4577" s="154" t="s">
        <v>9942</v>
      </c>
      <c r="I4577" s="154">
        <v>5.06262E8</v>
      </c>
      <c r="J4577" s="156">
        <v>0.0</v>
      </c>
      <c r="K4577" s="154" t="s">
        <v>207</v>
      </c>
    </row>
    <row r="4578">
      <c r="A4578" s="154" t="s">
        <v>9943</v>
      </c>
      <c r="B4578" s="155"/>
      <c r="C4578" s="154" t="s">
        <v>9944</v>
      </c>
      <c r="D4578" s="155"/>
      <c r="E4578" s="155"/>
      <c r="F4578" s="154" t="s">
        <v>9945</v>
      </c>
      <c r="G4578" s="154" t="s">
        <v>5997</v>
      </c>
      <c r="H4578" s="154" t="s">
        <v>9946</v>
      </c>
      <c r="I4578" s="154" t="s">
        <v>5999</v>
      </c>
      <c r="J4578" s="156">
        <v>0.0</v>
      </c>
      <c r="K4578" s="154" t="s">
        <v>760</v>
      </c>
    </row>
    <row r="4579">
      <c r="A4579" s="154" t="s">
        <v>9943</v>
      </c>
      <c r="B4579" s="154" t="s">
        <v>9944</v>
      </c>
      <c r="D4579" s="154">
        <v>2.0</v>
      </c>
      <c r="E4579" s="154" t="s">
        <v>761</v>
      </c>
      <c r="F4579" s="154" t="s">
        <v>9945</v>
      </c>
      <c r="G4579" s="154" t="s">
        <v>5997</v>
      </c>
      <c r="H4579" s="154" t="s">
        <v>9946</v>
      </c>
      <c r="I4579" s="154" t="s">
        <v>5999</v>
      </c>
      <c r="J4579" s="156">
        <v>0.0</v>
      </c>
      <c r="K4579" s="154" t="s">
        <v>760</v>
      </c>
    </row>
    <row r="4580">
      <c r="A4580" s="154" t="s">
        <v>9947</v>
      </c>
      <c r="B4580" s="155"/>
      <c r="C4580" s="154" t="s">
        <v>9948</v>
      </c>
      <c r="D4580" s="155"/>
      <c r="E4580" s="155"/>
      <c r="F4580" s="154" t="s">
        <v>9949</v>
      </c>
      <c r="G4580" s="154">
        <v>4.3245846E7</v>
      </c>
      <c r="H4580" s="156">
        <v>0.0</v>
      </c>
      <c r="I4580" s="154">
        <v>5.06251E7</v>
      </c>
      <c r="J4580" s="156">
        <v>0.0</v>
      </c>
      <c r="K4580" s="154" t="s">
        <v>1461</v>
      </c>
    </row>
    <row r="4581">
      <c r="A4581" s="154" t="s">
        <v>9947</v>
      </c>
      <c r="B4581" s="154" t="s">
        <v>9948</v>
      </c>
      <c r="C4581" s="155"/>
      <c r="D4581" s="154">
        <v>2.0</v>
      </c>
      <c r="E4581" s="154" t="s">
        <v>897</v>
      </c>
      <c r="F4581" s="154" t="s">
        <v>9949</v>
      </c>
      <c r="G4581" s="154">
        <v>4.3245846E7</v>
      </c>
      <c r="H4581" s="156">
        <v>0.0</v>
      </c>
      <c r="I4581" s="154">
        <v>5.06251E7</v>
      </c>
      <c r="J4581" s="156">
        <v>0.0</v>
      </c>
      <c r="K4581" s="154" t="s">
        <v>1461</v>
      </c>
    </row>
    <row r="4582">
      <c r="A4582" s="154" t="s">
        <v>9950</v>
      </c>
      <c r="B4582" s="154" t="s">
        <v>9951</v>
      </c>
      <c r="C4582" s="155"/>
      <c r="D4582" s="154">
        <v>2.0</v>
      </c>
      <c r="E4582" s="154" t="s">
        <v>897</v>
      </c>
      <c r="F4582" s="154" t="s">
        <v>9952</v>
      </c>
      <c r="G4582" s="154">
        <v>5.08020481E8</v>
      </c>
      <c r="H4582" s="154" t="s">
        <v>9953</v>
      </c>
      <c r="I4582" s="156">
        <v>0.0</v>
      </c>
      <c r="J4582" s="156">
        <v>0.0</v>
      </c>
      <c r="K4582" s="156">
        <v>0.0</v>
      </c>
    </row>
    <row r="4583">
      <c r="A4583" s="154" t="s">
        <v>9950</v>
      </c>
      <c r="B4583" s="155"/>
      <c r="C4583" s="154" t="s">
        <v>9951</v>
      </c>
      <c r="D4583" s="155"/>
      <c r="E4583" s="155"/>
      <c r="F4583" s="154" t="s">
        <v>9954</v>
      </c>
      <c r="G4583" s="156">
        <v>0.0</v>
      </c>
      <c r="H4583" s="154" t="s">
        <v>9953</v>
      </c>
      <c r="I4583" s="154" t="s">
        <v>9955</v>
      </c>
      <c r="J4583" s="154" t="s">
        <v>9956</v>
      </c>
      <c r="K4583" s="154" t="s">
        <v>206</v>
      </c>
    </row>
    <row r="4584">
      <c r="A4584" s="154" t="s">
        <v>9957</v>
      </c>
      <c r="B4584" s="154" t="s">
        <v>9958</v>
      </c>
      <c r="C4584" s="155"/>
      <c r="D4584" s="154">
        <v>2.0</v>
      </c>
      <c r="E4584" s="154" t="s">
        <v>897</v>
      </c>
      <c r="F4584" s="154" t="s">
        <v>5588</v>
      </c>
      <c r="G4584" s="154">
        <v>0.0</v>
      </c>
      <c r="H4584" s="156">
        <v>0.0</v>
      </c>
      <c r="I4584" s="154">
        <v>9.71506661884E11</v>
      </c>
      <c r="J4584" s="156">
        <v>0.0</v>
      </c>
      <c r="K4584" s="154" t="s">
        <v>207</v>
      </c>
    </row>
    <row r="4585">
      <c r="A4585" s="154" t="s">
        <v>9957</v>
      </c>
      <c r="B4585" s="155"/>
      <c r="C4585" s="154" t="s">
        <v>9958</v>
      </c>
      <c r="D4585" s="155"/>
      <c r="E4585" s="155"/>
      <c r="F4585" s="154" t="s">
        <v>5588</v>
      </c>
      <c r="G4585" s="154">
        <v>0.0</v>
      </c>
      <c r="H4585" s="156">
        <v>0.0</v>
      </c>
      <c r="I4585" s="154">
        <v>9.71506661884E11</v>
      </c>
      <c r="J4585" s="156">
        <v>0.0</v>
      </c>
      <c r="K4585" s="154" t="s">
        <v>207</v>
      </c>
    </row>
    <row r="4586">
      <c r="A4586" s="154" t="s">
        <v>9959</v>
      </c>
      <c r="B4586" s="155"/>
      <c r="C4586" s="154" t="s">
        <v>9960</v>
      </c>
      <c r="D4586" s="155"/>
      <c r="E4586" s="155"/>
      <c r="F4586" s="154" t="s">
        <v>9961</v>
      </c>
      <c r="G4586" s="156">
        <v>0.0</v>
      </c>
      <c r="H4586" s="156">
        <v>0.0</v>
      </c>
      <c r="I4586" s="154">
        <v>5.66068265E8</v>
      </c>
      <c r="J4586" s="156">
        <v>0.0</v>
      </c>
      <c r="K4586" s="154" t="s">
        <v>361</v>
      </c>
    </row>
    <row r="4587">
      <c r="A4587" s="154" t="s">
        <v>9959</v>
      </c>
      <c r="B4587" s="154" t="s">
        <v>9960</v>
      </c>
      <c r="C4587" s="155"/>
      <c r="D4587" s="154">
        <v>2.0</v>
      </c>
      <c r="E4587" s="154" t="s">
        <v>897</v>
      </c>
      <c r="F4587" s="154" t="s">
        <v>9961</v>
      </c>
      <c r="G4587" s="156">
        <v>0.0</v>
      </c>
      <c r="H4587" s="156">
        <v>0.0</v>
      </c>
      <c r="I4587" s="154">
        <v>5.66068265E8</v>
      </c>
      <c r="J4587" s="156">
        <v>0.0</v>
      </c>
      <c r="K4587" s="154" t="s">
        <v>361</v>
      </c>
    </row>
    <row r="4588">
      <c r="A4588" s="154" t="s">
        <v>9962</v>
      </c>
      <c r="B4588" s="154" t="s">
        <v>9963</v>
      </c>
      <c r="C4588" s="155"/>
      <c r="D4588" s="154">
        <v>2.0</v>
      </c>
      <c r="E4588" s="154" t="s">
        <v>897</v>
      </c>
      <c r="F4588" s="154" t="s">
        <v>792</v>
      </c>
      <c r="G4588" s="154" t="s">
        <v>793</v>
      </c>
      <c r="H4588" s="154" t="s">
        <v>794</v>
      </c>
      <c r="I4588" s="156">
        <v>0.0</v>
      </c>
      <c r="J4588" s="156">
        <v>0.0</v>
      </c>
      <c r="K4588" s="156">
        <v>0.0</v>
      </c>
    </row>
    <row r="4589">
      <c r="A4589" s="154" t="s">
        <v>9962</v>
      </c>
      <c r="B4589" s="155"/>
      <c r="C4589" s="154" t="s">
        <v>9963</v>
      </c>
      <c r="D4589" s="155"/>
      <c r="E4589" s="155"/>
      <c r="F4589" s="154" t="s">
        <v>792</v>
      </c>
      <c r="G4589" s="154" t="s">
        <v>793</v>
      </c>
      <c r="H4589" s="154" t="s">
        <v>794</v>
      </c>
      <c r="I4589" s="156">
        <v>0.0</v>
      </c>
      <c r="J4589" s="156">
        <v>0.0</v>
      </c>
      <c r="K4589" s="156">
        <v>0.0</v>
      </c>
    </row>
    <row r="4590">
      <c r="A4590" s="154" t="s">
        <v>9964</v>
      </c>
      <c r="B4590" s="154" t="s">
        <v>9965</v>
      </c>
      <c r="C4590" s="155"/>
      <c r="D4590" s="154">
        <v>2.0</v>
      </c>
      <c r="E4590" s="154" t="s">
        <v>897</v>
      </c>
      <c r="F4590" s="154" t="s">
        <v>9966</v>
      </c>
      <c r="G4590" s="156">
        <v>0.0</v>
      </c>
      <c r="H4590" s="156">
        <v>0.0</v>
      </c>
      <c r="I4590" s="156">
        <v>0.0</v>
      </c>
      <c r="J4590" s="156">
        <v>0.0</v>
      </c>
      <c r="K4590" s="154" t="s">
        <v>240</v>
      </c>
    </row>
    <row r="4591">
      <c r="A4591" s="154" t="s">
        <v>9964</v>
      </c>
      <c r="B4591" s="155"/>
      <c r="C4591" s="154" t="s">
        <v>9965</v>
      </c>
      <c r="D4591" s="155"/>
      <c r="E4591" s="155"/>
      <c r="F4591" s="154" t="s">
        <v>9966</v>
      </c>
      <c r="G4591" s="156">
        <v>0.0</v>
      </c>
      <c r="H4591" s="156">
        <v>0.0</v>
      </c>
      <c r="I4591" s="156">
        <v>0.0</v>
      </c>
      <c r="J4591" s="156">
        <v>0.0</v>
      </c>
      <c r="K4591" s="154" t="s">
        <v>240</v>
      </c>
    </row>
    <row r="4592">
      <c r="A4592" s="154" t="s">
        <v>9967</v>
      </c>
      <c r="B4592" s="154" t="s">
        <v>9968</v>
      </c>
      <c r="C4592" s="155"/>
      <c r="D4592" s="154">
        <v>2.0</v>
      </c>
      <c r="E4592" s="154" t="s">
        <v>897</v>
      </c>
      <c r="F4592" s="154" t="s">
        <v>9969</v>
      </c>
      <c r="G4592" s="156">
        <v>0.0</v>
      </c>
      <c r="H4592" s="156">
        <v>0.0</v>
      </c>
      <c r="I4592" s="154" t="s">
        <v>9970</v>
      </c>
      <c r="J4592" s="156">
        <v>0.0</v>
      </c>
      <c r="K4592" s="154" t="s">
        <v>361</v>
      </c>
    </row>
    <row r="4593">
      <c r="A4593" s="154" t="s">
        <v>9967</v>
      </c>
      <c r="B4593" s="155"/>
      <c r="C4593" s="154" t="s">
        <v>9968</v>
      </c>
      <c r="D4593" s="155"/>
      <c r="E4593" s="155"/>
      <c r="F4593" s="154" t="s">
        <v>9969</v>
      </c>
      <c r="G4593" s="156">
        <v>0.0</v>
      </c>
      <c r="H4593" s="156">
        <v>0.0</v>
      </c>
      <c r="I4593" s="154" t="s">
        <v>9970</v>
      </c>
      <c r="J4593" s="156">
        <v>0.0</v>
      </c>
      <c r="K4593" s="154" t="s">
        <v>361</v>
      </c>
    </row>
    <row r="4594">
      <c r="A4594" s="154" t="s">
        <v>9971</v>
      </c>
      <c r="B4594" s="154" t="s">
        <v>9972</v>
      </c>
      <c r="C4594" s="155"/>
      <c r="D4594" s="154">
        <v>2.0</v>
      </c>
      <c r="E4594" s="154" t="s">
        <v>897</v>
      </c>
      <c r="F4594" s="154" t="s">
        <v>9973</v>
      </c>
      <c r="G4594" s="154">
        <v>4.363995E7</v>
      </c>
      <c r="H4594" s="154" t="s">
        <v>9974</v>
      </c>
      <c r="I4594" s="154">
        <v>5.06299308E8</v>
      </c>
      <c r="J4594" s="156">
        <v>0.0</v>
      </c>
      <c r="K4594" s="154" t="s">
        <v>1537</v>
      </c>
    </row>
    <row r="4595">
      <c r="A4595" s="154" t="s">
        <v>9971</v>
      </c>
      <c r="B4595" s="155"/>
      <c r="C4595" s="154" t="s">
        <v>9972</v>
      </c>
      <c r="D4595" s="155"/>
      <c r="E4595" s="155"/>
      <c r="F4595" s="154" t="s">
        <v>9973</v>
      </c>
      <c r="G4595" s="154">
        <v>4.363995E7</v>
      </c>
      <c r="H4595" s="154" t="s">
        <v>9974</v>
      </c>
      <c r="I4595" s="154">
        <v>5.06299308E8</v>
      </c>
      <c r="J4595" s="156">
        <v>0.0</v>
      </c>
      <c r="K4595" s="154" t="s">
        <v>1537</v>
      </c>
    </row>
    <row r="4596">
      <c r="A4596" s="154" t="s">
        <v>9975</v>
      </c>
      <c r="B4596" s="155"/>
      <c r="C4596" s="154" t="s">
        <v>9976</v>
      </c>
      <c r="D4596" s="155"/>
      <c r="E4596" s="155"/>
      <c r="F4596" s="154" t="s">
        <v>7125</v>
      </c>
      <c r="G4596" s="154">
        <v>0.0</v>
      </c>
      <c r="H4596" s="156">
        <v>0.0</v>
      </c>
      <c r="I4596" s="154">
        <v>9.71506248019E11</v>
      </c>
      <c r="J4596" s="156">
        <v>0.0</v>
      </c>
      <c r="K4596" s="154" t="s">
        <v>361</v>
      </c>
    </row>
    <row r="4597">
      <c r="A4597" s="154" t="s">
        <v>9975</v>
      </c>
      <c r="B4597" s="154" t="s">
        <v>9976</v>
      </c>
      <c r="C4597" s="155"/>
      <c r="D4597" s="154">
        <v>2.0</v>
      </c>
      <c r="E4597" s="154" t="s">
        <v>897</v>
      </c>
      <c r="F4597" s="154" t="s">
        <v>9977</v>
      </c>
      <c r="G4597" s="154">
        <v>0.0</v>
      </c>
      <c r="H4597" s="156">
        <v>0.0</v>
      </c>
      <c r="I4597" s="154">
        <v>9.71506247969E11</v>
      </c>
      <c r="J4597" s="156">
        <v>0.0</v>
      </c>
      <c r="K4597" s="154" t="s">
        <v>361</v>
      </c>
    </row>
    <row r="4598">
      <c r="A4598" s="154" t="s">
        <v>9978</v>
      </c>
      <c r="B4598" s="155"/>
      <c r="C4598" s="154" t="s">
        <v>9979</v>
      </c>
      <c r="D4598" s="155"/>
      <c r="E4598" s="155"/>
      <c r="F4598" s="154" t="s">
        <v>9980</v>
      </c>
      <c r="G4598" s="156">
        <v>0.0</v>
      </c>
      <c r="H4598" s="156">
        <v>0.0</v>
      </c>
      <c r="I4598" s="154" t="s">
        <v>9981</v>
      </c>
      <c r="J4598" s="154" t="s">
        <v>9982</v>
      </c>
      <c r="K4598" s="154" t="s">
        <v>846</v>
      </c>
    </row>
    <row r="4599">
      <c r="A4599" s="154" t="s">
        <v>9978</v>
      </c>
      <c r="B4599" s="154" t="s">
        <v>9979</v>
      </c>
      <c r="C4599" s="155"/>
      <c r="D4599" s="154">
        <v>2.0</v>
      </c>
      <c r="E4599" s="154" t="s">
        <v>897</v>
      </c>
      <c r="F4599" s="154" t="s">
        <v>9983</v>
      </c>
      <c r="G4599" s="154">
        <v>4.0</v>
      </c>
      <c r="H4599" s="156">
        <v>0.0</v>
      </c>
      <c r="I4599" s="154">
        <v>5.03073311E8</v>
      </c>
      <c r="J4599" s="156">
        <v>0.0</v>
      </c>
      <c r="K4599" s="154" t="s">
        <v>846</v>
      </c>
    </row>
    <row r="4600">
      <c r="A4600" s="154" t="s">
        <v>9984</v>
      </c>
      <c r="B4600" s="154" t="s">
        <v>9985</v>
      </c>
      <c r="C4600" s="155"/>
      <c r="D4600" s="154">
        <v>2.0</v>
      </c>
      <c r="E4600" s="154" t="s">
        <v>897</v>
      </c>
      <c r="F4600" s="154" t="s">
        <v>9986</v>
      </c>
      <c r="G4600" s="156">
        <v>0.0</v>
      </c>
      <c r="H4600" s="156">
        <v>0.0</v>
      </c>
      <c r="I4600" s="154" t="s">
        <v>9987</v>
      </c>
      <c r="J4600" s="156">
        <v>0.0</v>
      </c>
      <c r="K4600" s="154" t="s">
        <v>914</v>
      </c>
    </row>
    <row r="4601">
      <c r="A4601" s="154" t="s">
        <v>9984</v>
      </c>
      <c r="B4601" s="155"/>
      <c r="C4601" s="154" t="s">
        <v>9985</v>
      </c>
      <c r="D4601" s="155"/>
      <c r="E4601" s="155"/>
      <c r="F4601" s="154" t="s">
        <v>9986</v>
      </c>
      <c r="G4601" s="156">
        <v>0.0</v>
      </c>
      <c r="H4601" s="156">
        <v>0.0</v>
      </c>
      <c r="I4601" s="154" t="s">
        <v>9987</v>
      </c>
      <c r="J4601" s="156">
        <v>0.0</v>
      </c>
      <c r="K4601" s="154" t="s">
        <v>914</v>
      </c>
    </row>
    <row r="4602">
      <c r="A4602" s="154" t="s">
        <v>9988</v>
      </c>
      <c r="B4602" s="154" t="s">
        <v>9989</v>
      </c>
      <c r="C4602" s="155"/>
      <c r="D4602" s="154">
        <v>2.0</v>
      </c>
      <c r="E4602" s="154" t="s">
        <v>897</v>
      </c>
      <c r="F4602" s="154" t="s">
        <v>9990</v>
      </c>
      <c r="G4602" s="154" t="s">
        <v>9991</v>
      </c>
      <c r="H4602" s="154" t="s">
        <v>9992</v>
      </c>
      <c r="I4602" s="154" t="s">
        <v>9993</v>
      </c>
      <c r="J4602" s="156">
        <v>0.0</v>
      </c>
      <c r="K4602" s="154" t="s">
        <v>760</v>
      </c>
    </row>
    <row r="4603">
      <c r="A4603" s="154" t="s">
        <v>9988</v>
      </c>
      <c r="B4603" s="155"/>
      <c r="C4603" s="154" t="s">
        <v>9989</v>
      </c>
      <c r="D4603" s="155"/>
      <c r="E4603" s="155"/>
      <c r="F4603" s="154" t="s">
        <v>9994</v>
      </c>
      <c r="G4603" s="154" t="s">
        <v>9995</v>
      </c>
      <c r="H4603" s="154" t="s">
        <v>9992</v>
      </c>
      <c r="I4603" s="154" t="s">
        <v>9996</v>
      </c>
      <c r="J4603" s="156">
        <v>0.0</v>
      </c>
      <c r="K4603" s="154" t="s">
        <v>9997</v>
      </c>
    </row>
    <row r="4604">
      <c r="A4604" s="154" t="s">
        <v>9998</v>
      </c>
      <c r="B4604" s="154" t="s">
        <v>9999</v>
      </c>
      <c r="C4604" s="155"/>
      <c r="D4604" s="154">
        <v>2.0</v>
      </c>
      <c r="E4604" s="154" t="s">
        <v>897</v>
      </c>
      <c r="F4604" s="154" t="s">
        <v>10000</v>
      </c>
      <c r="G4604" s="156">
        <v>0.0</v>
      </c>
      <c r="H4604" s="156">
        <v>0.0</v>
      </c>
      <c r="I4604" s="154">
        <v>5.06529055E8</v>
      </c>
      <c r="J4604" s="156">
        <v>0.0</v>
      </c>
      <c r="K4604" s="154" t="s">
        <v>2581</v>
      </c>
    </row>
    <row r="4605">
      <c r="A4605" s="154" t="s">
        <v>9998</v>
      </c>
      <c r="B4605" s="155"/>
      <c r="C4605" s="154" t="s">
        <v>9999</v>
      </c>
      <c r="D4605" s="155"/>
      <c r="E4605" s="155"/>
      <c r="F4605" s="154" t="s">
        <v>10000</v>
      </c>
      <c r="G4605" s="156">
        <v>0.0</v>
      </c>
      <c r="H4605" s="156">
        <v>0.0</v>
      </c>
      <c r="I4605" s="154">
        <v>5.06529055E8</v>
      </c>
      <c r="J4605" s="156">
        <v>0.0</v>
      </c>
      <c r="K4605" s="154" t="s">
        <v>2581</v>
      </c>
    </row>
    <row r="4606">
      <c r="A4606" s="154" t="s">
        <v>10001</v>
      </c>
      <c r="B4606" s="155"/>
      <c r="C4606" s="154" t="s">
        <v>10002</v>
      </c>
      <c r="D4606" s="155"/>
      <c r="E4606" s="155"/>
      <c r="F4606" s="154" t="s">
        <v>10003</v>
      </c>
      <c r="G4606" s="156">
        <v>0.0</v>
      </c>
      <c r="H4606" s="156">
        <v>0.0</v>
      </c>
      <c r="I4606" s="154" t="s">
        <v>10004</v>
      </c>
      <c r="J4606" s="154" t="s">
        <v>10005</v>
      </c>
      <c r="K4606" s="154" t="s">
        <v>760</v>
      </c>
    </row>
    <row r="4607">
      <c r="A4607" s="154" t="s">
        <v>10001</v>
      </c>
      <c r="B4607" s="154" t="s">
        <v>10002</v>
      </c>
      <c r="C4607" s="155"/>
      <c r="D4607" s="154">
        <v>2.0</v>
      </c>
      <c r="E4607" s="154" t="s">
        <v>897</v>
      </c>
      <c r="F4607" s="154" t="s">
        <v>10003</v>
      </c>
      <c r="G4607" s="156">
        <v>0.0</v>
      </c>
      <c r="H4607" s="156">
        <v>0.0</v>
      </c>
      <c r="I4607" s="154" t="s">
        <v>10004</v>
      </c>
      <c r="J4607" s="154" t="s">
        <v>10005</v>
      </c>
      <c r="K4607" s="154" t="s">
        <v>760</v>
      </c>
    </row>
    <row r="4608">
      <c r="A4608" s="154" t="s">
        <v>10006</v>
      </c>
      <c r="B4608" s="154" t="s">
        <v>10007</v>
      </c>
      <c r="C4608" s="155"/>
      <c r="D4608" s="154">
        <v>2.0</v>
      </c>
      <c r="E4608" s="154" t="s">
        <v>897</v>
      </c>
      <c r="F4608" s="154" t="s">
        <v>1619</v>
      </c>
      <c r="G4608" s="154">
        <v>4.3903333E7</v>
      </c>
      <c r="H4608" s="154" t="s">
        <v>1620</v>
      </c>
      <c r="I4608" s="156">
        <v>0.0</v>
      </c>
      <c r="J4608" s="156">
        <v>0.0</v>
      </c>
      <c r="K4608" s="156">
        <v>0.0</v>
      </c>
    </row>
    <row r="4609">
      <c r="A4609" s="154" t="s">
        <v>10006</v>
      </c>
      <c r="B4609" s="155"/>
      <c r="C4609" s="154" t="s">
        <v>10007</v>
      </c>
      <c r="D4609" s="155"/>
      <c r="E4609" s="155"/>
      <c r="F4609" s="154" t="s">
        <v>10008</v>
      </c>
      <c r="G4609" s="156">
        <v>0.0</v>
      </c>
      <c r="H4609" s="154" t="s">
        <v>10009</v>
      </c>
      <c r="I4609" s="154" t="s">
        <v>10010</v>
      </c>
      <c r="J4609" s="156">
        <v>0.0</v>
      </c>
      <c r="K4609" s="154" t="s">
        <v>776</v>
      </c>
    </row>
    <row r="4610">
      <c r="A4610" s="154" t="s">
        <v>10011</v>
      </c>
      <c r="B4610" s="154" t="s">
        <v>10012</v>
      </c>
      <c r="C4610" s="155"/>
      <c r="D4610" s="154">
        <v>2.0</v>
      </c>
      <c r="E4610" s="154" t="s">
        <v>897</v>
      </c>
      <c r="F4610" s="154" t="s">
        <v>10013</v>
      </c>
      <c r="G4610" s="156">
        <v>0.0</v>
      </c>
      <c r="H4610" s="154" t="s">
        <v>10014</v>
      </c>
      <c r="I4610" s="154" t="s">
        <v>10015</v>
      </c>
      <c r="J4610" s="156">
        <v>0.0</v>
      </c>
      <c r="K4610" s="154" t="s">
        <v>361</v>
      </c>
    </row>
    <row r="4611">
      <c r="A4611" s="154" t="s">
        <v>10011</v>
      </c>
      <c r="B4611" s="155"/>
      <c r="C4611" s="154" t="s">
        <v>10012</v>
      </c>
      <c r="D4611" s="155"/>
      <c r="E4611" s="155"/>
      <c r="F4611" s="154" t="s">
        <v>10013</v>
      </c>
      <c r="G4611" s="156">
        <v>0.0</v>
      </c>
      <c r="H4611" s="154" t="s">
        <v>10014</v>
      </c>
      <c r="I4611" s="154" t="s">
        <v>10015</v>
      </c>
      <c r="J4611" s="156">
        <v>0.0</v>
      </c>
      <c r="K4611" s="154" t="s">
        <v>361</v>
      </c>
    </row>
    <row r="4612">
      <c r="A4612" s="154" t="s">
        <v>10016</v>
      </c>
      <c r="B4612" s="155"/>
      <c r="C4612" s="154" t="s">
        <v>10017</v>
      </c>
      <c r="D4612" s="155"/>
      <c r="E4612" s="155"/>
      <c r="F4612" s="154" t="s">
        <v>10018</v>
      </c>
      <c r="G4612" s="154">
        <v>4.44539E7</v>
      </c>
      <c r="H4612" s="156">
        <v>0.0</v>
      </c>
      <c r="I4612" s="154">
        <v>1.0</v>
      </c>
      <c r="J4612" s="156">
        <v>0.0</v>
      </c>
      <c r="K4612" s="154" t="s">
        <v>2498</v>
      </c>
    </row>
    <row r="4613">
      <c r="A4613" s="154" t="s">
        <v>10016</v>
      </c>
      <c r="B4613" s="154" t="s">
        <v>10017</v>
      </c>
      <c r="C4613" s="155"/>
      <c r="D4613" s="154">
        <v>2.0</v>
      </c>
      <c r="E4613" s="154" t="s">
        <v>897</v>
      </c>
      <c r="F4613" s="154" t="s">
        <v>10018</v>
      </c>
      <c r="G4613" s="154">
        <v>4.44539E7</v>
      </c>
      <c r="H4613" s="156">
        <v>0.0</v>
      </c>
      <c r="I4613" s="154">
        <v>1.0</v>
      </c>
      <c r="J4613" s="156">
        <v>0.0</v>
      </c>
      <c r="K4613" s="154" t="s">
        <v>2498</v>
      </c>
    </row>
    <row r="4614">
      <c r="A4614" s="154" t="s">
        <v>10019</v>
      </c>
      <c r="B4614" s="154" t="s">
        <v>10020</v>
      </c>
      <c r="C4614" s="155"/>
      <c r="D4614" s="154">
        <v>2.0</v>
      </c>
      <c r="E4614" s="154" t="s">
        <v>897</v>
      </c>
      <c r="F4614" s="154" t="s">
        <v>10021</v>
      </c>
      <c r="G4614" s="154">
        <v>971.0</v>
      </c>
      <c r="H4614" s="154" t="s">
        <v>10022</v>
      </c>
      <c r="I4614" s="154" t="s">
        <v>6215</v>
      </c>
      <c r="J4614" s="154" t="s">
        <v>10023</v>
      </c>
      <c r="K4614" s="154" t="s">
        <v>1490</v>
      </c>
    </row>
    <row r="4615">
      <c r="A4615" s="154" t="s">
        <v>10019</v>
      </c>
      <c r="B4615" s="155"/>
      <c r="C4615" s="154" t="s">
        <v>10020</v>
      </c>
      <c r="D4615" s="155"/>
      <c r="E4615" s="155"/>
      <c r="F4615" s="154" t="s">
        <v>10021</v>
      </c>
      <c r="G4615" s="154">
        <v>971.0</v>
      </c>
      <c r="H4615" s="154" t="s">
        <v>10022</v>
      </c>
      <c r="I4615" s="154" t="s">
        <v>6215</v>
      </c>
      <c r="J4615" s="154" t="s">
        <v>10023</v>
      </c>
      <c r="K4615" s="154" t="s">
        <v>1490</v>
      </c>
    </row>
    <row r="4616">
      <c r="A4616" s="154" t="s">
        <v>10024</v>
      </c>
      <c r="B4616" s="154" t="s">
        <v>10025</v>
      </c>
      <c r="C4616" s="155"/>
      <c r="D4616" s="154">
        <v>2.0</v>
      </c>
      <c r="E4616" s="154" t="s">
        <v>897</v>
      </c>
      <c r="F4616" s="154" t="s">
        <v>10026</v>
      </c>
      <c r="G4616" s="156">
        <v>0.0</v>
      </c>
      <c r="H4616" s="156">
        <v>0.0</v>
      </c>
      <c r="I4616" s="154" t="s">
        <v>10027</v>
      </c>
      <c r="J4616" s="156">
        <v>0.0</v>
      </c>
      <c r="K4616" s="154" t="s">
        <v>776</v>
      </c>
    </row>
    <row r="4617">
      <c r="A4617" s="154" t="s">
        <v>10024</v>
      </c>
      <c r="B4617" s="155"/>
      <c r="C4617" s="154" t="s">
        <v>10025</v>
      </c>
      <c r="D4617" s="155"/>
      <c r="E4617" s="155"/>
      <c r="F4617" s="154" t="s">
        <v>10026</v>
      </c>
      <c r="G4617" s="156">
        <v>0.0</v>
      </c>
      <c r="H4617" s="156">
        <v>0.0</v>
      </c>
      <c r="I4617" s="154" t="s">
        <v>10027</v>
      </c>
      <c r="J4617" s="156">
        <v>0.0</v>
      </c>
      <c r="K4617" s="154" t="s">
        <v>776</v>
      </c>
    </row>
    <row r="4618">
      <c r="A4618" s="154" t="s">
        <v>10028</v>
      </c>
      <c r="B4618" s="155"/>
      <c r="C4618" s="154" t="s">
        <v>10029</v>
      </c>
      <c r="D4618" s="155"/>
      <c r="E4618" s="155"/>
      <c r="F4618" s="154" t="s">
        <v>10030</v>
      </c>
      <c r="G4618" s="156">
        <v>0.0</v>
      </c>
      <c r="H4618" s="154" t="s">
        <v>10031</v>
      </c>
      <c r="I4618" s="154" t="s">
        <v>10032</v>
      </c>
      <c r="J4618" s="156">
        <v>0.0</v>
      </c>
      <c r="K4618" s="154" t="s">
        <v>361</v>
      </c>
    </row>
    <row r="4619">
      <c r="A4619" s="154" t="s">
        <v>10028</v>
      </c>
      <c r="B4619" s="154" t="s">
        <v>10029</v>
      </c>
      <c r="C4619" s="155"/>
      <c r="D4619" s="154">
        <v>2.0</v>
      </c>
      <c r="E4619" s="154" t="s">
        <v>897</v>
      </c>
      <c r="F4619" s="154" t="s">
        <v>10030</v>
      </c>
      <c r="G4619" s="156">
        <v>0.0</v>
      </c>
      <c r="H4619" s="154" t="s">
        <v>10031</v>
      </c>
      <c r="I4619" s="154" t="s">
        <v>10032</v>
      </c>
      <c r="J4619" s="156">
        <v>0.0</v>
      </c>
      <c r="K4619" s="154" t="s">
        <v>361</v>
      </c>
    </row>
    <row r="4620">
      <c r="A4620" s="154" t="s">
        <v>10033</v>
      </c>
      <c r="B4620" s="155"/>
      <c r="C4620" s="154" t="s">
        <v>10034</v>
      </c>
      <c r="D4620" s="155"/>
      <c r="E4620" s="155"/>
      <c r="F4620" s="154" t="s">
        <v>10035</v>
      </c>
      <c r="G4620" s="154" t="s">
        <v>10036</v>
      </c>
      <c r="H4620" s="154" t="s">
        <v>10037</v>
      </c>
      <c r="I4620" s="154" t="s">
        <v>10038</v>
      </c>
      <c r="J4620" s="154" t="s">
        <v>10039</v>
      </c>
      <c r="K4620" s="154" t="s">
        <v>361</v>
      </c>
    </row>
    <row r="4621">
      <c r="A4621" s="154" t="s">
        <v>10033</v>
      </c>
      <c r="B4621" s="154" t="s">
        <v>10034</v>
      </c>
      <c r="C4621" s="155"/>
      <c r="D4621" s="154">
        <v>2.0</v>
      </c>
      <c r="E4621" s="154" t="s">
        <v>897</v>
      </c>
      <c r="F4621" s="154" t="s">
        <v>10035</v>
      </c>
      <c r="G4621" s="154" t="s">
        <v>10036</v>
      </c>
      <c r="H4621" s="154" t="s">
        <v>10037</v>
      </c>
      <c r="I4621" s="154" t="s">
        <v>10038</v>
      </c>
      <c r="J4621" s="154" t="s">
        <v>10039</v>
      </c>
      <c r="K4621" s="154" t="s">
        <v>361</v>
      </c>
    </row>
    <row r="4622">
      <c r="A4622" s="154" t="s">
        <v>10040</v>
      </c>
      <c r="B4622" s="155"/>
      <c r="C4622" s="154" t="s">
        <v>10041</v>
      </c>
      <c r="D4622" s="155"/>
      <c r="E4622" s="155"/>
      <c r="F4622" s="154" t="s">
        <v>10042</v>
      </c>
      <c r="G4622" s="154">
        <v>1.0</v>
      </c>
      <c r="H4622" s="156">
        <v>0.0</v>
      </c>
      <c r="I4622" s="154">
        <v>9.71505580189E11</v>
      </c>
      <c r="J4622" s="156">
        <v>0.0</v>
      </c>
      <c r="K4622" s="154" t="s">
        <v>361</v>
      </c>
    </row>
    <row r="4623">
      <c r="A4623" s="154" t="s">
        <v>10040</v>
      </c>
      <c r="B4623" s="154" t="s">
        <v>10041</v>
      </c>
      <c r="C4623" s="155"/>
      <c r="D4623" s="154">
        <v>2.0</v>
      </c>
      <c r="E4623" s="154" t="s">
        <v>897</v>
      </c>
      <c r="F4623" s="154" t="s">
        <v>10043</v>
      </c>
      <c r="G4623" s="156">
        <v>0.0</v>
      </c>
      <c r="H4623" s="156">
        <v>0.0</v>
      </c>
      <c r="I4623" s="154">
        <v>9.71505580189E11</v>
      </c>
      <c r="J4623" s="156">
        <v>0.0</v>
      </c>
      <c r="K4623" s="154" t="s">
        <v>361</v>
      </c>
    </row>
    <row r="4624">
      <c r="A4624" s="154" t="s">
        <v>10044</v>
      </c>
      <c r="B4624" s="155"/>
      <c r="C4624" s="154" t="s">
        <v>10045</v>
      </c>
      <c r="D4624" s="155"/>
      <c r="E4624" s="155"/>
      <c r="F4624" s="154" t="s">
        <v>10046</v>
      </c>
      <c r="G4624" s="154">
        <v>971.0</v>
      </c>
      <c r="H4624" s="156">
        <v>0.0</v>
      </c>
      <c r="I4624" s="154" t="s">
        <v>10047</v>
      </c>
      <c r="J4624" s="154" t="s">
        <v>10048</v>
      </c>
      <c r="K4624" s="154" t="s">
        <v>259</v>
      </c>
    </row>
    <row r="4625">
      <c r="A4625" s="154" t="s">
        <v>10044</v>
      </c>
      <c r="B4625" s="154" t="s">
        <v>10045</v>
      </c>
      <c r="C4625" s="155"/>
      <c r="D4625" s="154">
        <v>2.0</v>
      </c>
      <c r="E4625" s="154" t="s">
        <v>897</v>
      </c>
      <c r="F4625" s="154" t="s">
        <v>1619</v>
      </c>
      <c r="G4625" s="154">
        <v>4.3903333E7</v>
      </c>
      <c r="H4625" s="154" t="s">
        <v>1620</v>
      </c>
      <c r="I4625" s="156">
        <v>0.0</v>
      </c>
      <c r="J4625" s="156">
        <v>0.0</v>
      </c>
      <c r="K4625" s="156">
        <v>0.0</v>
      </c>
    </row>
    <row r="4626">
      <c r="A4626" s="154" t="s">
        <v>10049</v>
      </c>
      <c r="B4626" s="155"/>
      <c r="C4626" s="154" t="s">
        <v>10050</v>
      </c>
      <c r="D4626" s="155"/>
      <c r="E4626" s="155"/>
      <c r="F4626" s="154" t="s">
        <v>4809</v>
      </c>
      <c r="G4626" s="154">
        <v>5.52445443E8</v>
      </c>
      <c r="H4626" s="156">
        <v>0.0</v>
      </c>
      <c r="I4626" s="154">
        <v>5.67979633E8</v>
      </c>
      <c r="J4626" s="156">
        <v>0.0</v>
      </c>
      <c r="K4626" s="154" t="s">
        <v>846</v>
      </c>
    </row>
    <row r="4627">
      <c r="A4627" s="154" t="s">
        <v>10049</v>
      </c>
      <c r="B4627" s="154" t="s">
        <v>10050</v>
      </c>
      <c r="C4627" s="155"/>
      <c r="D4627" s="154">
        <v>2.0</v>
      </c>
      <c r="E4627" s="154" t="s">
        <v>897</v>
      </c>
      <c r="F4627" s="154" t="s">
        <v>4809</v>
      </c>
      <c r="G4627" s="154">
        <v>5.52445443E8</v>
      </c>
      <c r="H4627" s="156">
        <v>0.0</v>
      </c>
      <c r="I4627" s="154">
        <v>5.67979633E8</v>
      </c>
      <c r="J4627" s="156">
        <v>0.0</v>
      </c>
      <c r="K4627" s="154" t="s">
        <v>846</v>
      </c>
    </row>
    <row r="4628">
      <c r="A4628" s="154" t="s">
        <v>10051</v>
      </c>
      <c r="B4628" s="155"/>
      <c r="C4628" s="154" t="s">
        <v>10052</v>
      </c>
      <c r="D4628" s="155"/>
      <c r="E4628" s="155"/>
      <c r="F4628" s="154" t="s">
        <v>10053</v>
      </c>
      <c r="G4628" s="156">
        <v>0.0</v>
      </c>
      <c r="H4628" s="154" t="s">
        <v>10054</v>
      </c>
      <c r="I4628" s="154" t="s">
        <v>10055</v>
      </c>
      <c r="J4628" s="154" t="s">
        <v>10056</v>
      </c>
      <c r="K4628" s="154" t="s">
        <v>10057</v>
      </c>
    </row>
    <row r="4629">
      <c r="A4629" s="154" t="s">
        <v>10051</v>
      </c>
      <c r="B4629" s="154" t="s">
        <v>10052</v>
      </c>
      <c r="C4629" s="155"/>
      <c r="D4629" s="154">
        <v>2.0</v>
      </c>
      <c r="E4629" s="154" t="s">
        <v>897</v>
      </c>
      <c r="F4629" s="154" t="s">
        <v>10053</v>
      </c>
      <c r="G4629" s="156">
        <v>0.0</v>
      </c>
      <c r="H4629" s="154" t="s">
        <v>10054</v>
      </c>
      <c r="I4629" s="154" t="s">
        <v>10055</v>
      </c>
      <c r="J4629" s="154" t="s">
        <v>10056</v>
      </c>
      <c r="K4629" s="154" t="s">
        <v>10057</v>
      </c>
    </row>
    <row r="4630">
      <c r="A4630" s="154" t="s">
        <v>10058</v>
      </c>
      <c r="B4630" s="155"/>
      <c r="C4630" s="154" t="s">
        <v>10059</v>
      </c>
      <c r="D4630" s="155"/>
      <c r="E4630" s="155"/>
      <c r="F4630" s="154" t="s">
        <v>8696</v>
      </c>
      <c r="G4630" s="154">
        <v>0.0</v>
      </c>
      <c r="H4630" s="156">
        <v>0.0</v>
      </c>
      <c r="I4630" s="154">
        <v>5.06582204E8</v>
      </c>
      <c r="J4630" s="156">
        <v>0.0</v>
      </c>
      <c r="K4630" s="154" t="s">
        <v>361</v>
      </c>
    </row>
    <row r="4631">
      <c r="A4631" s="154" t="s">
        <v>10058</v>
      </c>
      <c r="B4631" s="154" t="s">
        <v>10059</v>
      </c>
      <c r="C4631" s="155"/>
      <c r="D4631" s="154">
        <v>2.0</v>
      </c>
      <c r="E4631" s="154" t="s">
        <v>897</v>
      </c>
      <c r="F4631" s="154" t="s">
        <v>8696</v>
      </c>
      <c r="G4631" s="154">
        <v>0.0</v>
      </c>
      <c r="H4631" s="156">
        <v>0.0</v>
      </c>
      <c r="I4631" s="154">
        <v>5.06582204E8</v>
      </c>
      <c r="J4631" s="156">
        <v>0.0</v>
      </c>
      <c r="K4631" s="154" t="s">
        <v>361</v>
      </c>
    </row>
    <row r="4632">
      <c r="A4632" s="154" t="s">
        <v>10060</v>
      </c>
      <c r="B4632" s="154" t="s">
        <v>10061</v>
      </c>
      <c r="C4632" s="155"/>
      <c r="D4632" s="154">
        <v>2.0</v>
      </c>
      <c r="E4632" s="154" t="s">
        <v>897</v>
      </c>
      <c r="F4632" s="154" t="s">
        <v>10062</v>
      </c>
      <c r="G4632" s="156">
        <v>0.0</v>
      </c>
      <c r="H4632" s="156">
        <v>0.0</v>
      </c>
      <c r="I4632" s="154" t="s">
        <v>10063</v>
      </c>
      <c r="J4632" s="156">
        <v>0.0</v>
      </c>
      <c r="K4632" s="154" t="s">
        <v>1059</v>
      </c>
    </row>
    <row r="4633">
      <c r="A4633" s="154" t="s">
        <v>10060</v>
      </c>
      <c r="B4633" s="155"/>
      <c r="C4633" s="154" t="s">
        <v>10061</v>
      </c>
      <c r="D4633" s="155"/>
      <c r="E4633" s="155"/>
      <c r="F4633" s="154" t="s">
        <v>10062</v>
      </c>
      <c r="G4633" s="156">
        <v>0.0</v>
      </c>
      <c r="H4633" s="156">
        <v>0.0</v>
      </c>
      <c r="I4633" s="154" t="s">
        <v>10063</v>
      </c>
      <c r="J4633" s="156">
        <v>0.0</v>
      </c>
      <c r="K4633" s="154" t="s">
        <v>1059</v>
      </c>
    </row>
    <row r="4634">
      <c r="A4634" s="154" t="s">
        <v>10064</v>
      </c>
      <c r="B4634" s="154" t="s">
        <v>10065</v>
      </c>
      <c r="C4634" s="155"/>
      <c r="D4634" s="154">
        <v>2.0</v>
      </c>
      <c r="E4634" s="154" t="s">
        <v>897</v>
      </c>
      <c r="F4634" s="154" t="s">
        <v>10066</v>
      </c>
      <c r="G4634" s="156">
        <v>0.0</v>
      </c>
      <c r="H4634" s="154" t="s">
        <v>10067</v>
      </c>
      <c r="I4634" s="154" t="s">
        <v>10068</v>
      </c>
      <c r="J4634" s="154" t="s">
        <v>10069</v>
      </c>
      <c r="K4634" s="154" t="s">
        <v>361</v>
      </c>
    </row>
    <row r="4635">
      <c r="A4635" s="154" t="s">
        <v>10064</v>
      </c>
      <c r="B4635" s="155"/>
      <c r="C4635" s="154" t="s">
        <v>10065</v>
      </c>
      <c r="D4635" s="155"/>
      <c r="E4635" s="155"/>
      <c r="F4635" s="154" t="s">
        <v>10066</v>
      </c>
      <c r="G4635" s="156">
        <v>0.0</v>
      </c>
      <c r="H4635" s="154" t="s">
        <v>10067</v>
      </c>
      <c r="I4635" s="154" t="s">
        <v>10068</v>
      </c>
      <c r="J4635" s="154" t="s">
        <v>10069</v>
      </c>
      <c r="K4635" s="154" t="s">
        <v>361</v>
      </c>
    </row>
    <row r="4636">
      <c r="A4636" s="154" t="s">
        <v>10070</v>
      </c>
      <c r="B4636" s="155"/>
      <c r="C4636" s="154" t="s">
        <v>10071</v>
      </c>
      <c r="D4636" s="155"/>
      <c r="E4636" s="155"/>
      <c r="F4636" s="154" t="s">
        <v>10072</v>
      </c>
      <c r="G4636" s="154">
        <v>5.638833E8</v>
      </c>
      <c r="H4636" s="156">
        <v>0.0</v>
      </c>
      <c r="I4636" s="154">
        <v>5.638833E8</v>
      </c>
      <c r="J4636" s="156">
        <v>0.0</v>
      </c>
      <c r="K4636" s="154" t="s">
        <v>341</v>
      </c>
    </row>
    <row r="4637">
      <c r="A4637" s="154" t="s">
        <v>10070</v>
      </c>
      <c r="B4637" s="154" t="s">
        <v>10071</v>
      </c>
      <c r="C4637" s="155"/>
      <c r="D4637" s="154">
        <v>2.0</v>
      </c>
      <c r="E4637" s="154" t="s">
        <v>897</v>
      </c>
      <c r="F4637" s="154" t="s">
        <v>10072</v>
      </c>
      <c r="G4637" s="154">
        <v>5.638833E8</v>
      </c>
      <c r="H4637" s="156">
        <v>0.0</v>
      </c>
      <c r="I4637" s="154">
        <v>5.638833E8</v>
      </c>
      <c r="J4637" s="156">
        <v>0.0</v>
      </c>
      <c r="K4637" s="154" t="s">
        <v>341</v>
      </c>
    </row>
    <row r="4638">
      <c r="A4638" s="154" t="s">
        <v>10073</v>
      </c>
      <c r="B4638" s="155"/>
      <c r="C4638" s="154" t="s">
        <v>10074</v>
      </c>
      <c r="D4638" s="155"/>
      <c r="E4638" s="155"/>
      <c r="F4638" s="154" t="s">
        <v>10075</v>
      </c>
      <c r="G4638" s="156">
        <v>0.0</v>
      </c>
      <c r="H4638" s="156">
        <v>0.0</v>
      </c>
      <c r="I4638" s="154" t="s">
        <v>853</v>
      </c>
      <c r="J4638" s="156">
        <v>0.0</v>
      </c>
      <c r="K4638" s="154" t="s">
        <v>1110</v>
      </c>
    </row>
    <row r="4639">
      <c r="A4639" s="154" t="s">
        <v>10073</v>
      </c>
      <c r="B4639" s="154" t="s">
        <v>10074</v>
      </c>
      <c r="C4639" s="155"/>
      <c r="D4639" s="154">
        <v>2.0</v>
      </c>
      <c r="E4639" s="154" t="s">
        <v>897</v>
      </c>
      <c r="F4639" s="154" t="s">
        <v>10075</v>
      </c>
      <c r="G4639" s="156">
        <v>0.0</v>
      </c>
      <c r="H4639" s="156">
        <v>0.0</v>
      </c>
      <c r="I4639" s="154" t="s">
        <v>853</v>
      </c>
      <c r="J4639" s="156">
        <v>0.0</v>
      </c>
      <c r="K4639" s="154" t="s">
        <v>1110</v>
      </c>
    </row>
    <row r="4640">
      <c r="A4640" s="154" t="s">
        <v>10076</v>
      </c>
      <c r="B4640" s="154" t="s">
        <v>10077</v>
      </c>
      <c r="C4640" s="155"/>
      <c r="D4640" s="154">
        <v>2.0</v>
      </c>
      <c r="E4640" s="154" t="s">
        <v>897</v>
      </c>
      <c r="F4640" s="154" t="s">
        <v>10078</v>
      </c>
      <c r="G4640" s="154">
        <v>5.04952597E8</v>
      </c>
      <c r="H4640" s="156">
        <v>0.0</v>
      </c>
      <c r="I4640" s="154">
        <v>5.04952597E8</v>
      </c>
      <c r="J4640" s="156">
        <v>0.0</v>
      </c>
      <c r="K4640" s="154" t="s">
        <v>939</v>
      </c>
    </row>
    <row r="4641">
      <c r="A4641" s="154" t="s">
        <v>10076</v>
      </c>
      <c r="B4641" s="155"/>
      <c r="C4641" s="154" t="s">
        <v>10077</v>
      </c>
      <c r="D4641" s="155"/>
      <c r="E4641" s="155"/>
      <c r="F4641" s="154" t="s">
        <v>4041</v>
      </c>
      <c r="G4641" s="154">
        <v>4.3494444E7</v>
      </c>
      <c r="H4641" s="154" t="s">
        <v>4042</v>
      </c>
      <c r="I4641" s="154">
        <v>9.71504952597E11</v>
      </c>
      <c r="J4641" s="156">
        <v>0.0</v>
      </c>
      <c r="K4641" s="154" t="s">
        <v>939</v>
      </c>
    </row>
    <row r="4642">
      <c r="A4642" s="154" t="s">
        <v>10079</v>
      </c>
      <c r="B4642" s="155"/>
      <c r="C4642" s="154" t="s">
        <v>10080</v>
      </c>
      <c r="D4642" s="155"/>
      <c r="E4642" s="155"/>
      <c r="F4642" s="154" t="s">
        <v>10081</v>
      </c>
      <c r="G4642" s="154">
        <v>9.71505289947E11</v>
      </c>
      <c r="H4642" s="156">
        <v>0.0</v>
      </c>
      <c r="I4642" s="154" t="s">
        <v>10082</v>
      </c>
      <c r="J4642" s="156">
        <v>0.0</v>
      </c>
      <c r="K4642" s="154" t="s">
        <v>361</v>
      </c>
    </row>
    <row r="4643">
      <c r="A4643" s="154" t="s">
        <v>10079</v>
      </c>
      <c r="B4643" s="154" t="s">
        <v>10080</v>
      </c>
      <c r="C4643" s="155"/>
      <c r="D4643" s="154">
        <v>2.0</v>
      </c>
      <c r="E4643" s="154" t="s">
        <v>897</v>
      </c>
      <c r="F4643" s="154" t="s">
        <v>10081</v>
      </c>
      <c r="G4643" s="154">
        <v>9.71505289947E11</v>
      </c>
      <c r="H4643" s="156">
        <v>0.0</v>
      </c>
      <c r="I4643" s="154" t="s">
        <v>10082</v>
      </c>
      <c r="J4643" s="156">
        <v>0.0</v>
      </c>
      <c r="K4643" s="154" t="s">
        <v>361</v>
      </c>
    </row>
    <row r="4644">
      <c r="A4644" s="154" t="s">
        <v>10083</v>
      </c>
      <c r="B4644" s="155"/>
      <c r="C4644" s="154" t="s">
        <v>10084</v>
      </c>
      <c r="D4644" s="155"/>
      <c r="E4644" s="155"/>
      <c r="F4644" s="154" t="s">
        <v>10085</v>
      </c>
      <c r="G4644" s="156">
        <v>0.0</v>
      </c>
      <c r="H4644" s="154" t="s">
        <v>10086</v>
      </c>
      <c r="I4644" s="154" t="s">
        <v>10087</v>
      </c>
      <c r="J4644" s="156">
        <v>0.0</v>
      </c>
      <c r="K4644" s="154" t="s">
        <v>1446</v>
      </c>
    </row>
    <row r="4645">
      <c r="A4645" s="154" t="s">
        <v>10083</v>
      </c>
      <c r="B4645" s="154" t="s">
        <v>10084</v>
      </c>
      <c r="C4645" s="155"/>
      <c r="D4645" s="154">
        <v>2.0</v>
      </c>
      <c r="E4645" s="154" t="s">
        <v>897</v>
      </c>
      <c r="F4645" s="154" t="s">
        <v>10085</v>
      </c>
      <c r="G4645" s="156">
        <v>0.0</v>
      </c>
      <c r="H4645" s="154" t="s">
        <v>10086</v>
      </c>
      <c r="I4645" s="154" t="s">
        <v>10087</v>
      </c>
      <c r="J4645" s="156">
        <v>0.0</v>
      </c>
      <c r="K4645" s="154" t="s">
        <v>1446</v>
      </c>
    </row>
    <row r="4646">
      <c r="A4646" s="154" t="s">
        <v>10088</v>
      </c>
      <c r="B4646" s="154" t="s">
        <v>10089</v>
      </c>
      <c r="C4646" s="155"/>
      <c r="D4646" s="154">
        <v>2.0</v>
      </c>
      <c r="E4646" s="154" t="s">
        <v>897</v>
      </c>
      <c r="F4646" s="154" t="s">
        <v>792</v>
      </c>
      <c r="G4646" s="154" t="s">
        <v>793</v>
      </c>
      <c r="H4646" s="154" t="s">
        <v>794</v>
      </c>
      <c r="I4646" s="156">
        <v>0.0</v>
      </c>
      <c r="J4646" s="156">
        <v>0.0</v>
      </c>
      <c r="K4646" s="156">
        <v>0.0</v>
      </c>
    </row>
    <row r="4647">
      <c r="A4647" s="154" t="s">
        <v>10088</v>
      </c>
      <c r="B4647" s="155"/>
      <c r="C4647" s="154" t="s">
        <v>10089</v>
      </c>
      <c r="D4647" s="155"/>
      <c r="E4647" s="155"/>
      <c r="F4647" s="154" t="s">
        <v>10090</v>
      </c>
      <c r="G4647" s="156">
        <v>0.0</v>
      </c>
      <c r="H4647" s="156">
        <v>0.0</v>
      </c>
      <c r="I4647" s="154" t="s">
        <v>10091</v>
      </c>
      <c r="J4647" s="154" t="s">
        <v>10092</v>
      </c>
      <c r="K4647" s="154" t="s">
        <v>259</v>
      </c>
    </row>
    <row r="4648">
      <c r="A4648" s="154" t="s">
        <v>10093</v>
      </c>
      <c r="B4648" s="155"/>
      <c r="C4648" s="154" t="s">
        <v>10094</v>
      </c>
      <c r="D4648" s="155"/>
      <c r="E4648" s="155"/>
      <c r="F4648" s="154" t="s">
        <v>10095</v>
      </c>
      <c r="G4648" s="154">
        <v>3.8566033E7</v>
      </c>
      <c r="H4648" s="156">
        <v>0.0</v>
      </c>
      <c r="I4648" s="154">
        <v>3.8566033E7</v>
      </c>
      <c r="J4648" s="156">
        <v>0.0</v>
      </c>
      <c r="K4648" s="154" t="s">
        <v>259</v>
      </c>
    </row>
    <row r="4649">
      <c r="A4649" s="154" t="s">
        <v>10093</v>
      </c>
      <c r="B4649" s="154" t="s">
        <v>10094</v>
      </c>
      <c r="C4649" s="155"/>
      <c r="D4649" s="154">
        <v>2.0</v>
      </c>
      <c r="E4649" s="154" t="s">
        <v>897</v>
      </c>
      <c r="F4649" s="154" t="s">
        <v>10095</v>
      </c>
      <c r="G4649" s="154">
        <v>3.8566033E7</v>
      </c>
      <c r="H4649" s="156">
        <v>0.0</v>
      </c>
      <c r="I4649" s="154">
        <v>3.8566033E7</v>
      </c>
      <c r="J4649" s="156">
        <v>0.0</v>
      </c>
      <c r="K4649" s="154" t="s">
        <v>259</v>
      </c>
    </row>
    <row r="4650">
      <c r="A4650" s="154" t="s">
        <v>10096</v>
      </c>
      <c r="B4650" s="154" t="s">
        <v>10097</v>
      </c>
      <c r="C4650" s="155"/>
      <c r="D4650" s="154">
        <v>2.0</v>
      </c>
      <c r="E4650" s="154" t="s">
        <v>897</v>
      </c>
      <c r="F4650" s="154" t="s">
        <v>10098</v>
      </c>
      <c r="G4650" s="154">
        <v>5.0646929E8</v>
      </c>
      <c r="H4650" s="156">
        <v>0.0</v>
      </c>
      <c r="I4650" s="154">
        <v>0.0</v>
      </c>
      <c r="J4650" s="156">
        <v>0.0</v>
      </c>
      <c r="K4650" s="154" t="s">
        <v>846</v>
      </c>
    </row>
    <row r="4651">
      <c r="A4651" s="154" t="s">
        <v>10096</v>
      </c>
      <c r="B4651" s="155"/>
      <c r="C4651" s="154" t="s">
        <v>10097</v>
      </c>
      <c r="D4651" s="155"/>
      <c r="E4651" s="155"/>
      <c r="F4651" s="154" t="s">
        <v>10098</v>
      </c>
      <c r="G4651" s="154">
        <v>5.0646929E8</v>
      </c>
      <c r="H4651" s="156">
        <v>0.0</v>
      </c>
      <c r="I4651" s="154">
        <v>0.0</v>
      </c>
      <c r="J4651" s="156">
        <v>0.0</v>
      </c>
      <c r="K4651" s="154" t="s">
        <v>846</v>
      </c>
    </row>
    <row r="4652">
      <c r="A4652" s="154" t="s">
        <v>10099</v>
      </c>
      <c r="B4652" s="154" t="s">
        <v>10100</v>
      </c>
      <c r="C4652" s="155"/>
      <c r="D4652" s="154">
        <v>2.0</v>
      </c>
      <c r="E4652" s="154" t="s">
        <v>897</v>
      </c>
      <c r="F4652" s="154" t="s">
        <v>10101</v>
      </c>
      <c r="G4652" s="156">
        <v>0.0</v>
      </c>
      <c r="H4652" s="154" t="s">
        <v>10102</v>
      </c>
      <c r="I4652" s="154" t="s">
        <v>10103</v>
      </c>
      <c r="J4652" s="154" t="s">
        <v>10104</v>
      </c>
      <c r="K4652" s="154" t="s">
        <v>207</v>
      </c>
    </row>
    <row r="4653">
      <c r="A4653" s="154" t="s">
        <v>10099</v>
      </c>
      <c r="B4653" s="155"/>
      <c r="C4653" s="154" t="s">
        <v>10100</v>
      </c>
      <c r="D4653" s="155"/>
      <c r="E4653" s="155"/>
      <c r="F4653" s="154" t="s">
        <v>10105</v>
      </c>
      <c r="G4653" s="156">
        <v>0.0</v>
      </c>
      <c r="H4653" s="154" t="s">
        <v>10106</v>
      </c>
      <c r="I4653" s="154">
        <v>9.71505530104E11</v>
      </c>
      <c r="J4653" s="156">
        <v>0.0</v>
      </c>
      <c r="K4653" s="154" t="s">
        <v>1059</v>
      </c>
    </row>
    <row r="4654">
      <c r="A4654" s="154" t="s">
        <v>10107</v>
      </c>
      <c r="B4654" s="154" t="s">
        <v>10108</v>
      </c>
      <c r="C4654" s="155"/>
      <c r="D4654" s="154">
        <v>2.0</v>
      </c>
      <c r="E4654" s="154" t="s">
        <v>897</v>
      </c>
      <c r="F4654" s="154" t="s">
        <v>10109</v>
      </c>
      <c r="G4654" s="156">
        <v>0.0</v>
      </c>
      <c r="H4654" s="154" t="s">
        <v>10110</v>
      </c>
      <c r="I4654" s="154" t="s">
        <v>10111</v>
      </c>
      <c r="J4654" s="154" t="s">
        <v>10112</v>
      </c>
      <c r="K4654" s="154" t="s">
        <v>914</v>
      </c>
    </row>
    <row r="4655">
      <c r="A4655" s="154" t="s">
        <v>10107</v>
      </c>
      <c r="B4655" s="155"/>
      <c r="C4655" s="154" t="s">
        <v>10108</v>
      </c>
      <c r="D4655" s="155"/>
      <c r="E4655" s="155"/>
      <c r="F4655" s="154" t="s">
        <v>10109</v>
      </c>
      <c r="G4655" s="156">
        <v>0.0</v>
      </c>
      <c r="H4655" s="154" t="s">
        <v>10110</v>
      </c>
      <c r="I4655" s="154" t="s">
        <v>10111</v>
      </c>
      <c r="J4655" s="154" t="s">
        <v>10112</v>
      </c>
      <c r="K4655" s="154" t="s">
        <v>914</v>
      </c>
    </row>
    <row r="4656">
      <c r="A4656" s="154" t="s">
        <v>10113</v>
      </c>
      <c r="B4656" s="154" t="s">
        <v>10114</v>
      </c>
      <c r="C4656" s="155"/>
      <c r="D4656" s="154">
        <v>2.0</v>
      </c>
      <c r="E4656" s="154" t="s">
        <v>897</v>
      </c>
      <c r="F4656" s="154" t="s">
        <v>10115</v>
      </c>
      <c r="G4656" s="154">
        <v>0.0</v>
      </c>
      <c r="H4656" s="156">
        <v>0.0</v>
      </c>
      <c r="I4656" s="154">
        <v>0.0</v>
      </c>
      <c r="J4656" s="156">
        <v>0.0</v>
      </c>
      <c r="K4656" s="154" t="s">
        <v>1461</v>
      </c>
    </row>
    <row r="4657">
      <c r="A4657" s="154" t="s">
        <v>10113</v>
      </c>
      <c r="B4657" s="155"/>
      <c r="C4657" s="154" t="s">
        <v>10114</v>
      </c>
      <c r="D4657" s="155"/>
      <c r="E4657" s="155"/>
      <c r="F4657" s="154" t="s">
        <v>10115</v>
      </c>
      <c r="G4657" s="154">
        <v>0.0</v>
      </c>
      <c r="H4657" s="156">
        <v>0.0</v>
      </c>
      <c r="I4657" s="154">
        <v>0.0</v>
      </c>
      <c r="J4657" s="156">
        <v>0.0</v>
      </c>
      <c r="K4657" s="154" t="s">
        <v>1461</v>
      </c>
    </row>
    <row r="4658">
      <c r="A4658" s="154" t="s">
        <v>10116</v>
      </c>
      <c r="B4658" s="155"/>
      <c r="C4658" s="154" t="s">
        <v>10117</v>
      </c>
      <c r="D4658" s="155"/>
      <c r="E4658" s="155"/>
      <c r="F4658" s="154" t="s">
        <v>10118</v>
      </c>
      <c r="G4658" s="156">
        <v>0.0</v>
      </c>
      <c r="H4658" s="156">
        <v>0.0</v>
      </c>
      <c r="I4658" s="154" t="s">
        <v>10119</v>
      </c>
      <c r="J4658" s="154" t="s">
        <v>10120</v>
      </c>
      <c r="K4658" s="154" t="s">
        <v>259</v>
      </c>
    </row>
    <row r="4659">
      <c r="A4659" s="154" t="s">
        <v>10116</v>
      </c>
      <c r="B4659" s="154" t="s">
        <v>10117</v>
      </c>
      <c r="C4659" s="155"/>
      <c r="D4659" s="154">
        <v>2.0</v>
      </c>
      <c r="E4659" s="154" t="s">
        <v>897</v>
      </c>
      <c r="F4659" s="154" t="s">
        <v>10118</v>
      </c>
      <c r="G4659" s="156">
        <v>0.0</v>
      </c>
      <c r="H4659" s="156">
        <v>0.0</v>
      </c>
      <c r="I4659" s="154" t="s">
        <v>10119</v>
      </c>
      <c r="J4659" s="154" t="s">
        <v>10120</v>
      </c>
      <c r="K4659" s="154" t="s">
        <v>259</v>
      </c>
    </row>
    <row r="4660">
      <c r="A4660" s="154" t="s">
        <v>10121</v>
      </c>
      <c r="B4660" s="155"/>
      <c r="C4660" s="154" t="s">
        <v>10122</v>
      </c>
      <c r="D4660" s="155"/>
      <c r="E4660" s="155"/>
      <c r="F4660" s="154" t="s">
        <v>10123</v>
      </c>
      <c r="G4660" s="154">
        <v>5.28006999E8</v>
      </c>
      <c r="H4660" s="156">
        <v>0.0</v>
      </c>
      <c r="I4660" s="154">
        <v>5.0554955E8</v>
      </c>
      <c r="J4660" s="156">
        <v>0.0</v>
      </c>
      <c r="K4660" s="154" t="s">
        <v>206</v>
      </c>
    </row>
    <row r="4661">
      <c r="A4661" s="154" t="s">
        <v>10121</v>
      </c>
      <c r="B4661" s="154" t="s">
        <v>10122</v>
      </c>
      <c r="C4661" s="155"/>
      <c r="D4661" s="154">
        <v>2.0</v>
      </c>
      <c r="E4661" s="154" t="s">
        <v>897</v>
      </c>
      <c r="F4661" s="154" t="s">
        <v>10123</v>
      </c>
      <c r="G4661" s="154">
        <v>5.28006999E8</v>
      </c>
      <c r="H4661" s="156">
        <v>0.0</v>
      </c>
      <c r="I4661" s="154">
        <v>5.0554955E8</v>
      </c>
      <c r="J4661" s="156">
        <v>0.0</v>
      </c>
      <c r="K4661" s="154" t="s">
        <v>206</v>
      </c>
    </row>
    <row r="4662">
      <c r="A4662" s="154" t="s">
        <v>10124</v>
      </c>
      <c r="B4662" s="155"/>
      <c r="C4662" s="154" t="s">
        <v>10125</v>
      </c>
      <c r="D4662" s="155"/>
      <c r="E4662" s="155"/>
      <c r="F4662" s="154" t="s">
        <v>10126</v>
      </c>
      <c r="G4662" s="154" t="s">
        <v>10127</v>
      </c>
      <c r="H4662" s="156">
        <v>0.0</v>
      </c>
      <c r="I4662" s="154" t="s">
        <v>7341</v>
      </c>
      <c r="J4662" s="154" t="s">
        <v>10127</v>
      </c>
      <c r="K4662" s="154" t="s">
        <v>361</v>
      </c>
    </row>
    <row r="4663">
      <c r="A4663" s="154" t="s">
        <v>10124</v>
      </c>
      <c r="B4663" s="154" t="s">
        <v>10125</v>
      </c>
      <c r="C4663" s="155"/>
      <c r="D4663" s="154">
        <v>2.0</v>
      </c>
      <c r="E4663" s="154" t="s">
        <v>897</v>
      </c>
      <c r="F4663" s="154" t="s">
        <v>10126</v>
      </c>
      <c r="G4663" s="154" t="s">
        <v>10127</v>
      </c>
      <c r="H4663" s="156">
        <v>0.0</v>
      </c>
      <c r="I4663" s="154" t="s">
        <v>7341</v>
      </c>
      <c r="J4663" s="154" t="s">
        <v>10127</v>
      </c>
      <c r="K4663" s="154" t="s">
        <v>361</v>
      </c>
    </row>
    <row r="4664">
      <c r="A4664" s="154" t="s">
        <v>10128</v>
      </c>
      <c r="B4664" s="155"/>
      <c r="C4664" s="154" t="s">
        <v>10129</v>
      </c>
      <c r="D4664" s="155"/>
      <c r="E4664" s="155"/>
      <c r="F4664" s="154" t="s">
        <v>10130</v>
      </c>
      <c r="G4664" s="156">
        <v>0.0</v>
      </c>
      <c r="H4664" s="154" t="s">
        <v>10131</v>
      </c>
      <c r="I4664" s="154" t="s">
        <v>10132</v>
      </c>
      <c r="J4664" s="154" t="s">
        <v>10133</v>
      </c>
      <c r="K4664" s="154" t="s">
        <v>240</v>
      </c>
    </row>
    <row r="4665">
      <c r="A4665" s="154" t="s">
        <v>10128</v>
      </c>
      <c r="B4665" s="154" t="s">
        <v>10129</v>
      </c>
      <c r="C4665" s="155"/>
      <c r="D4665" s="154">
        <v>2.0</v>
      </c>
      <c r="E4665" s="154" t="s">
        <v>897</v>
      </c>
      <c r="F4665" s="154" t="s">
        <v>10130</v>
      </c>
      <c r="G4665" s="156">
        <v>0.0</v>
      </c>
      <c r="H4665" s="154" t="s">
        <v>10131</v>
      </c>
      <c r="I4665" s="154" t="s">
        <v>10132</v>
      </c>
      <c r="J4665" s="154" t="s">
        <v>10133</v>
      </c>
      <c r="K4665" s="154" t="s">
        <v>240</v>
      </c>
    </row>
    <row r="4666">
      <c r="A4666" s="154" t="s">
        <v>10134</v>
      </c>
      <c r="B4666" s="154" t="s">
        <v>10135</v>
      </c>
      <c r="C4666" s="155"/>
      <c r="D4666" s="154">
        <v>2.0</v>
      </c>
      <c r="E4666" s="154" t="s">
        <v>897</v>
      </c>
      <c r="F4666" s="154" t="s">
        <v>10136</v>
      </c>
      <c r="G4666" s="156">
        <v>0.0</v>
      </c>
      <c r="H4666" s="156">
        <v>0.0</v>
      </c>
      <c r="I4666" s="154" t="s">
        <v>10137</v>
      </c>
      <c r="J4666" s="154" t="s">
        <v>10138</v>
      </c>
      <c r="K4666" s="154" t="s">
        <v>361</v>
      </c>
    </row>
    <row r="4667">
      <c r="A4667" s="154" t="s">
        <v>10134</v>
      </c>
      <c r="B4667" s="155"/>
      <c r="C4667" s="154" t="s">
        <v>10135</v>
      </c>
      <c r="D4667" s="155"/>
      <c r="E4667" s="155"/>
      <c r="F4667" s="154" t="s">
        <v>10139</v>
      </c>
      <c r="G4667" s="156">
        <v>0.0</v>
      </c>
      <c r="H4667" s="154" t="s">
        <v>10140</v>
      </c>
      <c r="I4667" s="154" t="s">
        <v>10141</v>
      </c>
      <c r="J4667" s="154" t="s">
        <v>4972</v>
      </c>
      <c r="K4667" s="154" t="s">
        <v>197</v>
      </c>
    </row>
    <row r="4668">
      <c r="A4668" s="154" t="s">
        <v>10142</v>
      </c>
      <c r="B4668" s="154" t="s">
        <v>10143</v>
      </c>
      <c r="C4668" s="155"/>
      <c r="D4668" s="154">
        <v>2.0</v>
      </c>
      <c r="E4668" s="154" t="s">
        <v>897</v>
      </c>
      <c r="F4668" s="154" t="s">
        <v>10144</v>
      </c>
      <c r="G4668" s="154">
        <v>5.05522917E8</v>
      </c>
      <c r="H4668" s="156">
        <v>0.0</v>
      </c>
      <c r="I4668" s="156">
        <v>0.0</v>
      </c>
      <c r="J4668" s="156">
        <v>0.0</v>
      </c>
      <c r="K4668" s="154" t="s">
        <v>2577</v>
      </c>
    </row>
    <row r="4669">
      <c r="A4669" s="154" t="s">
        <v>10142</v>
      </c>
      <c r="B4669" s="155"/>
      <c r="C4669" s="154" t="s">
        <v>10143</v>
      </c>
      <c r="D4669" s="155"/>
      <c r="E4669" s="155"/>
      <c r="F4669" s="154" t="s">
        <v>10144</v>
      </c>
      <c r="G4669" s="154">
        <v>5.05522917E8</v>
      </c>
      <c r="H4669" s="156">
        <v>0.0</v>
      </c>
      <c r="I4669" s="156">
        <v>0.0</v>
      </c>
      <c r="J4669" s="156">
        <v>0.0</v>
      </c>
      <c r="K4669" s="154" t="s">
        <v>2577</v>
      </c>
    </row>
    <row r="4670">
      <c r="A4670" s="154" t="s">
        <v>10145</v>
      </c>
      <c r="B4670" s="154" t="s">
        <v>10146</v>
      </c>
      <c r="C4670" s="155"/>
      <c r="D4670" s="154">
        <v>2.0</v>
      </c>
      <c r="E4670" s="154" t="s">
        <v>897</v>
      </c>
      <c r="F4670" s="154" t="s">
        <v>10147</v>
      </c>
      <c r="G4670" s="154">
        <v>8880539.0</v>
      </c>
      <c r="H4670" s="156">
        <v>0.0</v>
      </c>
      <c r="I4670" s="154">
        <v>9.71504557058E11</v>
      </c>
      <c r="J4670" s="156">
        <v>0.0</v>
      </c>
      <c r="K4670" s="154" t="s">
        <v>361</v>
      </c>
    </row>
    <row r="4671">
      <c r="A4671" s="154" t="s">
        <v>10145</v>
      </c>
      <c r="B4671" s="155"/>
      <c r="C4671" s="154" t="s">
        <v>10146</v>
      </c>
      <c r="D4671" s="155"/>
      <c r="E4671" s="155"/>
      <c r="F4671" s="154" t="s">
        <v>10147</v>
      </c>
      <c r="G4671" s="154">
        <v>8880539.0</v>
      </c>
      <c r="H4671" s="156">
        <v>0.0</v>
      </c>
      <c r="I4671" s="154">
        <v>9.71504557058E11</v>
      </c>
      <c r="J4671" s="156">
        <v>0.0</v>
      </c>
      <c r="K4671" s="154" t="s">
        <v>361</v>
      </c>
    </row>
    <row r="4672">
      <c r="A4672" s="154" t="s">
        <v>10148</v>
      </c>
      <c r="B4672" s="154" t="s">
        <v>10149</v>
      </c>
      <c r="C4672" s="155"/>
      <c r="D4672" s="154">
        <v>2.0</v>
      </c>
      <c r="E4672" s="154" t="s">
        <v>897</v>
      </c>
      <c r="F4672" s="154" t="s">
        <v>10150</v>
      </c>
      <c r="G4672" s="154">
        <v>4.5098167E7</v>
      </c>
      <c r="H4672" s="156">
        <v>0.0</v>
      </c>
      <c r="I4672" s="154">
        <v>9.71506516497E11</v>
      </c>
      <c r="J4672" s="156">
        <v>0.0</v>
      </c>
      <c r="K4672" s="154" t="s">
        <v>361</v>
      </c>
    </row>
    <row r="4673">
      <c r="A4673" s="154" t="s">
        <v>10148</v>
      </c>
      <c r="B4673" s="155"/>
      <c r="C4673" s="154" t="s">
        <v>10149</v>
      </c>
      <c r="D4673" s="155"/>
      <c r="E4673" s="155"/>
      <c r="F4673" s="154" t="s">
        <v>10150</v>
      </c>
      <c r="G4673" s="154">
        <v>4.5098167E7</v>
      </c>
      <c r="H4673" s="156">
        <v>0.0</v>
      </c>
      <c r="I4673" s="154">
        <v>9.71506516497E11</v>
      </c>
      <c r="J4673" s="156">
        <v>0.0</v>
      </c>
      <c r="K4673" s="154" t="s">
        <v>361</v>
      </c>
    </row>
    <row r="4674">
      <c r="A4674" s="154" t="s">
        <v>10151</v>
      </c>
      <c r="B4674" s="154" t="s">
        <v>10152</v>
      </c>
      <c r="C4674" s="155"/>
      <c r="D4674" s="154">
        <v>2.0</v>
      </c>
      <c r="E4674" s="154" t="s">
        <v>897</v>
      </c>
      <c r="F4674" s="154" t="s">
        <v>1157</v>
      </c>
      <c r="G4674" s="154" t="s">
        <v>1158</v>
      </c>
      <c r="H4674" s="154" t="s">
        <v>1159</v>
      </c>
      <c r="I4674" s="156">
        <v>0.0</v>
      </c>
      <c r="J4674" s="156">
        <v>0.0</v>
      </c>
      <c r="K4674" s="156">
        <v>0.0</v>
      </c>
    </row>
    <row r="4675">
      <c r="A4675" s="154" t="s">
        <v>10151</v>
      </c>
      <c r="B4675" s="155"/>
      <c r="C4675" s="154" t="s">
        <v>10152</v>
      </c>
      <c r="D4675" s="155"/>
      <c r="E4675" s="155"/>
      <c r="F4675" s="154" t="s">
        <v>10153</v>
      </c>
      <c r="G4675" s="156">
        <v>0.0</v>
      </c>
      <c r="H4675" s="156">
        <v>0.0</v>
      </c>
      <c r="I4675" s="154" t="s">
        <v>10154</v>
      </c>
      <c r="J4675" s="154" t="s">
        <v>10155</v>
      </c>
      <c r="K4675" s="154" t="s">
        <v>2195</v>
      </c>
    </row>
    <row r="4676">
      <c r="A4676" s="154" t="s">
        <v>10156</v>
      </c>
      <c r="B4676" s="155"/>
      <c r="C4676" s="154" t="s">
        <v>10157</v>
      </c>
      <c r="D4676" s="155"/>
      <c r="E4676" s="155"/>
      <c r="F4676" s="154" t="s">
        <v>10158</v>
      </c>
      <c r="G4676" s="156">
        <v>0.0</v>
      </c>
      <c r="H4676" s="154" t="s">
        <v>10159</v>
      </c>
      <c r="I4676" s="154" t="s">
        <v>10160</v>
      </c>
      <c r="J4676" s="156">
        <v>0.0</v>
      </c>
      <c r="K4676" s="154" t="s">
        <v>361</v>
      </c>
    </row>
    <row r="4677">
      <c r="A4677" s="154" t="s">
        <v>10156</v>
      </c>
      <c r="B4677" s="154" t="s">
        <v>10157</v>
      </c>
      <c r="C4677" s="155"/>
      <c r="D4677" s="154">
        <v>2.0</v>
      </c>
      <c r="E4677" s="154" t="s">
        <v>897</v>
      </c>
      <c r="F4677" s="154" t="s">
        <v>10158</v>
      </c>
      <c r="G4677" s="156">
        <v>0.0</v>
      </c>
      <c r="H4677" s="154" t="s">
        <v>10159</v>
      </c>
      <c r="I4677" s="154" t="s">
        <v>10160</v>
      </c>
      <c r="J4677" s="156">
        <v>0.0</v>
      </c>
      <c r="K4677" s="154" t="s">
        <v>361</v>
      </c>
    </row>
    <row r="4678">
      <c r="A4678" s="154" t="s">
        <v>10161</v>
      </c>
      <c r="B4678" s="155"/>
      <c r="C4678" s="154" t="s">
        <v>10162</v>
      </c>
      <c r="D4678" s="155"/>
      <c r="E4678" s="155"/>
      <c r="F4678" s="154" t="s">
        <v>10163</v>
      </c>
      <c r="G4678" s="156">
        <v>0.0</v>
      </c>
      <c r="H4678" s="156">
        <v>0.0</v>
      </c>
      <c r="I4678" s="154">
        <v>9.71506546795E11</v>
      </c>
      <c r="J4678" s="156">
        <v>0.0</v>
      </c>
      <c r="K4678" s="154" t="s">
        <v>361</v>
      </c>
    </row>
    <row r="4679">
      <c r="A4679" s="154" t="s">
        <v>10161</v>
      </c>
      <c r="B4679" s="154" t="s">
        <v>10162</v>
      </c>
      <c r="C4679" s="155"/>
      <c r="D4679" s="154">
        <v>2.0</v>
      </c>
      <c r="E4679" s="154" t="s">
        <v>897</v>
      </c>
      <c r="F4679" s="154" t="s">
        <v>10163</v>
      </c>
      <c r="G4679" s="156">
        <v>0.0</v>
      </c>
      <c r="H4679" s="156">
        <v>0.0</v>
      </c>
      <c r="I4679" s="154">
        <v>9.71506546795E11</v>
      </c>
      <c r="J4679" s="156">
        <v>0.0</v>
      </c>
      <c r="K4679" s="154" t="s">
        <v>361</v>
      </c>
    </row>
    <row r="4680">
      <c r="A4680" s="154" t="s">
        <v>10164</v>
      </c>
      <c r="B4680" s="154" t="s">
        <v>10165</v>
      </c>
      <c r="C4680" s="155"/>
      <c r="D4680" s="154">
        <v>2.0</v>
      </c>
      <c r="E4680" s="154" t="s">
        <v>897</v>
      </c>
      <c r="F4680" s="154" t="s">
        <v>792</v>
      </c>
      <c r="G4680" s="154" t="s">
        <v>793</v>
      </c>
      <c r="H4680" s="154" t="s">
        <v>794</v>
      </c>
      <c r="I4680" s="156">
        <v>0.0</v>
      </c>
      <c r="J4680" s="156">
        <v>0.0</v>
      </c>
      <c r="K4680" s="156">
        <v>0.0</v>
      </c>
    </row>
    <row r="4681">
      <c r="A4681" s="154" t="s">
        <v>10164</v>
      </c>
      <c r="B4681" s="155"/>
      <c r="C4681" s="154" t="s">
        <v>10165</v>
      </c>
      <c r="D4681" s="155"/>
      <c r="E4681" s="155"/>
      <c r="F4681" s="154" t="s">
        <v>10166</v>
      </c>
      <c r="G4681" s="156">
        <v>0.0</v>
      </c>
      <c r="H4681" s="156">
        <v>0.0</v>
      </c>
      <c r="I4681" s="154">
        <v>9.7155772279E11</v>
      </c>
      <c r="J4681" s="156">
        <v>0.0</v>
      </c>
      <c r="K4681" s="154" t="s">
        <v>6852</v>
      </c>
    </row>
    <row r="4682">
      <c r="A4682" s="154" t="s">
        <v>10167</v>
      </c>
      <c r="B4682" s="155"/>
      <c r="C4682" s="154" t="s">
        <v>10168</v>
      </c>
      <c r="D4682" s="155"/>
      <c r="E4682" s="155"/>
      <c r="F4682" s="154" t="s">
        <v>10169</v>
      </c>
      <c r="G4682" s="154">
        <v>5.04765635E8</v>
      </c>
      <c r="H4682" s="156">
        <v>0.0</v>
      </c>
      <c r="I4682" s="156">
        <v>0.0</v>
      </c>
      <c r="J4682" s="156">
        <v>0.0</v>
      </c>
      <c r="K4682" s="154" t="s">
        <v>361</v>
      </c>
    </row>
    <row r="4683">
      <c r="A4683" s="154" t="s">
        <v>10167</v>
      </c>
      <c r="B4683" s="154" t="s">
        <v>10168</v>
      </c>
      <c r="C4683" s="155"/>
      <c r="D4683" s="154">
        <v>2.0</v>
      </c>
      <c r="E4683" s="154" t="s">
        <v>897</v>
      </c>
      <c r="F4683" s="154" t="s">
        <v>10170</v>
      </c>
      <c r="G4683" s="154">
        <v>5.05653731E8</v>
      </c>
      <c r="H4683" s="156">
        <v>0.0</v>
      </c>
      <c r="I4683" s="156">
        <v>0.0</v>
      </c>
      <c r="J4683" s="156">
        <v>0.0</v>
      </c>
      <c r="K4683" s="154" t="s">
        <v>361</v>
      </c>
    </row>
    <row r="4684">
      <c r="A4684" s="154" t="s">
        <v>10171</v>
      </c>
      <c r="B4684" s="155"/>
      <c r="C4684" s="154" t="s">
        <v>10172</v>
      </c>
      <c r="D4684" s="155"/>
      <c r="E4684" s="155"/>
      <c r="F4684" s="154" t="s">
        <v>10173</v>
      </c>
      <c r="G4684" s="156">
        <v>0.0</v>
      </c>
      <c r="H4684" s="154" t="s">
        <v>10174</v>
      </c>
      <c r="I4684" s="154">
        <v>9.71504657745E11</v>
      </c>
      <c r="J4684" s="156">
        <v>0.0</v>
      </c>
      <c r="K4684" s="154" t="s">
        <v>361</v>
      </c>
    </row>
    <row r="4685">
      <c r="A4685" s="154" t="s">
        <v>10171</v>
      </c>
      <c r="B4685" s="154" t="s">
        <v>10172</v>
      </c>
      <c r="C4685" s="155"/>
      <c r="D4685" s="154">
        <v>2.0</v>
      </c>
      <c r="E4685" s="154" t="s">
        <v>897</v>
      </c>
      <c r="F4685" s="154" t="s">
        <v>10175</v>
      </c>
      <c r="G4685" s="154">
        <v>4.32599E7</v>
      </c>
      <c r="H4685" s="156">
        <v>0.0</v>
      </c>
      <c r="I4685" s="154">
        <v>5.0551759E8</v>
      </c>
      <c r="J4685" s="156">
        <v>0.0</v>
      </c>
      <c r="K4685" s="154" t="s">
        <v>361</v>
      </c>
    </row>
    <row r="4686">
      <c r="A4686" s="154" t="s">
        <v>10176</v>
      </c>
      <c r="B4686" s="154" t="s">
        <v>10177</v>
      </c>
      <c r="C4686" s="155"/>
      <c r="D4686" s="154">
        <v>2.0</v>
      </c>
      <c r="E4686" s="154" t="s">
        <v>897</v>
      </c>
      <c r="F4686" s="154" t="s">
        <v>10178</v>
      </c>
      <c r="G4686" s="156">
        <v>0.0</v>
      </c>
      <c r="H4686" s="156">
        <v>0.0</v>
      </c>
      <c r="I4686" s="154">
        <v>9.71504519329E11</v>
      </c>
      <c r="J4686" s="156">
        <v>0.0</v>
      </c>
      <c r="K4686" s="154" t="s">
        <v>760</v>
      </c>
    </row>
    <row r="4687">
      <c r="A4687" s="154" t="s">
        <v>10176</v>
      </c>
      <c r="B4687" s="155"/>
      <c r="C4687" s="154" t="s">
        <v>10177</v>
      </c>
      <c r="D4687" s="155"/>
      <c r="E4687" s="155"/>
      <c r="F4687" s="154" t="s">
        <v>10179</v>
      </c>
      <c r="G4687" s="156">
        <v>0.0</v>
      </c>
      <c r="H4687" s="154" t="s">
        <v>10180</v>
      </c>
      <c r="I4687" s="154" t="s">
        <v>3356</v>
      </c>
      <c r="J4687" s="156">
        <v>0.0</v>
      </c>
      <c r="K4687" s="154" t="s">
        <v>760</v>
      </c>
    </row>
    <row r="4688">
      <c r="A4688" s="154" t="s">
        <v>10181</v>
      </c>
      <c r="B4688" s="155"/>
      <c r="C4688" s="154" t="s">
        <v>10182</v>
      </c>
      <c r="D4688" s="155"/>
      <c r="E4688" s="155"/>
      <c r="F4688" s="154" t="s">
        <v>10183</v>
      </c>
      <c r="G4688" s="156">
        <v>0.0</v>
      </c>
      <c r="H4688" s="156">
        <v>0.0</v>
      </c>
      <c r="I4688" s="154" t="s">
        <v>10184</v>
      </c>
      <c r="J4688" s="154" t="s">
        <v>10185</v>
      </c>
      <c r="K4688" s="154" t="s">
        <v>361</v>
      </c>
    </row>
    <row r="4689">
      <c r="A4689" s="154" t="s">
        <v>10181</v>
      </c>
      <c r="B4689" s="154" t="s">
        <v>10182</v>
      </c>
      <c r="C4689" s="155"/>
      <c r="D4689" s="154">
        <v>2.0</v>
      </c>
      <c r="E4689" s="154" t="s">
        <v>897</v>
      </c>
      <c r="F4689" s="154" t="s">
        <v>10183</v>
      </c>
      <c r="G4689" s="156">
        <v>0.0</v>
      </c>
      <c r="H4689" s="156">
        <v>0.0</v>
      </c>
      <c r="I4689" s="154" t="s">
        <v>10184</v>
      </c>
      <c r="J4689" s="154" t="s">
        <v>10185</v>
      </c>
      <c r="K4689" s="154" t="s">
        <v>361</v>
      </c>
    </row>
    <row r="4690">
      <c r="A4690" s="154" t="s">
        <v>10186</v>
      </c>
      <c r="B4690" s="154" t="s">
        <v>10187</v>
      </c>
      <c r="C4690" s="155"/>
      <c r="D4690" s="154">
        <v>2.0</v>
      </c>
      <c r="E4690" s="154" t="s">
        <v>897</v>
      </c>
      <c r="F4690" s="154" t="s">
        <v>10188</v>
      </c>
      <c r="G4690" s="156">
        <v>0.0</v>
      </c>
      <c r="H4690" s="154" t="s">
        <v>10189</v>
      </c>
      <c r="I4690" s="154" t="s">
        <v>853</v>
      </c>
      <c r="J4690" s="154" t="s">
        <v>1133</v>
      </c>
      <c r="K4690" s="154" t="s">
        <v>361</v>
      </c>
    </row>
    <row r="4691">
      <c r="A4691" s="154" t="s">
        <v>10186</v>
      </c>
      <c r="B4691" s="155"/>
      <c r="C4691" s="154" t="s">
        <v>10187</v>
      </c>
      <c r="D4691" s="155"/>
      <c r="E4691" s="155"/>
      <c r="F4691" s="154" t="s">
        <v>10188</v>
      </c>
      <c r="G4691" s="156">
        <v>0.0</v>
      </c>
      <c r="H4691" s="154" t="s">
        <v>10190</v>
      </c>
      <c r="I4691" s="154" t="s">
        <v>10191</v>
      </c>
      <c r="J4691" s="156">
        <v>0.0</v>
      </c>
      <c r="K4691" s="154" t="s">
        <v>361</v>
      </c>
    </row>
    <row r="4692">
      <c r="A4692" s="154" t="s">
        <v>10192</v>
      </c>
      <c r="B4692" s="154" t="s">
        <v>10193</v>
      </c>
      <c r="D4692" s="154">
        <v>2.0</v>
      </c>
      <c r="E4692" s="154" t="s">
        <v>761</v>
      </c>
      <c r="F4692" s="154" t="s">
        <v>10194</v>
      </c>
      <c r="G4692" s="156">
        <v>0.0</v>
      </c>
      <c r="H4692" s="154" t="s">
        <v>7428</v>
      </c>
      <c r="I4692" s="154">
        <v>5.06504937E8</v>
      </c>
      <c r="J4692" s="156">
        <v>0.0</v>
      </c>
      <c r="K4692" s="154" t="s">
        <v>361</v>
      </c>
    </row>
    <row r="4693">
      <c r="A4693" s="154" t="s">
        <v>10192</v>
      </c>
      <c r="B4693" s="155"/>
      <c r="C4693" s="154" t="s">
        <v>10193</v>
      </c>
      <c r="D4693" s="155"/>
      <c r="E4693" s="155"/>
      <c r="F4693" s="154" t="s">
        <v>10194</v>
      </c>
      <c r="G4693" s="156">
        <v>0.0</v>
      </c>
      <c r="H4693" s="154" t="s">
        <v>7428</v>
      </c>
      <c r="I4693" s="154">
        <v>5.06504937E8</v>
      </c>
      <c r="J4693" s="156">
        <v>0.0</v>
      </c>
      <c r="K4693" s="154" t="s">
        <v>361</v>
      </c>
    </row>
    <row r="4694">
      <c r="A4694" s="154" t="s">
        <v>10195</v>
      </c>
      <c r="B4694" s="154" t="s">
        <v>10196</v>
      </c>
      <c r="D4694" s="154">
        <v>2.0</v>
      </c>
      <c r="E4694" s="154" t="s">
        <v>761</v>
      </c>
      <c r="F4694" s="154" t="s">
        <v>10197</v>
      </c>
      <c r="G4694" s="154" t="s">
        <v>10198</v>
      </c>
      <c r="H4694" s="156">
        <v>0.0</v>
      </c>
      <c r="I4694" s="154" t="s">
        <v>10199</v>
      </c>
      <c r="J4694" s="154" t="s">
        <v>10200</v>
      </c>
      <c r="K4694" s="154" t="s">
        <v>914</v>
      </c>
    </row>
    <row r="4695">
      <c r="A4695" s="154" t="s">
        <v>10195</v>
      </c>
      <c r="B4695" s="155"/>
      <c r="C4695" s="154" t="s">
        <v>10196</v>
      </c>
      <c r="D4695" s="155"/>
      <c r="E4695" s="155"/>
      <c r="F4695" s="154" t="s">
        <v>10197</v>
      </c>
      <c r="G4695" s="154" t="s">
        <v>10198</v>
      </c>
      <c r="H4695" s="156">
        <v>0.0</v>
      </c>
      <c r="I4695" s="154" t="s">
        <v>10199</v>
      </c>
      <c r="J4695" s="154" t="s">
        <v>10200</v>
      </c>
      <c r="K4695" s="154" t="s">
        <v>914</v>
      </c>
    </row>
    <row r="4696">
      <c r="A4696" s="154" t="s">
        <v>10201</v>
      </c>
      <c r="B4696" s="154" t="s">
        <v>10202</v>
      </c>
      <c r="D4696" s="154">
        <v>2.0</v>
      </c>
      <c r="E4696" s="154" t="s">
        <v>761</v>
      </c>
      <c r="F4696" s="154" t="s">
        <v>10203</v>
      </c>
      <c r="G4696" s="154">
        <v>5.02729003E8</v>
      </c>
      <c r="H4696" s="156">
        <v>0.0</v>
      </c>
      <c r="I4696" s="156">
        <v>0.0</v>
      </c>
      <c r="J4696" s="156">
        <v>0.0</v>
      </c>
      <c r="K4696" s="154" t="s">
        <v>760</v>
      </c>
    </row>
    <row r="4697">
      <c r="A4697" s="154" t="s">
        <v>10201</v>
      </c>
      <c r="B4697" s="155"/>
      <c r="C4697" s="154" t="s">
        <v>10202</v>
      </c>
      <c r="D4697" s="155"/>
      <c r="E4697" s="155"/>
      <c r="F4697" s="154" t="s">
        <v>10203</v>
      </c>
      <c r="G4697" s="154">
        <v>5.02729003E8</v>
      </c>
      <c r="H4697" s="156">
        <v>0.0</v>
      </c>
      <c r="I4697" s="156">
        <v>0.0</v>
      </c>
      <c r="J4697" s="156">
        <v>0.0</v>
      </c>
      <c r="K4697" s="154" t="s">
        <v>760</v>
      </c>
    </row>
    <row r="4698">
      <c r="A4698" s="154" t="s">
        <v>10204</v>
      </c>
      <c r="B4698" s="154" t="s">
        <v>10205</v>
      </c>
      <c r="D4698" s="154">
        <v>2.0</v>
      </c>
      <c r="E4698" s="154" t="s">
        <v>761</v>
      </c>
      <c r="F4698" s="154" t="s">
        <v>10206</v>
      </c>
      <c r="G4698" s="154">
        <v>0.0</v>
      </c>
      <c r="H4698" s="154" t="s">
        <v>10207</v>
      </c>
      <c r="I4698" s="154">
        <v>5.06430645E8</v>
      </c>
      <c r="J4698" s="156">
        <v>0.0</v>
      </c>
      <c r="K4698" s="154" t="s">
        <v>760</v>
      </c>
    </row>
    <row r="4699">
      <c r="A4699" s="154" t="s">
        <v>10204</v>
      </c>
      <c r="B4699" s="155"/>
      <c r="C4699" s="154" t="s">
        <v>10205</v>
      </c>
      <c r="D4699" s="155"/>
      <c r="E4699" s="155"/>
      <c r="F4699" s="154" t="s">
        <v>10206</v>
      </c>
      <c r="G4699" s="154">
        <v>0.0</v>
      </c>
      <c r="H4699" s="154" t="s">
        <v>10207</v>
      </c>
      <c r="I4699" s="154">
        <v>5.06430645E8</v>
      </c>
      <c r="J4699" s="156">
        <v>0.0</v>
      </c>
      <c r="K4699" s="154" t="s">
        <v>760</v>
      </c>
    </row>
    <row r="4700">
      <c r="A4700" s="154" t="s">
        <v>10208</v>
      </c>
      <c r="B4700" s="154" t="s">
        <v>10209</v>
      </c>
      <c r="D4700" s="154">
        <v>2.0</v>
      </c>
      <c r="E4700" s="154" t="s">
        <v>761</v>
      </c>
      <c r="F4700" s="154" t="s">
        <v>10210</v>
      </c>
      <c r="G4700" s="156">
        <v>0.0</v>
      </c>
      <c r="H4700" s="156">
        <v>0.0</v>
      </c>
      <c r="I4700" s="154" t="s">
        <v>879</v>
      </c>
      <c r="J4700" s="154" t="s">
        <v>1369</v>
      </c>
      <c r="K4700" s="154" t="s">
        <v>361</v>
      </c>
    </row>
    <row r="4701">
      <c r="A4701" s="154" t="s">
        <v>10208</v>
      </c>
      <c r="B4701" s="155"/>
      <c r="C4701" s="154" t="s">
        <v>10209</v>
      </c>
      <c r="D4701" s="155"/>
      <c r="E4701" s="155"/>
      <c r="F4701" s="154" t="s">
        <v>10210</v>
      </c>
      <c r="G4701" s="156">
        <v>0.0</v>
      </c>
      <c r="H4701" s="156">
        <v>0.0</v>
      </c>
      <c r="I4701" s="154" t="s">
        <v>879</v>
      </c>
      <c r="J4701" s="154" t="s">
        <v>1369</v>
      </c>
      <c r="K4701" s="154" t="s">
        <v>361</v>
      </c>
    </row>
    <row r="4702">
      <c r="A4702" s="154" t="s">
        <v>10211</v>
      </c>
      <c r="B4702" s="154" t="s">
        <v>10212</v>
      </c>
      <c r="D4702" s="154">
        <v>2.0</v>
      </c>
      <c r="E4702" s="154" t="s">
        <v>761</v>
      </c>
      <c r="F4702" s="154" t="s">
        <v>792</v>
      </c>
      <c r="G4702" s="154" t="s">
        <v>793</v>
      </c>
      <c r="H4702" s="154" t="s">
        <v>794</v>
      </c>
      <c r="I4702" s="156">
        <v>0.0</v>
      </c>
      <c r="J4702" s="156">
        <v>0.0</v>
      </c>
      <c r="K4702" s="156">
        <v>0.0</v>
      </c>
    </row>
    <row r="4703">
      <c r="A4703" s="154" t="s">
        <v>10211</v>
      </c>
      <c r="B4703" s="155"/>
      <c r="C4703" s="154" t="s">
        <v>10212</v>
      </c>
      <c r="D4703" s="155"/>
      <c r="E4703" s="155"/>
      <c r="F4703" s="154" t="s">
        <v>10213</v>
      </c>
      <c r="G4703" s="156">
        <v>0.0</v>
      </c>
      <c r="H4703" s="154" t="s">
        <v>10214</v>
      </c>
      <c r="I4703" s="154" t="s">
        <v>10215</v>
      </c>
      <c r="J4703" s="154" t="s">
        <v>10216</v>
      </c>
      <c r="K4703" s="154" t="s">
        <v>361</v>
      </c>
    </row>
    <row r="4704">
      <c r="A4704" s="154" t="s">
        <v>10217</v>
      </c>
      <c r="B4704" s="154" t="s">
        <v>10218</v>
      </c>
      <c r="D4704" s="154">
        <v>2.0</v>
      </c>
      <c r="E4704" s="154" t="s">
        <v>761</v>
      </c>
      <c r="F4704" s="154" t="s">
        <v>10219</v>
      </c>
      <c r="G4704" s="154">
        <v>0.0</v>
      </c>
      <c r="H4704" s="156">
        <v>0.0</v>
      </c>
      <c r="I4704" s="154">
        <v>9.71506509163E11</v>
      </c>
      <c r="J4704" s="156">
        <v>0.0</v>
      </c>
      <c r="K4704" s="154" t="s">
        <v>361</v>
      </c>
    </row>
    <row r="4705">
      <c r="A4705" s="154" t="s">
        <v>10217</v>
      </c>
      <c r="B4705" s="155"/>
      <c r="C4705" s="154" t="s">
        <v>10218</v>
      </c>
      <c r="D4705" s="155"/>
      <c r="E4705" s="155"/>
      <c r="F4705" s="154" t="s">
        <v>10219</v>
      </c>
      <c r="G4705" s="154">
        <v>0.0</v>
      </c>
      <c r="H4705" s="156">
        <v>0.0</v>
      </c>
      <c r="I4705" s="154">
        <v>9.71506509163E11</v>
      </c>
      <c r="J4705" s="156">
        <v>0.0</v>
      </c>
      <c r="K4705" s="154" t="s">
        <v>361</v>
      </c>
    </row>
    <row r="4706">
      <c r="A4706" s="154" t="s">
        <v>10220</v>
      </c>
      <c r="B4706" s="154" t="s">
        <v>10221</v>
      </c>
      <c r="D4706" s="154">
        <v>2.0</v>
      </c>
      <c r="E4706" s="154" t="s">
        <v>761</v>
      </c>
      <c r="F4706" s="154" t="s">
        <v>10222</v>
      </c>
      <c r="G4706" s="154">
        <v>4.2664378E7</v>
      </c>
      <c r="H4706" s="156">
        <v>0.0</v>
      </c>
      <c r="I4706" s="154">
        <v>9.71506529303E11</v>
      </c>
      <c r="J4706" s="156">
        <v>0.0</v>
      </c>
      <c r="K4706" s="154" t="s">
        <v>361</v>
      </c>
    </row>
    <row r="4707">
      <c r="A4707" s="154" t="s">
        <v>10220</v>
      </c>
      <c r="B4707" s="155"/>
      <c r="C4707" s="154" t="s">
        <v>10221</v>
      </c>
      <c r="D4707" s="155"/>
      <c r="E4707" s="155"/>
      <c r="F4707" s="154" t="s">
        <v>10222</v>
      </c>
      <c r="G4707" s="154">
        <v>4.2664378E7</v>
      </c>
      <c r="H4707" s="156">
        <v>0.0</v>
      </c>
      <c r="I4707" s="154">
        <v>9.71506529303E11</v>
      </c>
      <c r="J4707" s="156">
        <v>0.0</v>
      </c>
      <c r="K4707" s="154" t="s">
        <v>361</v>
      </c>
    </row>
    <row r="4708">
      <c r="A4708" s="154" t="s">
        <v>10223</v>
      </c>
      <c r="B4708" s="154" t="s">
        <v>10224</v>
      </c>
      <c r="D4708" s="154">
        <v>2.0</v>
      </c>
      <c r="E4708" s="154" t="s">
        <v>761</v>
      </c>
      <c r="F4708" s="154" t="s">
        <v>10225</v>
      </c>
      <c r="G4708" s="156">
        <v>0.0</v>
      </c>
      <c r="H4708" s="156">
        <v>0.0</v>
      </c>
      <c r="I4708" s="154" t="s">
        <v>10226</v>
      </c>
      <c r="J4708" s="154" t="s">
        <v>10227</v>
      </c>
      <c r="K4708" s="154" t="s">
        <v>776</v>
      </c>
    </row>
    <row r="4709">
      <c r="A4709" s="154" t="s">
        <v>10223</v>
      </c>
      <c r="B4709" s="155"/>
      <c r="C4709" s="154" t="s">
        <v>10224</v>
      </c>
      <c r="D4709" s="155"/>
      <c r="E4709" s="155"/>
      <c r="F4709" s="154" t="s">
        <v>10225</v>
      </c>
      <c r="G4709" s="156">
        <v>0.0</v>
      </c>
      <c r="H4709" s="156">
        <v>0.0</v>
      </c>
      <c r="I4709" s="154" t="s">
        <v>10226</v>
      </c>
      <c r="J4709" s="154" t="s">
        <v>10227</v>
      </c>
      <c r="K4709" s="154" t="s">
        <v>776</v>
      </c>
    </row>
    <row r="4710">
      <c r="A4710" s="154" t="s">
        <v>10228</v>
      </c>
      <c r="B4710" s="155"/>
      <c r="C4710" s="154" t="s">
        <v>10229</v>
      </c>
      <c r="D4710" s="155"/>
      <c r="E4710" s="155"/>
      <c r="F4710" s="154" t="s">
        <v>7714</v>
      </c>
      <c r="G4710" s="154">
        <v>4.3615866E7</v>
      </c>
      <c r="H4710" s="156">
        <v>0.0</v>
      </c>
      <c r="I4710" s="154">
        <v>5.04546607E8</v>
      </c>
      <c r="J4710" s="156">
        <v>0.0</v>
      </c>
      <c r="K4710" s="154" t="s">
        <v>206</v>
      </c>
    </row>
    <row r="4711">
      <c r="A4711" s="154" t="s">
        <v>10228</v>
      </c>
      <c r="B4711" s="154" t="s">
        <v>10229</v>
      </c>
      <c r="D4711" s="154">
        <v>2.0</v>
      </c>
      <c r="E4711" s="154" t="s">
        <v>761</v>
      </c>
      <c r="F4711" s="154" t="s">
        <v>7714</v>
      </c>
      <c r="G4711" s="154">
        <v>4.3615866E7</v>
      </c>
      <c r="H4711" s="156">
        <v>0.0</v>
      </c>
      <c r="I4711" s="154">
        <v>5.04546607E8</v>
      </c>
      <c r="J4711" s="156">
        <v>0.0</v>
      </c>
      <c r="K4711" s="154" t="s">
        <v>206</v>
      </c>
    </row>
    <row r="4712">
      <c r="A4712" s="154" t="s">
        <v>10230</v>
      </c>
      <c r="B4712" s="154" t="s">
        <v>10231</v>
      </c>
      <c r="D4712" s="154">
        <v>2.0</v>
      </c>
      <c r="E4712" s="154" t="s">
        <v>761</v>
      </c>
      <c r="F4712" s="154" t="s">
        <v>10232</v>
      </c>
      <c r="G4712" s="154" t="s">
        <v>10233</v>
      </c>
      <c r="H4712" s="156">
        <v>0.0</v>
      </c>
      <c r="I4712" s="154">
        <v>9.7150652207E11</v>
      </c>
      <c r="J4712" s="156">
        <v>0.0</v>
      </c>
      <c r="K4712" s="154" t="s">
        <v>776</v>
      </c>
    </row>
    <row r="4713">
      <c r="A4713" s="154" t="s">
        <v>10230</v>
      </c>
      <c r="B4713" s="155"/>
      <c r="C4713" s="154" t="s">
        <v>10231</v>
      </c>
      <c r="D4713" s="155"/>
      <c r="E4713" s="155"/>
      <c r="F4713" s="154" t="s">
        <v>10232</v>
      </c>
      <c r="G4713" s="154" t="s">
        <v>10233</v>
      </c>
      <c r="H4713" s="156">
        <v>0.0</v>
      </c>
      <c r="I4713" s="154">
        <v>9.7150652207E11</v>
      </c>
      <c r="J4713" s="156">
        <v>0.0</v>
      </c>
      <c r="K4713" s="154" t="s">
        <v>776</v>
      </c>
    </row>
    <row r="4714">
      <c r="A4714" s="154" t="s">
        <v>10234</v>
      </c>
      <c r="B4714" s="154" t="s">
        <v>10235</v>
      </c>
      <c r="D4714" s="154">
        <v>2.0</v>
      </c>
      <c r="E4714" s="154" t="s">
        <v>761</v>
      </c>
      <c r="F4714" s="154" t="s">
        <v>10236</v>
      </c>
      <c r="G4714" s="154">
        <v>6.6339167E7</v>
      </c>
      <c r="H4714" s="156">
        <v>0.0</v>
      </c>
      <c r="I4714" s="154">
        <v>5.06339167E8</v>
      </c>
      <c r="J4714" s="156">
        <v>0.0</v>
      </c>
      <c r="K4714" s="154" t="s">
        <v>860</v>
      </c>
    </row>
    <row r="4715">
      <c r="A4715" s="154" t="s">
        <v>10234</v>
      </c>
      <c r="B4715" s="155"/>
      <c r="C4715" s="154" t="s">
        <v>10235</v>
      </c>
      <c r="D4715" s="155"/>
      <c r="E4715" s="155"/>
      <c r="F4715" s="154" t="s">
        <v>10236</v>
      </c>
      <c r="G4715" s="154">
        <v>6.6339167E7</v>
      </c>
      <c r="H4715" s="156">
        <v>0.0</v>
      </c>
      <c r="I4715" s="154">
        <v>5.06339167E8</v>
      </c>
      <c r="J4715" s="156">
        <v>0.0</v>
      </c>
      <c r="K4715" s="154" t="s">
        <v>860</v>
      </c>
    </row>
    <row r="4716">
      <c r="A4716" s="154" t="s">
        <v>10237</v>
      </c>
      <c r="B4716" s="155"/>
      <c r="C4716" s="154" t="s">
        <v>10238</v>
      </c>
      <c r="D4716" s="155"/>
      <c r="E4716" s="155"/>
      <c r="F4716" s="154" t="s">
        <v>10239</v>
      </c>
      <c r="G4716" s="156">
        <v>0.0</v>
      </c>
      <c r="H4716" s="156">
        <v>0.0</v>
      </c>
      <c r="I4716" s="156">
        <v>0.0</v>
      </c>
      <c r="J4716" s="156">
        <v>0.0</v>
      </c>
      <c r="K4716" s="154" t="s">
        <v>207</v>
      </c>
    </row>
    <row r="4717">
      <c r="A4717" s="154" t="s">
        <v>10237</v>
      </c>
      <c r="B4717" s="154" t="s">
        <v>10238</v>
      </c>
      <c r="D4717" s="154">
        <v>2.0</v>
      </c>
      <c r="E4717" s="154" t="s">
        <v>761</v>
      </c>
      <c r="F4717" s="154" t="s">
        <v>10239</v>
      </c>
      <c r="G4717" s="156">
        <v>0.0</v>
      </c>
      <c r="H4717" s="156">
        <v>0.0</v>
      </c>
      <c r="I4717" s="156">
        <v>0.0</v>
      </c>
      <c r="J4717" s="156">
        <v>0.0</v>
      </c>
      <c r="K4717" s="154" t="s">
        <v>207</v>
      </c>
    </row>
    <row r="4718">
      <c r="A4718" s="154" t="s">
        <v>10240</v>
      </c>
      <c r="B4718" s="155"/>
      <c r="C4718" s="154" t="s">
        <v>10241</v>
      </c>
      <c r="D4718" s="155"/>
      <c r="E4718" s="155"/>
      <c r="F4718" s="154" t="s">
        <v>10242</v>
      </c>
      <c r="G4718" s="154">
        <v>5.52002444E8</v>
      </c>
      <c r="H4718" s="156">
        <v>0.0</v>
      </c>
      <c r="I4718" s="154">
        <v>5.52002444E8</v>
      </c>
      <c r="J4718" s="156">
        <v>0.0</v>
      </c>
      <c r="K4718" s="154" t="s">
        <v>1891</v>
      </c>
    </row>
    <row r="4719">
      <c r="A4719" s="154" t="s">
        <v>10240</v>
      </c>
      <c r="B4719" s="154" t="s">
        <v>10241</v>
      </c>
      <c r="D4719" s="154">
        <v>2.0</v>
      </c>
      <c r="E4719" s="154" t="s">
        <v>761</v>
      </c>
      <c r="F4719" s="154" t="s">
        <v>792</v>
      </c>
      <c r="G4719" s="154" t="s">
        <v>793</v>
      </c>
      <c r="H4719" s="154" t="s">
        <v>794</v>
      </c>
      <c r="I4719" s="156">
        <v>0.0</v>
      </c>
      <c r="J4719" s="156">
        <v>0.0</v>
      </c>
      <c r="K4719" s="156">
        <v>0.0</v>
      </c>
    </row>
    <row r="4720">
      <c r="A4720" s="154" t="s">
        <v>10243</v>
      </c>
      <c r="B4720" s="155"/>
      <c r="C4720" s="154" t="s">
        <v>10244</v>
      </c>
      <c r="D4720" s="155"/>
      <c r="E4720" s="155"/>
      <c r="F4720" s="154" t="s">
        <v>10245</v>
      </c>
      <c r="G4720" s="156">
        <v>0.0</v>
      </c>
      <c r="H4720" s="156">
        <v>0.0</v>
      </c>
      <c r="I4720" s="154" t="s">
        <v>10246</v>
      </c>
      <c r="J4720" s="156">
        <v>0.0</v>
      </c>
      <c r="K4720" s="154" t="s">
        <v>361</v>
      </c>
    </row>
    <row r="4721">
      <c r="A4721" s="154" t="s">
        <v>10243</v>
      </c>
      <c r="B4721" s="154" t="s">
        <v>10244</v>
      </c>
      <c r="D4721" s="154">
        <v>2.0</v>
      </c>
      <c r="E4721" s="154" t="s">
        <v>761</v>
      </c>
      <c r="F4721" s="154" t="s">
        <v>10245</v>
      </c>
      <c r="G4721" s="156">
        <v>0.0</v>
      </c>
      <c r="H4721" s="156">
        <v>0.0</v>
      </c>
      <c r="I4721" s="154" t="s">
        <v>10246</v>
      </c>
      <c r="J4721" s="156">
        <v>0.0</v>
      </c>
      <c r="K4721" s="154" t="s">
        <v>361</v>
      </c>
    </row>
    <row r="4722">
      <c r="A4722" s="154" t="s">
        <v>10247</v>
      </c>
      <c r="B4722" s="154" t="s">
        <v>10248</v>
      </c>
      <c r="D4722" s="154">
        <v>2.0</v>
      </c>
      <c r="E4722" s="154" t="s">
        <v>761</v>
      </c>
      <c r="F4722" s="154" t="s">
        <v>10249</v>
      </c>
      <c r="G4722" s="156">
        <v>0.0</v>
      </c>
      <c r="H4722" s="156">
        <v>0.0</v>
      </c>
      <c r="I4722" s="154" t="s">
        <v>879</v>
      </c>
      <c r="J4722" s="154" t="s">
        <v>1369</v>
      </c>
      <c r="K4722" s="154" t="s">
        <v>206</v>
      </c>
    </row>
    <row r="4723">
      <c r="A4723" s="154" t="s">
        <v>10247</v>
      </c>
      <c r="B4723" s="155"/>
      <c r="C4723" s="154" t="s">
        <v>10248</v>
      </c>
      <c r="D4723" s="155"/>
      <c r="E4723" s="155"/>
      <c r="F4723" s="154" t="s">
        <v>10249</v>
      </c>
      <c r="G4723" s="156">
        <v>0.0</v>
      </c>
      <c r="H4723" s="156">
        <v>0.0</v>
      </c>
      <c r="I4723" s="154" t="s">
        <v>879</v>
      </c>
      <c r="J4723" s="154" t="s">
        <v>1369</v>
      </c>
      <c r="K4723" s="154" t="s">
        <v>206</v>
      </c>
    </row>
    <row r="4724">
      <c r="A4724" s="154" t="s">
        <v>10250</v>
      </c>
      <c r="B4724" s="154" t="s">
        <v>10251</v>
      </c>
      <c r="D4724" s="154">
        <v>2.0</v>
      </c>
      <c r="E4724" s="154" t="s">
        <v>761</v>
      </c>
      <c r="F4724" s="154" t="s">
        <v>10252</v>
      </c>
      <c r="G4724" s="154">
        <v>4.3861165E7</v>
      </c>
      <c r="H4724" s="156">
        <v>0.0</v>
      </c>
      <c r="I4724" s="154">
        <v>5.05385685E8</v>
      </c>
      <c r="J4724" s="156">
        <v>0.0</v>
      </c>
      <c r="K4724" s="154" t="s">
        <v>259</v>
      </c>
    </row>
    <row r="4725">
      <c r="A4725" s="154" t="s">
        <v>10250</v>
      </c>
      <c r="B4725" s="155"/>
      <c r="C4725" s="154" t="s">
        <v>10251</v>
      </c>
      <c r="D4725" s="155"/>
      <c r="E4725" s="155"/>
      <c r="F4725" s="154" t="s">
        <v>10252</v>
      </c>
      <c r="G4725" s="154">
        <v>4.3861165E7</v>
      </c>
      <c r="H4725" s="156">
        <v>0.0</v>
      </c>
      <c r="I4725" s="154">
        <v>5.05385685E8</v>
      </c>
      <c r="J4725" s="156">
        <v>0.0</v>
      </c>
      <c r="K4725" s="154" t="s">
        <v>259</v>
      </c>
    </row>
    <row r="4726">
      <c r="A4726" s="154" t="s">
        <v>10253</v>
      </c>
      <c r="B4726" s="154" t="s">
        <v>10254</v>
      </c>
      <c r="D4726" s="154">
        <v>2.0</v>
      </c>
      <c r="E4726" s="154" t="s">
        <v>761</v>
      </c>
      <c r="F4726" s="154" t="s">
        <v>10255</v>
      </c>
      <c r="G4726" s="154">
        <v>5.56000083E8</v>
      </c>
      <c r="H4726" s="156">
        <v>0.0</v>
      </c>
      <c r="I4726" s="156">
        <v>0.0</v>
      </c>
      <c r="J4726" s="156">
        <v>0.0</v>
      </c>
      <c r="K4726" s="154" t="s">
        <v>8285</v>
      </c>
    </row>
    <row r="4727">
      <c r="A4727" s="154" t="s">
        <v>10253</v>
      </c>
      <c r="B4727" s="155"/>
      <c r="C4727" s="154" t="s">
        <v>10254</v>
      </c>
      <c r="D4727" s="155"/>
      <c r="E4727" s="155"/>
      <c r="F4727" s="154" t="s">
        <v>10255</v>
      </c>
      <c r="G4727" s="154">
        <v>5.56000083E8</v>
      </c>
      <c r="H4727" s="156">
        <v>0.0</v>
      </c>
      <c r="I4727" s="156">
        <v>0.0</v>
      </c>
      <c r="J4727" s="156">
        <v>0.0</v>
      </c>
      <c r="K4727" s="154" t="s">
        <v>8285</v>
      </c>
    </row>
    <row r="4728">
      <c r="A4728" s="154" t="s">
        <v>10256</v>
      </c>
      <c r="B4728" s="154" t="s">
        <v>10257</v>
      </c>
      <c r="D4728" s="154">
        <v>2.0</v>
      </c>
      <c r="E4728" s="154" t="s">
        <v>761</v>
      </c>
      <c r="F4728" s="154" t="s">
        <v>10258</v>
      </c>
      <c r="G4728" s="154">
        <v>0.0</v>
      </c>
      <c r="H4728" s="156">
        <v>0.0</v>
      </c>
      <c r="I4728" s="156">
        <v>0.0</v>
      </c>
      <c r="J4728" s="156">
        <v>0.0</v>
      </c>
      <c r="K4728" s="156">
        <v>0.0</v>
      </c>
    </row>
    <row r="4729">
      <c r="A4729" s="154" t="s">
        <v>10256</v>
      </c>
      <c r="B4729" s="155"/>
      <c r="C4729" s="154" t="s">
        <v>10257</v>
      </c>
      <c r="D4729" s="155"/>
      <c r="E4729" s="155"/>
      <c r="F4729" s="154" t="s">
        <v>10258</v>
      </c>
      <c r="G4729" s="154">
        <v>0.0</v>
      </c>
      <c r="H4729" s="156">
        <v>0.0</v>
      </c>
      <c r="I4729" s="156">
        <v>0.0</v>
      </c>
      <c r="J4729" s="156">
        <v>0.0</v>
      </c>
      <c r="K4729" s="156">
        <v>0.0</v>
      </c>
    </row>
    <row r="4730">
      <c r="A4730" s="154" t="s">
        <v>10259</v>
      </c>
      <c r="B4730" s="155"/>
      <c r="C4730" s="154" t="s">
        <v>10260</v>
      </c>
      <c r="D4730" s="155"/>
      <c r="E4730" s="155"/>
      <c r="F4730" s="154" t="s">
        <v>10261</v>
      </c>
      <c r="G4730" s="154">
        <v>5.05583896E8</v>
      </c>
      <c r="H4730" s="156">
        <v>0.0</v>
      </c>
      <c r="I4730" s="156">
        <v>0.0</v>
      </c>
      <c r="J4730" s="156">
        <v>0.0</v>
      </c>
      <c r="K4730" s="154" t="s">
        <v>1461</v>
      </c>
    </row>
    <row r="4731">
      <c r="A4731" s="154" t="s">
        <v>10259</v>
      </c>
      <c r="B4731" s="154" t="s">
        <v>10260</v>
      </c>
      <c r="D4731" s="154">
        <v>2.0</v>
      </c>
      <c r="E4731" s="154" t="s">
        <v>761</v>
      </c>
      <c r="F4731" s="154" t="s">
        <v>10261</v>
      </c>
      <c r="G4731" s="154">
        <v>5.05583896E8</v>
      </c>
      <c r="H4731" s="156">
        <v>0.0</v>
      </c>
      <c r="I4731" s="156">
        <v>0.0</v>
      </c>
      <c r="J4731" s="156">
        <v>0.0</v>
      </c>
      <c r="K4731" s="154" t="s">
        <v>1461</v>
      </c>
    </row>
    <row r="4732">
      <c r="A4732" s="154" t="s">
        <v>10262</v>
      </c>
      <c r="B4732" s="154" t="s">
        <v>10263</v>
      </c>
      <c r="D4732" s="154">
        <v>2.0</v>
      </c>
      <c r="E4732" s="154" t="s">
        <v>761</v>
      </c>
      <c r="F4732" s="154" t="s">
        <v>4864</v>
      </c>
      <c r="G4732" s="156">
        <v>0.0</v>
      </c>
      <c r="H4732" s="156">
        <v>0.0</v>
      </c>
      <c r="I4732" s="154" t="s">
        <v>4865</v>
      </c>
      <c r="J4732" s="154" t="s">
        <v>809</v>
      </c>
      <c r="K4732" s="154" t="s">
        <v>760</v>
      </c>
    </row>
    <row r="4733">
      <c r="A4733" s="154" t="s">
        <v>10262</v>
      </c>
      <c r="B4733" s="155"/>
      <c r="C4733" s="154" t="s">
        <v>10263</v>
      </c>
      <c r="D4733" s="155"/>
      <c r="E4733" s="155"/>
      <c r="F4733" s="154" t="s">
        <v>4864</v>
      </c>
      <c r="G4733" s="156">
        <v>0.0</v>
      </c>
      <c r="H4733" s="156">
        <v>0.0</v>
      </c>
      <c r="I4733" s="154" t="s">
        <v>4865</v>
      </c>
      <c r="J4733" s="154" t="s">
        <v>809</v>
      </c>
      <c r="K4733" s="154" t="s">
        <v>760</v>
      </c>
    </row>
    <row r="4734">
      <c r="A4734" s="154" t="s">
        <v>10264</v>
      </c>
      <c r="B4734" s="154" t="s">
        <v>10265</v>
      </c>
      <c r="D4734" s="154">
        <v>2.0</v>
      </c>
      <c r="E4734" s="154" t="s">
        <v>761</v>
      </c>
      <c r="F4734" s="154" t="s">
        <v>10266</v>
      </c>
      <c r="G4734" s="154">
        <v>4.3622292E7</v>
      </c>
      <c r="H4734" s="156">
        <v>0.0</v>
      </c>
      <c r="I4734" s="154">
        <v>5.07283298E8</v>
      </c>
      <c r="J4734" s="156">
        <v>0.0</v>
      </c>
      <c r="K4734" s="154" t="s">
        <v>361</v>
      </c>
    </row>
    <row r="4735">
      <c r="A4735" s="154" t="s">
        <v>10264</v>
      </c>
      <c r="B4735" s="155"/>
      <c r="C4735" s="154" t="s">
        <v>10265</v>
      </c>
      <c r="D4735" s="155"/>
      <c r="E4735" s="155"/>
      <c r="F4735" s="154" t="s">
        <v>10267</v>
      </c>
      <c r="G4735" s="154">
        <v>4.2223333E7</v>
      </c>
      <c r="H4735" s="156">
        <v>0.0</v>
      </c>
      <c r="I4735" s="154">
        <v>5.07283298E8</v>
      </c>
      <c r="J4735" s="156">
        <v>0.0</v>
      </c>
      <c r="K4735" s="154" t="s">
        <v>361</v>
      </c>
    </row>
    <row r="4736">
      <c r="A4736" s="154" t="s">
        <v>10268</v>
      </c>
      <c r="B4736" s="155"/>
      <c r="C4736" s="154" t="s">
        <v>10269</v>
      </c>
      <c r="D4736" s="155"/>
      <c r="E4736" s="155"/>
      <c r="F4736" s="154" t="s">
        <v>10270</v>
      </c>
      <c r="G4736" s="154">
        <v>4.3688808E7</v>
      </c>
      <c r="H4736" s="156">
        <v>0.0</v>
      </c>
      <c r="I4736" s="154">
        <v>5.02831513E8</v>
      </c>
      <c r="J4736" s="156">
        <v>0.0</v>
      </c>
      <c r="K4736" s="154" t="s">
        <v>259</v>
      </c>
    </row>
    <row r="4737">
      <c r="A4737" s="154" t="s">
        <v>10268</v>
      </c>
      <c r="B4737" s="154" t="s">
        <v>10269</v>
      </c>
      <c r="D4737" s="154">
        <v>2.0</v>
      </c>
      <c r="E4737" s="154" t="s">
        <v>761</v>
      </c>
      <c r="F4737" s="154" t="s">
        <v>10270</v>
      </c>
      <c r="G4737" s="154">
        <v>4.3688808E7</v>
      </c>
      <c r="H4737" s="156">
        <v>0.0</v>
      </c>
      <c r="I4737" s="154">
        <v>5.02831513E8</v>
      </c>
      <c r="J4737" s="156">
        <v>0.0</v>
      </c>
      <c r="K4737" s="154" t="s">
        <v>259</v>
      </c>
    </row>
    <row r="4738">
      <c r="A4738" s="154" t="s">
        <v>10271</v>
      </c>
      <c r="B4738" s="155"/>
      <c r="C4738" s="154" t="s">
        <v>10272</v>
      </c>
      <c r="D4738" s="155"/>
      <c r="E4738" s="155"/>
      <c r="F4738" s="154" t="s">
        <v>10273</v>
      </c>
      <c r="G4738" s="154" t="s">
        <v>10274</v>
      </c>
      <c r="H4738" s="156">
        <v>0.0</v>
      </c>
      <c r="I4738" s="154">
        <v>9.71555526759E11</v>
      </c>
      <c r="J4738" s="156">
        <v>0.0</v>
      </c>
      <c r="K4738" s="154" t="s">
        <v>341</v>
      </c>
    </row>
    <row r="4739">
      <c r="A4739" s="154" t="s">
        <v>10271</v>
      </c>
      <c r="B4739" s="154" t="s">
        <v>10272</v>
      </c>
      <c r="D4739" s="154">
        <v>2.0</v>
      </c>
      <c r="E4739" s="154" t="s">
        <v>761</v>
      </c>
      <c r="F4739" s="154" t="s">
        <v>10273</v>
      </c>
      <c r="G4739" s="154" t="s">
        <v>10274</v>
      </c>
      <c r="H4739" s="156">
        <v>0.0</v>
      </c>
      <c r="I4739" s="154">
        <v>9.71555526759E11</v>
      </c>
      <c r="J4739" s="156">
        <v>0.0</v>
      </c>
      <c r="K4739" s="154" t="s">
        <v>341</v>
      </c>
    </row>
    <row r="4740">
      <c r="A4740" s="154" t="s">
        <v>10275</v>
      </c>
      <c r="B4740" s="154" t="s">
        <v>10276</v>
      </c>
      <c r="D4740" s="154">
        <v>2.0</v>
      </c>
      <c r="E4740" s="154" t="s">
        <v>761</v>
      </c>
      <c r="F4740" s="154" t="s">
        <v>2339</v>
      </c>
      <c r="G4740" s="154">
        <v>5.0559677E8</v>
      </c>
      <c r="H4740" s="156">
        <v>0.0</v>
      </c>
      <c r="I4740" s="154">
        <v>1.0</v>
      </c>
      <c r="J4740" s="156">
        <v>0.0</v>
      </c>
      <c r="K4740" s="154" t="s">
        <v>818</v>
      </c>
    </row>
    <row r="4741">
      <c r="A4741" s="154" t="s">
        <v>10275</v>
      </c>
      <c r="B4741" s="155"/>
      <c r="C4741" s="154" t="s">
        <v>10276</v>
      </c>
      <c r="D4741" s="155"/>
      <c r="E4741" s="155"/>
      <c r="F4741" s="154" t="s">
        <v>2339</v>
      </c>
      <c r="G4741" s="154">
        <v>5.0559677E8</v>
      </c>
      <c r="H4741" s="156">
        <v>0.0</v>
      </c>
      <c r="I4741" s="154">
        <v>1.0</v>
      </c>
      <c r="J4741" s="156">
        <v>0.0</v>
      </c>
      <c r="K4741" s="154" t="s">
        <v>818</v>
      </c>
    </row>
    <row r="4742">
      <c r="A4742" s="154" t="s">
        <v>10277</v>
      </c>
      <c r="B4742" s="155"/>
      <c r="C4742" s="154" t="s">
        <v>10278</v>
      </c>
      <c r="D4742" s="155"/>
      <c r="E4742" s="155"/>
      <c r="F4742" s="154" t="s">
        <v>10279</v>
      </c>
      <c r="G4742" s="156">
        <v>0.0</v>
      </c>
      <c r="H4742" s="154" t="s">
        <v>10280</v>
      </c>
      <c r="I4742" s="154" t="s">
        <v>10281</v>
      </c>
      <c r="J4742" s="156">
        <v>0.0</v>
      </c>
      <c r="K4742" s="154" t="s">
        <v>361</v>
      </c>
    </row>
    <row r="4743">
      <c r="A4743" s="154" t="s">
        <v>10277</v>
      </c>
      <c r="B4743" s="154" t="s">
        <v>10278</v>
      </c>
      <c r="D4743" s="154">
        <v>2.0</v>
      </c>
      <c r="E4743" s="154" t="s">
        <v>761</v>
      </c>
      <c r="F4743" s="154" t="s">
        <v>10279</v>
      </c>
      <c r="G4743" s="156">
        <v>0.0</v>
      </c>
      <c r="H4743" s="154" t="s">
        <v>10280</v>
      </c>
      <c r="I4743" s="154" t="s">
        <v>10281</v>
      </c>
      <c r="J4743" s="156">
        <v>0.0</v>
      </c>
      <c r="K4743" s="154" t="s">
        <v>361</v>
      </c>
    </row>
    <row r="4744">
      <c r="A4744" s="154" t="s">
        <v>10282</v>
      </c>
      <c r="B4744" s="155"/>
      <c r="C4744" s="154" t="s">
        <v>10283</v>
      </c>
      <c r="D4744" s="155"/>
      <c r="E4744" s="155"/>
      <c r="F4744" s="154" t="s">
        <v>10284</v>
      </c>
      <c r="G4744" s="154">
        <v>5.06457156E8</v>
      </c>
      <c r="H4744" s="156">
        <v>0.0</v>
      </c>
      <c r="I4744" s="156">
        <v>0.0</v>
      </c>
      <c r="J4744" s="156">
        <v>0.0</v>
      </c>
      <c r="K4744" s="154" t="s">
        <v>361</v>
      </c>
    </row>
    <row r="4745">
      <c r="A4745" s="154" t="s">
        <v>10282</v>
      </c>
      <c r="B4745" s="154" t="s">
        <v>10283</v>
      </c>
      <c r="D4745" s="154">
        <v>2.0</v>
      </c>
      <c r="E4745" s="154" t="s">
        <v>761</v>
      </c>
      <c r="F4745" s="154" t="s">
        <v>10285</v>
      </c>
      <c r="G4745" s="154">
        <v>4.3536892E7</v>
      </c>
      <c r="H4745" s="156">
        <v>0.0</v>
      </c>
      <c r="I4745" s="154">
        <v>5.06457156E8</v>
      </c>
      <c r="J4745" s="156">
        <v>0.0</v>
      </c>
      <c r="K4745" s="154" t="s">
        <v>361</v>
      </c>
    </row>
    <row r="4746">
      <c r="A4746" s="154" t="s">
        <v>10286</v>
      </c>
      <c r="B4746" s="154" t="s">
        <v>10287</v>
      </c>
      <c r="D4746" s="154">
        <v>2.0</v>
      </c>
      <c r="E4746" s="154" t="s">
        <v>761</v>
      </c>
      <c r="F4746" s="154" t="s">
        <v>10288</v>
      </c>
      <c r="G4746" s="156">
        <v>0.0</v>
      </c>
      <c r="H4746" s="154" t="s">
        <v>9392</v>
      </c>
      <c r="I4746" s="154" t="s">
        <v>10289</v>
      </c>
      <c r="J4746" s="156">
        <v>0.0</v>
      </c>
      <c r="K4746" s="154" t="s">
        <v>240</v>
      </c>
    </row>
    <row r="4747">
      <c r="A4747" s="154" t="s">
        <v>10286</v>
      </c>
      <c r="B4747" s="155"/>
      <c r="C4747" s="154" t="s">
        <v>10287</v>
      </c>
      <c r="D4747" s="155"/>
      <c r="E4747" s="155"/>
      <c r="F4747" s="154" t="s">
        <v>994</v>
      </c>
      <c r="G4747" s="154">
        <v>5.0979726E8</v>
      </c>
      <c r="H4747" s="154" t="s">
        <v>995</v>
      </c>
      <c r="I4747" s="156">
        <v>0.0</v>
      </c>
      <c r="J4747" s="156">
        <v>0.0</v>
      </c>
      <c r="K4747" s="156">
        <v>0.0</v>
      </c>
    </row>
    <row r="4748">
      <c r="A4748" s="154" t="s">
        <v>10290</v>
      </c>
      <c r="B4748" s="155"/>
      <c r="C4748" s="154" t="s">
        <v>10291</v>
      </c>
      <c r="D4748" s="155"/>
      <c r="E4748" s="155"/>
      <c r="F4748" s="154" t="s">
        <v>10292</v>
      </c>
      <c r="G4748" s="154">
        <v>5.0708647E8</v>
      </c>
      <c r="H4748" s="156">
        <v>0.0</v>
      </c>
      <c r="I4748" s="156">
        <v>0.0</v>
      </c>
      <c r="J4748" s="156">
        <v>0.0</v>
      </c>
      <c r="K4748" s="154" t="s">
        <v>1874</v>
      </c>
    </row>
    <row r="4749">
      <c r="A4749" s="154" t="s">
        <v>10290</v>
      </c>
      <c r="B4749" s="154" t="s">
        <v>10291</v>
      </c>
      <c r="D4749" s="154">
        <v>2.0</v>
      </c>
      <c r="E4749" s="154" t="s">
        <v>761</v>
      </c>
      <c r="F4749" s="154" t="s">
        <v>10292</v>
      </c>
      <c r="G4749" s="154">
        <v>5.0708647E8</v>
      </c>
      <c r="H4749" s="156">
        <v>0.0</v>
      </c>
      <c r="I4749" s="156">
        <v>0.0</v>
      </c>
      <c r="J4749" s="156">
        <v>0.0</v>
      </c>
      <c r="K4749" s="154" t="s">
        <v>1874</v>
      </c>
    </row>
    <row r="4750">
      <c r="A4750" s="154" t="s">
        <v>10293</v>
      </c>
      <c r="B4750" s="154" t="s">
        <v>10294</v>
      </c>
      <c r="D4750" s="154">
        <v>2.0</v>
      </c>
      <c r="E4750" s="154" t="s">
        <v>761</v>
      </c>
      <c r="F4750" s="154" t="s">
        <v>10295</v>
      </c>
      <c r="G4750" s="154">
        <v>5.03505131E8</v>
      </c>
      <c r="H4750" s="156">
        <v>0.0</v>
      </c>
      <c r="I4750" s="156">
        <v>0.0</v>
      </c>
      <c r="J4750" s="156">
        <v>0.0</v>
      </c>
      <c r="K4750" s="154" t="s">
        <v>776</v>
      </c>
    </row>
    <row r="4751">
      <c r="A4751" s="154" t="s">
        <v>10293</v>
      </c>
      <c r="B4751" s="155"/>
      <c r="C4751" s="154" t="s">
        <v>10294</v>
      </c>
      <c r="D4751" s="155"/>
      <c r="E4751" s="155"/>
      <c r="F4751" s="154" t="s">
        <v>10295</v>
      </c>
      <c r="G4751" s="154">
        <v>5.03505131E8</v>
      </c>
      <c r="H4751" s="156">
        <v>0.0</v>
      </c>
      <c r="I4751" s="156">
        <v>0.0</v>
      </c>
      <c r="J4751" s="156">
        <v>0.0</v>
      </c>
      <c r="K4751" s="154" t="s">
        <v>776</v>
      </c>
    </row>
    <row r="4752">
      <c r="A4752" s="154" t="s">
        <v>10296</v>
      </c>
      <c r="B4752" s="154" t="s">
        <v>10297</v>
      </c>
      <c r="D4752" s="154">
        <v>2.0</v>
      </c>
      <c r="E4752" s="154" t="s">
        <v>761</v>
      </c>
      <c r="F4752" s="154" t="s">
        <v>10298</v>
      </c>
      <c r="G4752" s="156">
        <v>0.0</v>
      </c>
      <c r="H4752" s="156">
        <v>0.0</v>
      </c>
      <c r="I4752" s="154">
        <v>5.05459079E8</v>
      </c>
      <c r="J4752" s="156">
        <v>0.0</v>
      </c>
      <c r="K4752" s="154" t="s">
        <v>760</v>
      </c>
    </row>
    <row r="4753">
      <c r="A4753" s="154" t="s">
        <v>10296</v>
      </c>
      <c r="B4753" s="155"/>
      <c r="C4753" s="154" t="s">
        <v>10297</v>
      </c>
      <c r="D4753" s="155"/>
      <c r="E4753" s="155"/>
      <c r="F4753" s="154" t="s">
        <v>10298</v>
      </c>
      <c r="G4753" s="156">
        <v>0.0</v>
      </c>
      <c r="H4753" s="156">
        <v>0.0</v>
      </c>
      <c r="I4753" s="154">
        <v>5.05459079E8</v>
      </c>
      <c r="J4753" s="156">
        <v>0.0</v>
      </c>
      <c r="K4753" s="154" t="s">
        <v>760</v>
      </c>
    </row>
    <row r="4754">
      <c r="A4754" s="154" t="s">
        <v>10299</v>
      </c>
      <c r="B4754" s="154" t="s">
        <v>10300</v>
      </c>
      <c r="D4754" s="154">
        <v>2.0</v>
      </c>
      <c r="E4754" s="154" t="s">
        <v>761</v>
      </c>
      <c r="F4754" s="154" t="s">
        <v>10301</v>
      </c>
      <c r="G4754" s="154">
        <v>4.2223333E7</v>
      </c>
      <c r="H4754" s="156">
        <v>0.0</v>
      </c>
      <c r="I4754" s="154">
        <v>0.0</v>
      </c>
      <c r="J4754" s="156">
        <v>0.0</v>
      </c>
      <c r="K4754" s="154" t="s">
        <v>760</v>
      </c>
    </row>
    <row r="4755">
      <c r="A4755" s="154" t="s">
        <v>10299</v>
      </c>
      <c r="B4755" s="155"/>
      <c r="C4755" s="154" t="s">
        <v>10300</v>
      </c>
      <c r="D4755" s="155"/>
      <c r="E4755" s="155"/>
      <c r="F4755" s="154" t="s">
        <v>849</v>
      </c>
      <c r="G4755" s="154" t="s">
        <v>850</v>
      </c>
      <c r="H4755" s="154" t="s">
        <v>851</v>
      </c>
      <c r="I4755" s="156">
        <v>0.0</v>
      </c>
      <c r="J4755" s="156">
        <v>0.0</v>
      </c>
      <c r="K4755" s="156">
        <v>0.0</v>
      </c>
    </row>
    <row r="4756">
      <c r="A4756" s="154" t="s">
        <v>10302</v>
      </c>
      <c r="B4756" s="154" t="s">
        <v>10303</v>
      </c>
      <c r="D4756" s="154">
        <v>2.0</v>
      </c>
      <c r="E4756" s="154" t="s">
        <v>761</v>
      </c>
      <c r="F4756" s="154" t="s">
        <v>10304</v>
      </c>
      <c r="G4756" s="156">
        <v>0.0</v>
      </c>
      <c r="H4756" s="156">
        <v>0.0</v>
      </c>
      <c r="I4756" s="154" t="s">
        <v>5999</v>
      </c>
      <c r="J4756" s="154" t="s">
        <v>5997</v>
      </c>
      <c r="K4756" s="154" t="s">
        <v>760</v>
      </c>
    </row>
    <row r="4757">
      <c r="A4757" s="154" t="s">
        <v>10302</v>
      </c>
      <c r="B4757" s="155"/>
      <c r="C4757" s="154" t="s">
        <v>10303</v>
      </c>
      <c r="D4757" s="155"/>
      <c r="E4757" s="155"/>
      <c r="F4757" s="154" t="s">
        <v>10304</v>
      </c>
      <c r="G4757" s="156">
        <v>0.0</v>
      </c>
      <c r="H4757" s="156">
        <v>0.0</v>
      </c>
      <c r="I4757" s="154" t="s">
        <v>5999</v>
      </c>
      <c r="J4757" s="154" t="s">
        <v>5997</v>
      </c>
      <c r="K4757" s="154" t="s">
        <v>760</v>
      </c>
    </row>
    <row r="4758">
      <c r="A4758" s="154" t="s">
        <v>10305</v>
      </c>
      <c r="B4758" s="154" t="s">
        <v>10306</v>
      </c>
      <c r="D4758" s="154">
        <v>2.0</v>
      </c>
      <c r="E4758" s="154" t="s">
        <v>761</v>
      </c>
      <c r="F4758" s="154" t="s">
        <v>10307</v>
      </c>
      <c r="G4758" s="154">
        <v>5.51021119E8</v>
      </c>
      <c r="H4758" s="156">
        <v>0.0</v>
      </c>
      <c r="I4758" s="156">
        <v>0.0</v>
      </c>
      <c r="J4758" s="156">
        <v>0.0</v>
      </c>
      <c r="K4758" s="154" t="s">
        <v>361</v>
      </c>
    </row>
    <row r="4759">
      <c r="A4759" s="154" t="s">
        <v>10305</v>
      </c>
      <c r="B4759" s="155"/>
      <c r="C4759" s="154" t="s">
        <v>10306</v>
      </c>
      <c r="D4759" s="155"/>
      <c r="E4759" s="155"/>
      <c r="F4759" s="154" t="s">
        <v>10307</v>
      </c>
      <c r="G4759" s="154">
        <v>5.51021119E8</v>
      </c>
      <c r="H4759" s="156">
        <v>0.0</v>
      </c>
      <c r="I4759" s="156">
        <v>0.0</v>
      </c>
      <c r="J4759" s="156">
        <v>0.0</v>
      </c>
      <c r="K4759" s="154" t="s">
        <v>361</v>
      </c>
    </row>
    <row r="4760">
      <c r="A4760" s="154" t="s">
        <v>10308</v>
      </c>
      <c r="B4760" s="154" t="s">
        <v>10309</v>
      </c>
      <c r="D4760" s="154">
        <v>2.0</v>
      </c>
      <c r="E4760" s="154" t="s">
        <v>761</v>
      </c>
      <c r="F4760" s="154" t="s">
        <v>10310</v>
      </c>
      <c r="G4760" s="154">
        <v>5.04561068E8</v>
      </c>
      <c r="H4760" s="156">
        <v>0.0</v>
      </c>
      <c r="I4760" s="156">
        <v>0.0</v>
      </c>
      <c r="J4760" s="156">
        <v>0.0</v>
      </c>
      <c r="K4760" s="154" t="s">
        <v>259</v>
      </c>
    </row>
    <row r="4761">
      <c r="A4761" s="154" t="s">
        <v>10308</v>
      </c>
      <c r="B4761" s="155"/>
      <c r="C4761" s="154" t="s">
        <v>10309</v>
      </c>
      <c r="D4761" s="155"/>
      <c r="E4761" s="155"/>
      <c r="F4761" s="154" t="s">
        <v>10310</v>
      </c>
      <c r="G4761" s="154">
        <v>5.04561068E8</v>
      </c>
      <c r="H4761" s="156">
        <v>0.0</v>
      </c>
      <c r="I4761" s="156">
        <v>0.0</v>
      </c>
      <c r="J4761" s="156">
        <v>0.0</v>
      </c>
      <c r="K4761" s="154" t="s">
        <v>259</v>
      </c>
    </row>
    <row r="4762">
      <c r="A4762" s="154" t="s">
        <v>10311</v>
      </c>
      <c r="B4762" s="154" t="s">
        <v>10312</v>
      </c>
      <c r="D4762" s="154">
        <v>2.0</v>
      </c>
      <c r="E4762" s="154" t="s">
        <v>761</v>
      </c>
      <c r="F4762" s="154" t="s">
        <v>10313</v>
      </c>
      <c r="G4762" s="156">
        <v>0.0</v>
      </c>
      <c r="H4762" s="154" t="s">
        <v>10314</v>
      </c>
      <c r="I4762" s="154" t="s">
        <v>10315</v>
      </c>
      <c r="J4762" s="154" t="s">
        <v>10316</v>
      </c>
      <c r="K4762" s="154" t="s">
        <v>1891</v>
      </c>
    </row>
    <row r="4763">
      <c r="A4763" s="154" t="s">
        <v>10311</v>
      </c>
      <c r="B4763" s="155"/>
      <c r="C4763" s="154" t="s">
        <v>10312</v>
      </c>
      <c r="D4763" s="155"/>
      <c r="E4763" s="155"/>
      <c r="F4763" s="154" t="s">
        <v>10313</v>
      </c>
      <c r="G4763" s="156">
        <v>0.0</v>
      </c>
      <c r="H4763" s="154" t="s">
        <v>10314</v>
      </c>
      <c r="I4763" s="154" t="s">
        <v>10315</v>
      </c>
      <c r="J4763" s="154" t="s">
        <v>10316</v>
      </c>
      <c r="K4763" s="154" t="s">
        <v>1891</v>
      </c>
    </row>
    <row r="4764">
      <c r="A4764" s="154" t="s">
        <v>10317</v>
      </c>
      <c r="B4764" s="155"/>
      <c r="C4764" s="154" t="s">
        <v>10318</v>
      </c>
      <c r="D4764" s="155"/>
      <c r="E4764" s="155"/>
      <c r="F4764" s="154" t="s">
        <v>10319</v>
      </c>
      <c r="G4764" s="156">
        <v>0.0</v>
      </c>
      <c r="H4764" s="156">
        <v>0.0</v>
      </c>
      <c r="I4764" s="154">
        <v>9.71557197956E11</v>
      </c>
      <c r="J4764" s="156">
        <v>0.0</v>
      </c>
      <c r="K4764" s="154" t="s">
        <v>846</v>
      </c>
    </row>
    <row r="4765">
      <c r="A4765" s="154" t="s">
        <v>10317</v>
      </c>
      <c r="B4765" s="154" t="s">
        <v>10318</v>
      </c>
      <c r="D4765" s="154">
        <v>2.0</v>
      </c>
      <c r="E4765" s="154" t="s">
        <v>761</v>
      </c>
      <c r="F4765" s="154" t="s">
        <v>10319</v>
      </c>
      <c r="G4765" s="156">
        <v>0.0</v>
      </c>
      <c r="H4765" s="156">
        <v>0.0</v>
      </c>
      <c r="I4765" s="154">
        <v>9.71557197956E11</v>
      </c>
      <c r="J4765" s="156">
        <v>0.0</v>
      </c>
      <c r="K4765" s="154" t="s">
        <v>846</v>
      </c>
    </row>
    <row r="4766">
      <c r="A4766" s="154" t="s">
        <v>10320</v>
      </c>
      <c r="B4766" s="154" t="s">
        <v>10321</v>
      </c>
      <c r="D4766" s="154">
        <v>2.0</v>
      </c>
      <c r="E4766" s="154" t="s">
        <v>761</v>
      </c>
      <c r="F4766" s="154" t="s">
        <v>10322</v>
      </c>
      <c r="G4766" s="156">
        <v>0.0</v>
      </c>
      <c r="H4766" s="156">
        <v>0.0</v>
      </c>
      <c r="I4766" s="154" t="s">
        <v>10323</v>
      </c>
      <c r="J4766" s="154" t="s">
        <v>10324</v>
      </c>
      <c r="K4766" s="154" t="s">
        <v>846</v>
      </c>
    </row>
    <row r="4767">
      <c r="A4767" s="154" t="s">
        <v>10320</v>
      </c>
      <c r="B4767" s="155"/>
      <c r="C4767" s="154" t="s">
        <v>10321</v>
      </c>
      <c r="D4767" s="155"/>
      <c r="E4767" s="155"/>
      <c r="F4767" s="154" t="s">
        <v>10322</v>
      </c>
      <c r="G4767" s="156">
        <v>0.0</v>
      </c>
      <c r="H4767" s="156">
        <v>0.0</v>
      </c>
      <c r="I4767" s="154" t="s">
        <v>10323</v>
      </c>
      <c r="J4767" s="154" t="s">
        <v>10324</v>
      </c>
      <c r="K4767" s="154" t="s">
        <v>846</v>
      </c>
    </row>
    <row r="4768">
      <c r="A4768" s="154" t="s">
        <v>10325</v>
      </c>
      <c r="B4768" s="155"/>
      <c r="C4768" s="154" t="s">
        <v>10326</v>
      </c>
      <c r="D4768" s="155"/>
      <c r="E4768" s="155"/>
      <c r="F4768" s="154" t="s">
        <v>10327</v>
      </c>
      <c r="G4768" s="156">
        <v>0.0</v>
      </c>
      <c r="H4768" s="156">
        <v>0.0</v>
      </c>
      <c r="I4768" s="154">
        <v>5.51042718E8</v>
      </c>
      <c r="J4768" s="156">
        <v>0.0</v>
      </c>
      <c r="K4768" s="154" t="s">
        <v>197</v>
      </c>
    </row>
    <row r="4769">
      <c r="A4769" s="154" t="s">
        <v>10325</v>
      </c>
      <c r="B4769" s="154" t="s">
        <v>10326</v>
      </c>
      <c r="D4769" s="154">
        <v>2.0</v>
      </c>
      <c r="E4769" s="154" t="s">
        <v>761</v>
      </c>
      <c r="F4769" s="154" t="s">
        <v>10328</v>
      </c>
      <c r="G4769" s="154">
        <v>5.09002325E8</v>
      </c>
      <c r="H4769" s="156">
        <v>0.0</v>
      </c>
      <c r="I4769" s="156">
        <v>0.0</v>
      </c>
      <c r="J4769" s="156">
        <v>0.0</v>
      </c>
      <c r="K4769" s="154" t="s">
        <v>259</v>
      </c>
    </row>
    <row r="4770">
      <c r="A4770" s="154" t="s">
        <v>10329</v>
      </c>
      <c r="B4770" s="154" t="s">
        <v>10330</v>
      </c>
      <c r="D4770" s="154">
        <v>2.0</v>
      </c>
      <c r="E4770" s="154" t="s">
        <v>761</v>
      </c>
      <c r="F4770" s="154" t="s">
        <v>10331</v>
      </c>
      <c r="G4770" s="156">
        <v>0.0</v>
      </c>
      <c r="H4770" s="156">
        <v>0.0</v>
      </c>
      <c r="I4770" s="156">
        <v>0.0</v>
      </c>
      <c r="J4770" s="156">
        <v>0.0</v>
      </c>
      <c r="K4770" s="154" t="s">
        <v>240</v>
      </c>
    </row>
    <row r="4771">
      <c r="A4771" s="154" t="s">
        <v>10329</v>
      </c>
      <c r="B4771" s="155"/>
      <c r="C4771" s="154" t="s">
        <v>10330</v>
      </c>
      <c r="D4771" s="155"/>
      <c r="E4771" s="155"/>
      <c r="F4771" s="154" t="s">
        <v>10332</v>
      </c>
      <c r="G4771" s="154">
        <v>0.0</v>
      </c>
      <c r="H4771" s="156">
        <v>0.0</v>
      </c>
      <c r="I4771" s="154">
        <v>9.7150427133E11</v>
      </c>
      <c r="J4771" s="156">
        <v>0.0</v>
      </c>
      <c r="K4771" s="154" t="s">
        <v>240</v>
      </c>
    </row>
    <row r="4772">
      <c r="A4772" s="154" t="s">
        <v>10333</v>
      </c>
      <c r="B4772" s="154" t="s">
        <v>10334</v>
      </c>
      <c r="D4772" s="154">
        <v>2.0</v>
      </c>
      <c r="E4772" s="154" t="s">
        <v>761</v>
      </c>
      <c r="F4772" s="154" t="s">
        <v>10335</v>
      </c>
      <c r="G4772" s="154" t="s">
        <v>10336</v>
      </c>
      <c r="H4772" s="156">
        <v>0.0</v>
      </c>
      <c r="I4772" s="154">
        <v>9.71506563616E11</v>
      </c>
      <c r="J4772" s="156">
        <v>0.0</v>
      </c>
      <c r="K4772" s="154" t="s">
        <v>207</v>
      </c>
    </row>
    <row r="4773">
      <c r="A4773" s="154" t="s">
        <v>10333</v>
      </c>
      <c r="B4773" s="155"/>
      <c r="C4773" s="154" t="s">
        <v>10334</v>
      </c>
      <c r="D4773" s="155"/>
      <c r="E4773" s="155"/>
      <c r="F4773" s="154" t="s">
        <v>10335</v>
      </c>
      <c r="G4773" s="154" t="s">
        <v>10336</v>
      </c>
      <c r="H4773" s="156">
        <v>0.0</v>
      </c>
      <c r="I4773" s="154">
        <v>9.71506563616E11</v>
      </c>
      <c r="J4773" s="156">
        <v>0.0</v>
      </c>
      <c r="K4773" s="154" t="s">
        <v>207</v>
      </c>
    </row>
    <row r="4774">
      <c r="A4774" s="154" t="s">
        <v>10337</v>
      </c>
      <c r="B4774" s="155"/>
      <c r="C4774" s="154" t="s">
        <v>10338</v>
      </c>
      <c r="D4774" s="155"/>
      <c r="E4774" s="155"/>
      <c r="F4774" s="154" t="s">
        <v>10339</v>
      </c>
      <c r="G4774" s="156">
        <v>0.0</v>
      </c>
      <c r="H4774" s="156">
        <v>0.0</v>
      </c>
      <c r="I4774" s="154">
        <v>5.0697511E8</v>
      </c>
      <c r="J4774" s="156">
        <v>0.0</v>
      </c>
      <c r="K4774" s="154" t="s">
        <v>240</v>
      </c>
    </row>
    <row r="4775">
      <c r="A4775" s="154" t="s">
        <v>10337</v>
      </c>
      <c r="B4775" s="154" t="s">
        <v>10338</v>
      </c>
      <c r="D4775" s="154">
        <v>1.0</v>
      </c>
      <c r="E4775" s="154" t="s">
        <v>761</v>
      </c>
      <c r="F4775" s="154" t="s">
        <v>10339</v>
      </c>
      <c r="G4775" s="156">
        <v>0.0</v>
      </c>
      <c r="H4775" s="156">
        <v>0.0</v>
      </c>
      <c r="I4775" s="154">
        <v>5.0697511E8</v>
      </c>
      <c r="J4775" s="156">
        <v>0.0</v>
      </c>
      <c r="K4775" s="154" t="s">
        <v>240</v>
      </c>
    </row>
    <row r="4776">
      <c r="A4776" s="154" t="s">
        <v>10340</v>
      </c>
      <c r="B4776" s="154" t="s">
        <v>10341</v>
      </c>
      <c r="D4776" s="154">
        <v>1.0</v>
      </c>
      <c r="E4776" s="154" t="s">
        <v>761</v>
      </c>
      <c r="F4776" s="154" t="s">
        <v>3640</v>
      </c>
      <c r="G4776" s="154" t="s">
        <v>3641</v>
      </c>
      <c r="H4776" s="154" t="s">
        <v>3642</v>
      </c>
      <c r="I4776" s="154" t="s">
        <v>3643</v>
      </c>
      <c r="J4776" s="156">
        <v>0.0</v>
      </c>
      <c r="K4776" s="154" t="s">
        <v>240</v>
      </c>
    </row>
    <row r="4777">
      <c r="A4777" s="154" t="s">
        <v>10340</v>
      </c>
      <c r="B4777" s="155"/>
      <c r="C4777" s="154" t="s">
        <v>10341</v>
      </c>
      <c r="D4777" s="155"/>
      <c r="E4777" s="155"/>
      <c r="F4777" s="154" t="s">
        <v>3640</v>
      </c>
      <c r="G4777" s="154" t="s">
        <v>3641</v>
      </c>
      <c r="H4777" s="154" t="s">
        <v>3642</v>
      </c>
      <c r="I4777" s="154" t="s">
        <v>3643</v>
      </c>
      <c r="J4777" s="156">
        <v>0.0</v>
      </c>
      <c r="K4777" s="154" t="s">
        <v>240</v>
      </c>
    </row>
    <row r="4778">
      <c r="A4778" s="154" t="s">
        <v>10342</v>
      </c>
      <c r="B4778" s="155"/>
      <c r="C4778" s="154" t="s">
        <v>10343</v>
      </c>
      <c r="D4778" s="155"/>
      <c r="E4778" s="155"/>
      <c r="F4778" s="154" t="s">
        <v>10344</v>
      </c>
      <c r="G4778" s="154">
        <v>5.02970014E8</v>
      </c>
      <c r="H4778" s="156">
        <v>0.0</v>
      </c>
      <c r="I4778" s="154">
        <v>5.02970014E8</v>
      </c>
      <c r="J4778" s="156">
        <v>0.0</v>
      </c>
      <c r="K4778" s="154" t="s">
        <v>197</v>
      </c>
    </row>
    <row r="4779">
      <c r="A4779" s="154" t="s">
        <v>10342</v>
      </c>
      <c r="B4779" s="155"/>
      <c r="C4779" s="155"/>
      <c r="D4779" s="154">
        <v>2.0</v>
      </c>
      <c r="E4779" s="154" t="s">
        <v>761</v>
      </c>
      <c r="F4779" s="154" t="s">
        <v>10344</v>
      </c>
      <c r="G4779" s="154">
        <v>5.02970014E8</v>
      </c>
      <c r="H4779" s="156">
        <v>0.0</v>
      </c>
      <c r="I4779" s="154">
        <v>5.02970014E8</v>
      </c>
      <c r="J4779" s="156">
        <v>0.0</v>
      </c>
      <c r="K4779" s="154" t="s">
        <v>197</v>
      </c>
    </row>
    <row r="4780">
      <c r="A4780" s="154" t="s">
        <v>10345</v>
      </c>
      <c r="B4780" s="155"/>
      <c r="C4780" s="154" t="s">
        <v>10346</v>
      </c>
      <c r="D4780" s="155"/>
      <c r="E4780" s="155"/>
      <c r="F4780" s="154" t="s">
        <v>1547</v>
      </c>
      <c r="G4780" s="154">
        <v>0.0</v>
      </c>
      <c r="H4780" s="156">
        <v>0.0</v>
      </c>
      <c r="I4780" s="156">
        <v>0.0</v>
      </c>
      <c r="J4780" s="156">
        <v>0.0</v>
      </c>
      <c r="K4780" s="156">
        <v>0.0</v>
      </c>
    </row>
    <row r="4781">
      <c r="A4781" s="154" t="s">
        <v>10345</v>
      </c>
      <c r="B4781" s="154" t="s">
        <v>10346</v>
      </c>
      <c r="D4781" s="154">
        <v>2.0</v>
      </c>
      <c r="E4781" s="154" t="s">
        <v>761</v>
      </c>
      <c r="F4781" s="154" t="s">
        <v>1547</v>
      </c>
      <c r="G4781" s="154">
        <v>0.0</v>
      </c>
      <c r="H4781" s="156">
        <v>0.0</v>
      </c>
      <c r="I4781" s="156">
        <v>0.0</v>
      </c>
      <c r="J4781" s="156">
        <v>0.0</v>
      </c>
      <c r="K4781" s="156">
        <v>0.0</v>
      </c>
    </row>
    <row r="4782">
      <c r="A4782" s="154" t="s">
        <v>10347</v>
      </c>
      <c r="B4782" s="154" t="s">
        <v>10348</v>
      </c>
      <c r="C4782" s="155"/>
      <c r="D4782" s="154">
        <v>2.0</v>
      </c>
      <c r="E4782" s="154" t="s">
        <v>897</v>
      </c>
      <c r="F4782" s="154" t="s">
        <v>10349</v>
      </c>
      <c r="G4782" s="154">
        <v>5.55804843E8</v>
      </c>
      <c r="H4782" s="154" t="s">
        <v>10350</v>
      </c>
      <c r="I4782" s="154">
        <v>5.09114843E8</v>
      </c>
      <c r="J4782" s="156">
        <v>0.0</v>
      </c>
      <c r="K4782" s="154" t="s">
        <v>361</v>
      </c>
    </row>
    <row r="4783">
      <c r="A4783" s="154" t="s">
        <v>10347</v>
      </c>
      <c r="B4783" s="155"/>
      <c r="C4783" s="154" t="s">
        <v>10348</v>
      </c>
      <c r="D4783" s="155"/>
      <c r="E4783" s="155"/>
      <c r="F4783" s="154" t="s">
        <v>10349</v>
      </c>
      <c r="G4783" s="154">
        <v>5.55804843E8</v>
      </c>
      <c r="H4783" s="154" t="s">
        <v>10350</v>
      </c>
      <c r="I4783" s="154">
        <v>5.09114843E8</v>
      </c>
      <c r="J4783" s="156">
        <v>0.0</v>
      </c>
      <c r="K4783" s="154" t="s">
        <v>361</v>
      </c>
    </row>
    <row r="4784">
      <c r="A4784" s="154" t="s">
        <v>10351</v>
      </c>
      <c r="B4784" s="155"/>
      <c r="C4784" s="154" t="s">
        <v>10352</v>
      </c>
      <c r="D4784" s="155"/>
      <c r="E4784" s="155"/>
      <c r="F4784" s="154" t="s">
        <v>10353</v>
      </c>
      <c r="G4784" s="154">
        <v>5.52000526E8</v>
      </c>
      <c r="H4784" s="156">
        <v>0.0</v>
      </c>
      <c r="I4784" s="156">
        <v>0.0</v>
      </c>
      <c r="J4784" s="156">
        <v>0.0</v>
      </c>
      <c r="K4784" s="154" t="s">
        <v>206</v>
      </c>
    </row>
    <row r="4785">
      <c r="A4785" s="154" t="s">
        <v>10351</v>
      </c>
      <c r="B4785" s="154" t="s">
        <v>10352</v>
      </c>
      <c r="C4785" s="155"/>
      <c r="D4785" s="154">
        <v>2.0</v>
      </c>
      <c r="E4785" s="154" t="s">
        <v>897</v>
      </c>
      <c r="F4785" s="154" t="s">
        <v>10353</v>
      </c>
      <c r="G4785" s="154">
        <v>5.52000526E8</v>
      </c>
      <c r="H4785" s="156">
        <v>0.0</v>
      </c>
      <c r="I4785" s="156">
        <v>0.0</v>
      </c>
      <c r="J4785" s="156">
        <v>0.0</v>
      </c>
      <c r="K4785" s="154" t="s">
        <v>206</v>
      </c>
    </row>
    <row r="4786">
      <c r="A4786" s="154" t="s">
        <v>10354</v>
      </c>
      <c r="B4786" s="154" t="s">
        <v>10355</v>
      </c>
      <c r="C4786" s="155"/>
      <c r="D4786" s="154">
        <v>2.0</v>
      </c>
      <c r="E4786" s="154" t="s">
        <v>897</v>
      </c>
      <c r="F4786" s="154" t="s">
        <v>6742</v>
      </c>
      <c r="G4786" s="154">
        <v>5.05519272E8</v>
      </c>
      <c r="H4786" s="156">
        <v>0.0</v>
      </c>
      <c r="I4786" s="154" t="s">
        <v>6743</v>
      </c>
      <c r="J4786" s="156">
        <v>0.0</v>
      </c>
      <c r="K4786" s="154" t="s">
        <v>197</v>
      </c>
    </row>
    <row r="4787">
      <c r="A4787" s="154" t="s">
        <v>10354</v>
      </c>
      <c r="B4787" s="155"/>
      <c r="C4787" s="154" t="s">
        <v>10355</v>
      </c>
      <c r="D4787" s="155"/>
      <c r="E4787" s="155"/>
      <c r="F4787" s="154" t="s">
        <v>6742</v>
      </c>
      <c r="G4787" s="154">
        <v>5.05519272E8</v>
      </c>
      <c r="H4787" s="156">
        <v>0.0</v>
      </c>
      <c r="I4787" s="154" t="s">
        <v>6743</v>
      </c>
      <c r="J4787" s="156">
        <v>0.0</v>
      </c>
      <c r="K4787" s="154" t="s">
        <v>197</v>
      </c>
    </row>
    <row r="4788">
      <c r="A4788" s="154" t="s">
        <v>10356</v>
      </c>
      <c r="B4788" s="154" t="s">
        <v>10357</v>
      </c>
      <c r="C4788" s="155"/>
      <c r="D4788" s="154">
        <v>2.0</v>
      </c>
      <c r="E4788" s="154" t="s">
        <v>897</v>
      </c>
      <c r="F4788" s="154" t="s">
        <v>10358</v>
      </c>
      <c r="G4788" s="154" t="s">
        <v>10359</v>
      </c>
      <c r="H4788" s="154" t="s">
        <v>10360</v>
      </c>
      <c r="I4788" s="154" t="s">
        <v>10361</v>
      </c>
      <c r="J4788" s="156">
        <v>0.0</v>
      </c>
      <c r="K4788" s="154" t="s">
        <v>776</v>
      </c>
    </row>
    <row r="4789">
      <c r="A4789" s="154" t="s">
        <v>10356</v>
      </c>
      <c r="B4789" s="155"/>
      <c r="C4789" s="154" t="s">
        <v>10357</v>
      </c>
      <c r="D4789" s="155"/>
      <c r="E4789" s="155"/>
      <c r="F4789" s="154" t="s">
        <v>10358</v>
      </c>
      <c r="G4789" s="154" t="s">
        <v>10359</v>
      </c>
      <c r="H4789" s="154" t="s">
        <v>10360</v>
      </c>
      <c r="I4789" s="154" t="s">
        <v>10361</v>
      </c>
      <c r="J4789" s="156">
        <v>0.0</v>
      </c>
      <c r="K4789" s="154" t="s">
        <v>776</v>
      </c>
    </row>
    <row r="4790">
      <c r="A4790" s="154" t="s">
        <v>10362</v>
      </c>
      <c r="B4790" s="154" t="s">
        <v>10363</v>
      </c>
      <c r="C4790" s="155"/>
      <c r="D4790" s="154">
        <v>2.0</v>
      </c>
      <c r="E4790" s="154" t="s">
        <v>897</v>
      </c>
      <c r="F4790" s="154" t="s">
        <v>10364</v>
      </c>
      <c r="G4790" s="154">
        <v>4.35783E7</v>
      </c>
      <c r="H4790" s="156">
        <v>0.0</v>
      </c>
      <c r="I4790" s="156">
        <v>0.0</v>
      </c>
      <c r="J4790" s="156">
        <v>0.0</v>
      </c>
      <c r="K4790" s="156">
        <v>0.0</v>
      </c>
    </row>
    <row r="4791">
      <c r="A4791" s="154" t="s">
        <v>10362</v>
      </c>
      <c r="B4791" s="155"/>
      <c r="C4791" s="154" t="s">
        <v>10363</v>
      </c>
      <c r="D4791" s="155"/>
      <c r="E4791" s="155"/>
      <c r="F4791" s="154" t="s">
        <v>10364</v>
      </c>
      <c r="G4791" s="154">
        <v>4.35783E7</v>
      </c>
      <c r="H4791" s="156">
        <v>0.0</v>
      </c>
      <c r="I4791" s="156">
        <v>0.0</v>
      </c>
      <c r="J4791" s="156">
        <v>0.0</v>
      </c>
      <c r="K4791" s="156">
        <v>0.0</v>
      </c>
    </row>
    <row r="4792">
      <c r="A4792" s="154" t="s">
        <v>10365</v>
      </c>
      <c r="B4792" s="155"/>
      <c r="C4792" s="154" t="s">
        <v>10366</v>
      </c>
      <c r="D4792" s="155"/>
      <c r="E4792" s="155"/>
      <c r="F4792" s="154" t="s">
        <v>10367</v>
      </c>
      <c r="G4792" s="156">
        <v>0.0</v>
      </c>
      <c r="H4792" s="154" t="s">
        <v>10368</v>
      </c>
      <c r="I4792" s="154" t="s">
        <v>10369</v>
      </c>
      <c r="J4792" s="156">
        <v>0.0</v>
      </c>
      <c r="K4792" s="154" t="s">
        <v>1059</v>
      </c>
    </row>
    <row r="4793">
      <c r="A4793" s="154" t="s">
        <v>10365</v>
      </c>
      <c r="B4793" s="154" t="s">
        <v>10366</v>
      </c>
      <c r="C4793" s="155"/>
      <c r="D4793" s="154">
        <v>2.0</v>
      </c>
      <c r="E4793" s="154" t="s">
        <v>897</v>
      </c>
      <c r="F4793" s="154" t="s">
        <v>10370</v>
      </c>
      <c r="G4793" s="156">
        <v>0.0</v>
      </c>
      <c r="H4793" s="154" t="s">
        <v>10368</v>
      </c>
      <c r="I4793" s="154" t="s">
        <v>10369</v>
      </c>
      <c r="J4793" s="156">
        <v>0.0</v>
      </c>
      <c r="K4793" s="154" t="s">
        <v>1059</v>
      </c>
    </row>
    <row r="4794">
      <c r="A4794" s="154" t="s">
        <v>10371</v>
      </c>
      <c r="B4794" s="155"/>
      <c r="C4794" s="154" t="s">
        <v>10372</v>
      </c>
      <c r="D4794" s="155"/>
      <c r="E4794" s="155"/>
      <c r="F4794" s="154" t="s">
        <v>10373</v>
      </c>
      <c r="G4794" s="154">
        <v>4.4776993015E11</v>
      </c>
      <c r="H4794" s="156">
        <v>0.0</v>
      </c>
      <c r="I4794" s="154">
        <v>9.71509953503E11</v>
      </c>
      <c r="J4794" s="156">
        <v>0.0</v>
      </c>
      <c r="K4794" s="154" t="s">
        <v>259</v>
      </c>
    </row>
    <row r="4795">
      <c r="A4795" s="154" t="s">
        <v>10371</v>
      </c>
      <c r="B4795" s="154" t="s">
        <v>10372</v>
      </c>
      <c r="C4795" s="155"/>
      <c r="D4795" s="154">
        <v>2.0</v>
      </c>
      <c r="E4795" s="154" t="s">
        <v>897</v>
      </c>
      <c r="F4795" s="154" t="s">
        <v>10373</v>
      </c>
      <c r="G4795" s="154">
        <v>4.4776993015E11</v>
      </c>
      <c r="H4795" s="156">
        <v>0.0</v>
      </c>
      <c r="I4795" s="154">
        <v>9.71509953503E11</v>
      </c>
      <c r="J4795" s="156">
        <v>0.0</v>
      </c>
      <c r="K4795" s="154" t="s">
        <v>259</v>
      </c>
    </row>
    <row r="4796">
      <c r="A4796" s="154" t="s">
        <v>10374</v>
      </c>
      <c r="B4796" s="155"/>
      <c r="C4796" s="154" t="s">
        <v>10375</v>
      </c>
      <c r="D4796" s="155"/>
      <c r="E4796" s="155"/>
      <c r="F4796" s="154" t="s">
        <v>2769</v>
      </c>
      <c r="G4796" s="156">
        <v>0.0</v>
      </c>
      <c r="H4796" s="156">
        <v>0.0</v>
      </c>
      <c r="I4796" s="154" t="s">
        <v>2770</v>
      </c>
      <c r="J4796" s="154" t="s">
        <v>2771</v>
      </c>
      <c r="K4796" s="154" t="s">
        <v>1426</v>
      </c>
    </row>
    <row r="4797">
      <c r="A4797" s="154" t="s">
        <v>10374</v>
      </c>
      <c r="B4797" s="154" t="s">
        <v>10375</v>
      </c>
      <c r="C4797" s="155"/>
      <c r="D4797" s="154">
        <v>2.0</v>
      </c>
      <c r="E4797" s="154" t="s">
        <v>897</v>
      </c>
      <c r="F4797" s="154" t="s">
        <v>2769</v>
      </c>
      <c r="G4797" s="156">
        <v>0.0</v>
      </c>
      <c r="H4797" s="156">
        <v>0.0</v>
      </c>
      <c r="I4797" s="154" t="s">
        <v>2770</v>
      </c>
      <c r="J4797" s="154" t="s">
        <v>2771</v>
      </c>
      <c r="K4797" s="154" t="s">
        <v>1426</v>
      </c>
    </row>
    <row r="4798">
      <c r="A4798" s="154" t="s">
        <v>10376</v>
      </c>
      <c r="B4798" s="155"/>
      <c r="C4798" s="154" t="s">
        <v>10377</v>
      </c>
      <c r="D4798" s="155"/>
      <c r="E4798" s="155"/>
      <c r="F4798" s="154" t="s">
        <v>10378</v>
      </c>
      <c r="G4798" s="156">
        <v>0.0</v>
      </c>
      <c r="H4798" s="156">
        <v>0.0</v>
      </c>
      <c r="I4798" s="154" t="s">
        <v>10379</v>
      </c>
      <c r="J4798" s="156">
        <v>0.0</v>
      </c>
      <c r="K4798" s="154" t="s">
        <v>361</v>
      </c>
    </row>
    <row r="4799">
      <c r="A4799" s="154" t="s">
        <v>10376</v>
      </c>
      <c r="B4799" s="154" t="s">
        <v>10377</v>
      </c>
      <c r="C4799" s="155"/>
      <c r="D4799" s="154">
        <v>2.0</v>
      </c>
      <c r="E4799" s="154" t="s">
        <v>897</v>
      </c>
      <c r="F4799" s="154" t="s">
        <v>10378</v>
      </c>
      <c r="G4799" s="156">
        <v>0.0</v>
      </c>
      <c r="H4799" s="156">
        <v>0.0</v>
      </c>
      <c r="I4799" s="154" t="s">
        <v>10379</v>
      </c>
      <c r="J4799" s="156">
        <v>0.0</v>
      </c>
      <c r="K4799" s="154" t="s">
        <v>361</v>
      </c>
    </row>
    <row r="4800">
      <c r="A4800" s="154" t="s">
        <v>10380</v>
      </c>
      <c r="B4800" s="155"/>
      <c r="C4800" s="154" t="s">
        <v>10381</v>
      </c>
      <c r="D4800" s="155"/>
      <c r="E4800" s="155"/>
      <c r="F4800" s="154" t="s">
        <v>10382</v>
      </c>
      <c r="G4800" s="154" t="s">
        <v>10383</v>
      </c>
      <c r="H4800" s="156">
        <v>0.0</v>
      </c>
      <c r="I4800" s="154" t="s">
        <v>10384</v>
      </c>
      <c r="J4800" s="156">
        <v>0.0</v>
      </c>
      <c r="K4800" s="154" t="s">
        <v>259</v>
      </c>
    </row>
    <row r="4801">
      <c r="A4801" s="154" t="s">
        <v>10380</v>
      </c>
      <c r="B4801" s="154" t="s">
        <v>10381</v>
      </c>
      <c r="C4801" s="155"/>
      <c r="D4801" s="154">
        <v>2.0</v>
      </c>
      <c r="E4801" s="154" t="s">
        <v>897</v>
      </c>
      <c r="F4801" s="154" t="s">
        <v>10385</v>
      </c>
      <c r="G4801" s="154" t="s">
        <v>10383</v>
      </c>
      <c r="H4801" s="156">
        <v>0.0</v>
      </c>
      <c r="I4801" s="154" t="s">
        <v>10384</v>
      </c>
      <c r="J4801" s="156">
        <v>0.0</v>
      </c>
      <c r="K4801" s="154" t="s">
        <v>259</v>
      </c>
    </row>
    <row r="4802">
      <c r="A4802" s="154" t="s">
        <v>10386</v>
      </c>
      <c r="B4802" s="155"/>
      <c r="C4802" s="154" t="s">
        <v>10387</v>
      </c>
      <c r="D4802" s="155"/>
      <c r="E4802" s="155"/>
      <c r="F4802" s="154" t="s">
        <v>10388</v>
      </c>
      <c r="G4802" s="154">
        <v>4.353508E7</v>
      </c>
      <c r="H4802" s="156">
        <v>0.0</v>
      </c>
      <c r="I4802" s="154">
        <v>9.71566826509E11</v>
      </c>
      <c r="J4802" s="156">
        <v>0.0</v>
      </c>
      <c r="K4802" s="154" t="s">
        <v>259</v>
      </c>
    </row>
    <row r="4803">
      <c r="A4803" s="154" t="s">
        <v>10386</v>
      </c>
      <c r="B4803" s="154" t="s">
        <v>10387</v>
      </c>
      <c r="C4803" s="155"/>
      <c r="D4803" s="154">
        <v>2.0</v>
      </c>
      <c r="E4803" s="154" t="s">
        <v>897</v>
      </c>
      <c r="F4803" s="154" t="s">
        <v>10388</v>
      </c>
      <c r="G4803" s="154">
        <v>4.353508E7</v>
      </c>
      <c r="H4803" s="156">
        <v>0.0</v>
      </c>
      <c r="I4803" s="154">
        <v>9.71566826509E11</v>
      </c>
      <c r="J4803" s="156">
        <v>0.0</v>
      </c>
      <c r="K4803" s="154" t="s">
        <v>259</v>
      </c>
    </row>
    <row r="4804">
      <c r="A4804" s="154" t="s">
        <v>10389</v>
      </c>
      <c r="B4804" s="155"/>
      <c r="C4804" s="154" t="s">
        <v>10390</v>
      </c>
      <c r="D4804" s="155"/>
      <c r="E4804" s="155"/>
      <c r="F4804" s="154" t="s">
        <v>10391</v>
      </c>
      <c r="G4804" s="154">
        <v>0.0</v>
      </c>
      <c r="H4804" s="156">
        <v>0.0</v>
      </c>
      <c r="I4804" s="154">
        <v>9.716753208E9</v>
      </c>
      <c r="J4804" s="156">
        <v>0.0</v>
      </c>
      <c r="K4804" s="154" t="s">
        <v>361</v>
      </c>
    </row>
    <row r="4805">
      <c r="A4805" s="154" t="s">
        <v>10389</v>
      </c>
      <c r="B4805" s="154" t="s">
        <v>10390</v>
      </c>
      <c r="C4805" s="155"/>
      <c r="D4805" s="154">
        <v>2.0</v>
      </c>
      <c r="E4805" s="154" t="s">
        <v>897</v>
      </c>
      <c r="F4805" s="154" t="s">
        <v>10392</v>
      </c>
      <c r="G4805" s="155">
        <f>+97165776998</f>
        <v>97165776998</v>
      </c>
      <c r="H4805" s="154" t="s">
        <v>10393</v>
      </c>
      <c r="I4805" s="154">
        <v>5.6441026E7</v>
      </c>
      <c r="J4805" s="156">
        <v>0.0</v>
      </c>
      <c r="K4805" s="154" t="s">
        <v>361</v>
      </c>
    </row>
    <row r="4806">
      <c r="A4806" s="154" t="s">
        <v>10394</v>
      </c>
      <c r="B4806" s="154" t="s">
        <v>10395</v>
      </c>
      <c r="C4806" s="155"/>
      <c r="D4806" s="154">
        <v>2.0</v>
      </c>
      <c r="E4806" s="154" t="s">
        <v>897</v>
      </c>
      <c r="F4806" s="154" t="s">
        <v>10396</v>
      </c>
      <c r="G4806" s="154">
        <v>4.5529869E7</v>
      </c>
      <c r="H4806" s="154" t="s">
        <v>10397</v>
      </c>
      <c r="I4806" s="154">
        <v>9.71504566777E11</v>
      </c>
      <c r="J4806" s="154" t="s">
        <v>10398</v>
      </c>
      <c r="K4806" s="154" t="s">
        <v>207</v>
      </c>
    </row>
    <row r="4807">
      <c r="A4807" s="154" t="s">
        <v>10394</v>
      </c>
      <c r="B4807" s="155"/>
      <c r="C4807" s="154" t="s">
        <v>10395</v>
      </c>
      <c r="D4807" s="155"/>
      <c r="E4807" s="155"/>
      <c r="F4807" s="154" t="s">
        <v>10396</v>
      </c>
      <c r="G4807" s="154">
        <v>4.5529869E7</v>
      </c>
      <c r="H4807" s="154" t="s">
        <v>10397</v>
      </c>
      <c r="I4807" s="154">
        <v>9.71504566777E11</v>
      </c>
      <c r="J4807" s="154" t="s">
        <v>10398</v>
      </c>
      <c r="K4807" s="154" t="s">
        <v>207</v>
      </c>
    </row>
    <row r="4808">
      <c r="A4808" s="154" t="s">
        <v>10399</v>
      </c>
      <c r="B4808" s="154" t="s">
        <v>10400</v>
      </c>
      <c r="C4808" s="155"/>
      <c r="D4808" s="154">
        <v>2.0</v>
      </c>
      <c r="E4808" s="154" t="s">
        <v>897</v>
      </c>
      <c r="F4808" s="154" t="s">
        <v>10401</v>
      </c>
      <c r="G4808" s="156">
        <v>0.0</v>
      </c>
      <c r="H4808" s="154" t="s">
        <v>2192</v>
      </c>
      <c r="I4808" s="154" t="s">
        <v>10402</v>
      </c>
      <c r="J4808" s="156">
        <v>0.0</v>
      </c>
      <c r="K4808" s="154" t="s">
        <v>259</v>
      </c>
    </row>
    <row r="4809">
      <c r="A4809" s="154" t="s">
        <v>10399</v>
      </c>
      <c r="B4809" s="155"/>
      <c r="C4809" s="154" t="s">
        <v>10400</v>
      </c>
      <c r="D4809" s="155"/>
      <c r="E4809" s="155"/>
      <c r="F4809" s="154" t="s">
        <v>10401</v>
      </c>
      <c r="G4809" s="156">
        <v>0.0</v>
      </c>
      <c r="H4809" s="154" t="s">
        <v>2192</v>
      </c>
      <c r="I4809" s="154" t="s">
        <v>10402</v>
      </c>
      <c r="J4809" s="156">
        <v>0.0</v>
      </c>
      <c r="K4809" s="154" t="s">
        <v>259</v>
      </c>
    </row>
    <row r="4810">
      <c r="A4810" s="154" t="s">
        <v>10403</v>
      </c>
      <c r="B4810" s="154" t="s">
        <v>10404</v>
      </c>
      <c r="C4810" s="155"/>
      <c r="D4810" s="154">
        <v>2.0</v>
      </c>
      <c r="E4810" s="154" t="s">
        <v>897</v>
      </c>
      <c r="F4810" s="154" t="s">
        <v>10405</v>
      </c>
      <c r="G4810" s="156">
        <v>0.0</v>
      </c>
      <c r="H4810" s="156">
        <v>0.0</v>
      </c>
      <c r="I4810" s="154" t="s">
        <v>10406</v>
      </c>
      <c r="J4810" s="154" t="s">
        <v>10407</v>
      </c>
      <c r="K4810" s="154" t="s">
        <v>223</v>
      </c>
    </row>
    <row r="4811">
      <c r="A4811" s="154" t="s">
        <v>10403</v>
      </c>
      <c r="B4811" s="155"/>
      <c r="C4811" s="154" t="s">
        <v>10404</v>
      </c>
      <c r="D4811" s="155"/>
      <c r="E4811" s="155"/>
      <c r="F4811" s="154" t="s">
        <v>10408</v>
      </c>
      <c r="G4811" s="156">
        <v>0.0</v>
      </c>
      <c r="H4811" s="156">
        <v>0.0</v>
      </c>
      <c r="I4811" s="154" t="s">
        <v>10406</v>
      </c>
      <c r="J4811" s="154" t="s">
        <v>10407</v>
      </c>
      <c r="K4811" s="154" t="s">
        <v>223</v>
      </c>
    </row>
    <row r="4812">
      <c r="A4812" s="154" t="s">
        <v>10409</v>
      </c>
      <c r="B4812" s="155"/>
      <c r="C4812" s="154" t="s">
        <v>10410</v>
      </c>
      <c r="D4812" s="155"/>
      <c r="E4812" s="155"/>
      <c r="F4812" s="154" t="s">
        <v>10411</v>
      </c>
      <c r="G4812" s="156">
        <v>0.0</v>
      </c>
      <c r="H4812" s="156">
        <v>0.0</v>
      </c>
      <c r="I4812" s="154" t="s">
        <v>10412</v>
      </c>
      <c r="J4812" s="156">
        <v>0.0</v>
      </c>
      <c r="K4812" s="154" t="s">
        <v>361</v>
      </c>
    </row>
    <row r="4813">
      <c r="A4813" s="154" t="s">
        <v>10409</v>
      </c>
      <c r="B4813" s="154" t="s">
        <v>10410</v>
      </c>
      <c r="C4813" s="155"/>
      <c r="D4813" s="154">
        <v>2.0</v>
      </c>
      <c r="E4813" s="154" t="s">
        <v>897</v>
      </c>
      <c r="F4813" s="154" t="s">
        <v>10411</v>
      </c>
      <c r="G4813" s="156">
        <v>0.0</v>
      </c>
      <c r="H4813" s="156">
        <v>0.0</v>
      </c>
      <c r="I4813" s="154" t="s">
        <v>10412</v>
      </c>
      <c r="J4813" s="156">
        <v>0.0</v>
      </c>
      <c r="K4813" s="154" t="s">
        <v>361</v>
      </c>
    </row>
    <row r="4814">
      <c r="A4814" s="154" t="s">
        <v>10413</v>
      </c>
      <c r="B4814" s="155"/>
      <c r="C4814" s="154" t="s">
        <v>10414</v>
      </c>
      <c r="D4814" s="155"/>
      <c r="E4814" s="155"/>
      <c r="F4814" s="154" t="s">
        <v>10415</v>
      </c>
      <c r="G4814" s="154">
        <v>4.3554707E7</v>
      </c>
      <c r="H4814" s="156">
        <v>0.0</v>
      </c>
      <c r="I4814" s="154">
        <v>5.58891837E8</v>
      </c>
      <c r="J4814" s="156">
        <v>0.0</v>
      </c>
      <c r="K4814" s="154" t="s">
        <v>361</v>
      </c>
    </row>
    <row r="4815">
      <c r="A4815" s="154" t="s">
        <v>10413</v>
      </c>
      <c r="B4815" s="154" t="s">
        <v>10414</v>
      </c>
      <c r="C4815" s="155"/>
      <c r="D4815" s="154">
        <v>2.0</v>
      </c>
      <c r="E4815" s="154" t="s">
        <v>897</v>
      </c>
      <c r="F4815" s="154" t="s">
        <v>10415</v>
      </c>
      <c r="G4815" s="154">
        <v>4.3554707E7</v>
      </c>
      <c r="H4815" s="156">
        <v>0.0</v>
      </c>
      <c r="I4815" s="154">
        <v>5.58891837E8</v>
      </c>
      <c r="J4815" s="156">
        <v>0.0</v>
      </c>
      <c r="K4815" s="154" t="s">
        <v>361</v>
      </c>
    </row>
    <row r="4816">
      <c r="A4816" s="154" t="s">
        <v>10416</v>
      </c>
      <c r="B4816" s="154" t="s">
        <v>10417</v>
      </c>
      <c r="C4816" s="155"/>
      <c r="D4816" s="154">
        <v>2.0</v>
      </c>
      <c r="E4816" s="154" t="s">
        <v>897</v>
      </c>
      <c r="F4816" s="154" t="s">
        <v>10418</v>
      </c>
      <c r="G4816" s="154">
        <v>0.0</v>
      </c>
      <c r="H4816" s="156">
        <v>0.0</v>
      </c>
      <c r="I4816" s="156">
        <v>0.0</v>
      </c>
      <c r="J4816" s="156">
        <v>0.0</v>
      </c>
      <c r="K4816" s="156">
        <v>0.0</v>
      </c>
    </row>
    <row r="4817">
      <c r="A4817" s="154" t="s">
        <v>10416</v>
      </c>
      <c r="B4817" s="155"/>
      <c r="C4817" s="154" t="s">
        <v>10417</v>
      </c>
      <c r="D4817" s="155"/>
      <c r="E4817" s="155"/>
      <c r="F4817" s="154" t="s">
        <v>10418</v>
      </c>
      <c r="G4817" s="154">
        <v>0.0</v>
      </c>
      <c r="H4817" s="156">
        <v>0.0</v>
      </c>
      <c r="I4817" s="156">
        <v>0.0</v>
      </c>
      <c r="J4817" s="156">
        <v>0.0</v>
      </c>
      <c r="K4817" s="156">
        <v>0.0</v>
      </c>
    </row>
    <row r="4818">
      <c r="A4818" s="154" t="s">
        <v>10419</v>
      </c>
      <c r="B4818" s="155"/>
      <c r="C4818" s="154" t="s">
        <v>10420</v>
      </c>
      <c r="D4818" s="155"/>
      <c r="E4818" s="155"/>
      <c r="F4818" s="154" t="s">
        <v>10421</v>
      </c>
      <c r="G4818" s="154">
        <v>1.4168389492E10</v>
      </c>
      <c r="H4818" s="156">
        <v>0.0</v>
      </c>
      <c r="I4818" s="156">
        <v>0.0</v>
      </c>
      <c r="J4818" s="156">
        <v>0.0</v>
      </c>
      <c r="K4818" s="154" t="s">
        <v>776</v>
      </c>
    </row>
    <row r="4819">
      <c r="A4819" s="154" t="s">
        <v>10419</v>
      </c>
      <c r="B4819" s="154" t="s">
        <v>10420</v>
      </c>
      <c r="C4819" s="155"/>
      <c r="D4819" s="154">
        <v>2.0</v>
      </c>
      <c r="E4819" s="154" t="s">
        <v>897</v>
      </c>
      <c r="F4819" s="154" t="s">
        <v>10421</v>
      </c>
      <c r="G4819" s="154">
        <v>1.4168389492E10</v>
      </c>
      <c r="H4819" s="156">
        <v>0.0</v>
      </c>
      <c r="I4819" s="156">
        <v>0.0</v>
      </c>
      <c r="J4819" s="156">
        <v>0.0</v>
      </c>
      <c r="K4819" s="154" t="s">
        <v>776</v>
      </c>
    </row>
    <row r="4820">
      <c r="A4820" s="154" t="s">
        <v>10422</v>
      </c>
      <c r="B4820" s="155"/>
      <c r="C4820" s="154" t="s">
        <v>10423</v>
      </c>
      <c r="D4820" s="155"/>
      <c r="E4820" s="155"/>
      <c r="F4820" s="154" t="s">
        <v>10424</v>
      </c>
      <c r="G4820" s="156">
        <v>0.0</v>
      </c>
      <c r="H4820" s="156">
        <v>0.0</v>
      </c>
      <c r="I4820" s="154">
        <v>9.71507886316E11</v>
      </c>
      <c r="J4820" s="156">
        <v>0.0</v>
      </c>
      <c r="K4820" s="154" t="s">
        <v>760</v>
      </c>
    </row>
    <row r="4821">
      <c r="A4821" s="154" t="s">
        <v>10422</v>
      </c>
      <c r="B4821" s="154" t="s">
        <v>10423</v>
      </c>
      <c r="C4821" s="155"/>
      <c r="D4821" s="154">
        <v>2.0</v>
      </c>
      <c r="E4821" s="154" t="s">
        <v>897</v>
      </c>
      <c r="F4821" s="154" t="s">
        <v>10425</v>
      </c>
      <c r="G4821" s="156">
        <v>0.0</v>
      </c>
      <c r="H4821" s="156">
        <v>0.0</v>
      </c>
      <c r="I4821" s="154">
        <v>9.71507886316E11</v>
      </c>
      <c r="J4821" s="156">
        <v>0.0</v>
      </c>
      <c r="K4821" s="154" t="s">
        <v>259</v>
      </c>
    </row>
    <row r="4822">
      <c r="A4822" s="154" t="s">
        <v>10426</v>
      </c>
      <c r="B4822" s="154" t="s">
        <v>10427</v>
      </c>
      <c r="C4822" s="155"/>
      <c r="D4822" s="154">
        <v>2.0</v>
      </c>
      <c r="E4822" s="154" t="s">
        <v>897</v>
      </c>
      <c r="F4822" s="154" t="s">
        <v>3791</v>
      </c>
      <c r="G4822" s="154">
        <v>3365625.0</v>
      </c>
      <c r="H4822" s="154" t="s">
        <v>3792</v>
      </c>
      <c r="I4822" s="154">
        <v>9.71504516315E11</v>
      </c>
      <c r="J4822" s="156">
        <v>0.0</v>
      </c>
      <c r="K4822" s="154" t="s">
        <v>361</v>
      </c>
    </row>
    <row r="4823">
      <c r="A4823" s="154" t="s">
        <v>10426</v>
      </c>
      <c r="B4823" s="155"/>
      <c r="C4823" s="154" t="s">
        <v>10427</v>
      </c>
      <c r="D4823" s="155"/>
      <c r="E4823" s="155"/>
      <c r="F4823" s="154" t="s">
        <v>3791</v>
      </c>
      <c r="G4823" s="154">
        <v>3365625.0</v>
      </c>
      <c r="H4823" s="154" t="s">
        <v>3792</v>
      </c>
      <c r="I4823" s="154">
        <v>9.71504516315E11</v>
      </c>
      <c r="J4823" s="156">
        <v>0.0</v>
      </c>
      <c r="K4823" s="154" t="s">
        <v>361</v>
      </c>
    </row>
    <row r="4824">
      <c r="A4824" s="154" t="s">
        <v>10428</v>
      </c>
      <c r="B4824" s="155"/>
      <c r="C4824" s="154" t="s">
        <v>10429</v>
      </c>
      <c r="D4824" s="155"/>
      <c r="E4824" s="155"/>
      <c r="F4824" s="154" t="s">
        <v>10430</v>
      </c>
      <c r="G4824" s="156">
        <v>0.0</v>
      </c>
      <c r="H4824" s="156">
        <v>0.0</v>
      </c>
      <c r="I4824" s="154">
        <v>9.71506456911E11</v>
      </c>
      <c r="J4824" s="156">
        <v>0.0</v>
      </c>
      <c r="K4824" s="154" t="s">
        <v>259</v>
      </c>
    </row>
    <row r="4825">
      <c r="A4825" s="154" t="s">
        <v>10428</v>
      </c>
      <c r="B4825" s="154" t="s">
        <v>10429</v>
      </c>
      <c r="C4825" s="155"/>
      <c r="D4825" s="154">
        <v>2.0</v>
      </c>
      <c r="E4825" s="154" t="s">
        <v>897</v>
      </c>
      <c r="F4825" s="154" t="s">
        <v>10431</v>
      </c>
      <c r="G4825" s="154">
        <v>4.8819144E7</v>
      </c>
      <c r="H4825" s="154" t="s">
        <v>10432</v>
      </c>
      <c r="I4825" s="154">
        <v>9.71506249282E11</v>
      </c>
      <c r="J4825" s="156">
        <v>0.0</v>
      </c>
      <c r="K4825" s="154" t="s">
        <v>760</v>
      </c>
    </row>
    <row r="4826">
      <c r="A4826" s="154" t="s">
        <v>10433</v>
      </c>
      <c r="B4826" s="154" t="s">
        <v>10434</v>
      </c>
      <c r="C4826" s="155"/>
      <c r="D4826" s="154">
        <v>2.0</v>
      </c>
      <c r="E4826" s="154" t="s">
        <v>897</v>
      </c>
      <c r="F4826" s="154" t="s">
        <v>10435</v>
      </c>
      <c r="G4826" s="156">
        <v>0.0</v>
      </c>
      <c r="H4826" s="156">
        <v>0.0</v>
      </c>
      <c r="I4826" s="154">
        <v>5.09561293E8</v>
      </c>
      <c r="J4826" s="156">
        <v>0.0</v>
      </c>
      <c r="K4826" s="154" t="s">
        <v>259</v>
      </c>
    </row>
    <row r="4827">
      <c r="A4827" s="154" t="s">
        <v>10433</v>
      </c>
      <c r="B4827" s="155"/>
      <c r="C4827" s="154" t="s">
        <v>10434</v>
      </c>
      <c r="D4827" s="155"/>
      <c r="E4827" s="155"/>
      <c r="F4827" s="154" t="s">
        <v>10435</v>
      </c>
      <c r="G4827" s="156">
        <v>0.0</v>
      </c>
      <c r="H4827" s="156">
        <v>0.0</v>
      </c>
      <c r="I4827" s="154">
        <v>5.09561293E8</v>
      </c>
      <c r="J4827" s="156">
        <v>0.0</v>
      </c>
      <c r="K4827" s="154" t="s">
        <v>259</v>
      </c>
    </row>
    <row r="4828">
      <c r="A4828" s="154" t="s">
        <v>10436</v>
      </c>
      <c r="B4828" s="154" t="s">
        <v>10437</v>
      </c>
      <c r="C4828" s="155"/>
      <c r="D4828" s="154">
        <v>2.0</v>
      </c>
      <c r="E4828" s="154" t="s">
        <v>897</v>
      </c>
      <c r="F4828" s="154" t="s">
        <v>10438</v>
      </c>
      <c r="G4828" s="154">
        <v>5.51084614E8</v>
      </c>
      <c r="H4828" s="156">
        <v>0.0</v>
      </c>
      <c r="I4828" s="154">
        <v>5.51084614E8</v>
      </c>
      <c r="J4828" s="156">
        <v>0.0</v>
      </c>
      <c r="K4828" s="154" t="s">
        <v>240</v>
      </c>
    </row>
    <row r="4829">
      <c r="A4829" s="154" t="s">
        <v>10436</v>
      </c>
      <c r="B4829" s="155"/>
      <c r="C4829" s="154" t="s">
        <v>10437</v>
      </c>
      <c r="D4829" s="155"/>
      <c r="E4829" s="155"/>
      <c r="F4829" s="154" t="s">
        <v>10438</v>
      </c>
      <c r="G4829" s="154">
        <v>5.51084614E8</v>
      </c>
      <c r="H4829" s="156">
        <v>0.0</v>
      </c>
      <c r="I4829" s="154">
        <v>5.51084614E8</v>
      </c>
      <c r="J4829" s="156">
        <v>0.0</v>
      </c>
      <c r="K4829" s="154" t="s">
        <v>240</v>
      </c>
    </row>
    <row r="4830">
      <c r="A4830" s="154" t="s">
        <v>10439</v>
      </c>
      <c r="B4830" s="154" t="s">
        <v>10440</v>
      </c>
      <c r="C4830" s="155"/>
      <c r="D4830" s="154">
        <v>2.0</v>
      </c>
      <c r="E4830" s="154" t="s">
        <v>897</v>
      </c>
      <c r="F4830" s="154" t="s">
        <v>10441</v>
      </c>
      <c r="G4830" s="154">
        <v>4.344033E7</v>
      </c>
      <c r="H4830" s="156">
        <v>0.0</v>
      </c>
      <c r="I4830" s="154">
        <v>9.71506518137E11</v>
      </c>
      <c r="J4830" s="156">
        <v>0.0</v>
      </c>
      <c r="K4830" s="154" t="s">
        <v>240</v>
      </c>
    </row>
    <row r="4831">
      <c r="A4831" s="154" t="s">
        <v>10439</v>
      </c>
      <c r="B4831" s="155"/>
      <c r="C4831" s="154" t="s">
        <v>10440</v>
      </c>
      <c r="D4831" s="155"/>
      <c r="E4831" s="155"/>
      <c r="F4831" s="154" t="s">
        <v>10442</v>
      </c>
      <c r="G4831" s="154">
        <v>4.344033E7</v>
      </c>
      <c r="H4831" s="156">
        <v>0.0</v>
      </c>
      <c r="I4831" s="154">
        <v>9.71506518137E11</v>
      </c>
      <c r="J4831" s="156">
        <v>0.0</v>
      </c>
      <c r="K4831" s="154" t="s">
        <v>1059</v>
      </c>
    </row>
    <row r="4832">
      <c r="A4832" s="154" t="s">
        <v>10443</v>
      </c>
      <c r="B4832" s="154" t="s">
        <v>10444</v>
      </c>
      <c r="C4832" s="155"/>
      <c r="D4832" s="154">
        <v>2.0</v>
      </c>
      <c r="E4832" s="154" t="s">
        <v>897</v>
      </c>
      <c r="F4832" s="154" t="s">
        <v>10445</v>
      </c>
      <c r="G4832" s="154">
        <v>4.3447212E7</v>
      </c>
      <c r="H4832" s="156">
        <v>0.0</v>
      </c>
      <c r="I4832" s="154">
        <v>9.7150459592E11</v>
      </c>
      <c r="J4832" s="156">
        <v>0.0</v>
      </c>
      <c r="K4832" s="154" t="s">
        <v>361</v>
      </c>
    </row>
    <row r="4833">
      <c r="A4833" s="154" t="s">
        <v>10443</v>
      </c>
      <c r="B4833" s="155"/>
      <c r="C4833" s="154" t="s">
        <v>10444</v>
      </c>
      <c r="D4833" s="155"/>
      <c r="E4833" s="155"/>
      <c r="F4833" s="154" t="s">
        <v>10445</v>
      </c>
      <c r="G4833" s="154">
        <v>4.3447212E7</v>
      </c>
      <c r="H4833" s="156">
        <v>0.0</v>
      </c>
      <c r="I4833" s="154">
        <v>9.7150459592E11</v>
      </c>
      <c r="J4833" s="156">
        <v>0.0</v>
      </c>
      <c r="K4833" s="154" t="s">
        <v>361</v>
      </c>
    </row>
    <row r="4834">
      <c r="A4834" s="154" t="s">
        <v>10446</v>
      </c>
      <c r="B4834" s="154" t="s">
        <v>10447</v>
      </c>
      <c r="C4834" s="155"/>
      <c r="D4834" s="154">
        <v>2.0</v>
      </c>
      <c r="E4834" s="154" t="s">
        <v>897</v>
      </c>
      <c r="F4834" s="154" t="s">
        <v>10448</v>
      </c>
      <c r="G4834" s="154" t="s">
        <v>10449</v>
      </c>
      <c r="H4834" s="154" t="s">
        <v>10450</v>
      </c>
      <c r="I4834" s="154">
        <v>9.7150256573E11</v>
      </c>
      <c r="J4834" s="156">
        <v>0.0</v>
      </c>
      <c r="K4834" s="154" t="s">
        <v>361</v>
      </c>
    </row>
    <row r="4835">
      <c r="A4835" s="154" t="s">
        <v>10446</v>
      </c>
      <c r="B4835" s="155"/>
      <c r="C4835" s="154" t="s">
        <v>10447</v>
      </c>
      <c r="D4835" s="155"/>
      <c r="E4835" s="155"/>
      <c r="F4835" s="154" t="s">
        <v>10448</v>
      </c>
      <c r="G4835" s="154" t="s">
        <v>10449</v>
      </c>
      <c r="H4835" s="154" t="s">
        <v>10450</v>
      </c>
      <c r="I4835" s="154">
        <v>9.7150256573E11</v>
      </c>
      <c r="J4835" s="156">
        <v>0.0</v>
      </c>
      <c r="K4835" s="154" t="s">
        <v>361</v>
      </c>
    </row>
    <row r="4836">
      <c r="A4836" s="154" t="s">
        <v>10451</v>
      </c>
      <c r="B4836" s="155"/>
      <c r="C4836" s="154" t="s">
        <v>10452</v>
      </c>
      <c r="D4836" s="155"/>
      <c r="E4836" s="155"/>
      <c r="F4836" s="154" t="s">
        <v>10453</v>
      </c>
      <c r="G4836" s="156">
        <v>0.0</v>
      </c>
      <c r="H4836" s="154" t="s">
        <v>10454</v>
      </c>
      <c r="I4836" s="154" t="s">
        <v>10455</v>
      </c>
      <c r="J4836" s="154" t="s">
        <v>10456</v>
      </c>
      <c r="K4836" s="154" t="s">
        <v>1461</v>
      </c>
    </row>
    <row r="4837">
      <c r="A4837" s="154" t="s">
        <v>10451</v>
      </c>
      <c r="B4837" s="154" t="s">
        <v>10452</v>
      </c>
      <c r="C4837" s="155"/>
      <c r="D4837" s="154">
        <v>2.0</v>
      </c>
      <c r="E4837" s="154" t="s">
        <v>897</v>
      </c>
      <c r="F4837" s="154" t="s">
        <v>10453</v>
      </c>
      <c r="G4837" s="156">
        <v>0.0</v>
      </c>
      <c r="H4837" s="154" t="s">
        <v>10454</v>
      </c>
      <c r="I4837" s="154" t="s">
        <v>10455</v>
      </c>
      <c r="J4837" s="154" t="s">
        <v>10456</v>
      </c>
      <c r="K4837" s="154" t="s">
        <v>1461</v>
      </c>
    </row>
    <row r="4838">
      <c r="A4838" s="154" t="s">
        <v>10457</v>
      </c>
      <c r="B4838" s="155"/>
      <c r="C4838" s="154" t="s">
        <v>10458</v>
      </c>
      <c r="D4838" s="155"/>
      <c r="E4838" s="155"/>
      <c r="F4838" s="154" t="s">
        <v>10459</v>
      </c>
      <c r="G4838" s="156">
        <v>0.0</v>
      </c>
      <c r="H4838" s="156">
        <v>0.0</v>
      </c>
      <c r="I4838" s="154">
        <v>9.71505084419E11</v>
      </c>
      <c r="J4838" s="156">
        <v>0.0</v>
      </c>
      <c r="K4838" s="154" t="s">
        <v>760</v>
      </c>
    </row>
    <row r="4839">
      <c r="A4839" s="154" t="s">
        <v>10457</v>
      </c>
      <c r="B4839" s="154" t="s">
        <v>10458</v>
      </c>
      <c r="C4839" s="155"/>
      <c r="D4839" s="154">
        <v>2.0</v>
      </c>
      <c r="E4839" s="154" t="s">
        <v>897</v>
      </c>
      <c r="F4839" s="154" t="s">
        <v>10459</v>
      </c>
      <c r="G4839" s="156">
        <v>0.0</v>
      </c>
      <c r="H4839" s="156">
        <v>0.0</v>
      </c>
      <c r="I4839" s="154">
        <v>9.71505084419E11</v>
      </c>
      <c r="J4839" s="156">
        <v>0.0</v>
      </c>
      <c r="K4839" s="154" t="s">
        <v>760</v>
      </c>
    </row>
    <row r="4840">
      <c r="A4840" s="154" t="s">
        <v>10460</v>
      </c>
      <c r="B4840" s="154" t="s">
        <v>10461</v>
      </c>
      <c r="C4840" s="155"/>
      <c r="D4840" s="154">
        <v>2.0</v>
      </c>
      <c r="E4840" s="154" t="s">
        <v>897</v>
      </c>
      <c r="F4840" s="154" t="s">
        <v>10462</v>
      </c>
      <c r="G4840" s="154">
        <v>5.29844044E8</v>
      </c>
      <c r="H4840" s="156">
        <v>0.0</v>
      </c>
      <c r="I4840" s="154">
        <v>9.71506451692E11</v>
      </c>
      <c r="J4840" s="156">
        <v>0.0</v>
      </c>
      <c r="K4840" s="154" t="s">
        <v>361</v>
      </c>
    </row>
    <row r="4841">
      <c r="A4841" s="154" t="s">
        <v>10460</v>
      </c>
      <c r="B4841" s="155"/>
      <c r="C4841" s="154" t="s">
        <v>10461</v>
      </c>
      <c r="D4841" s="155"/>
      <c r="E4841" s="155"/>
      <c r="F4841" s="154" t="s">
        <v>10463</v>
      </c>
      <c r="G4841" s="154">
        <v>4.3521388E7</v>
      </c>
      <c r="H4841" s="156">
        <v>0.0</v>
      </c>
      <c r="I4841" s="154">
        <v>9.71507858604E11</v>
      </c>
      <c r="J4841" s="156">
        <v>0.0</v>
      </c>
      <c r="K4841" s="154" t="s">
        <v>361</v>
      </c>
    </row>
    <row r="4842">
      <c r="A4842" s="154" t="s">
        <v>10464</v>
      </c>
      <c r="B4842" s="155"/>
      <c r="C4842" s="154" t="s">
        <v>10465</v>
      </c>
      <c r="D4842" s="155"/>
      <c r="E4842" s="155"/>
      <c r="F4842" s="154" t="s">
        <v>10466</v>
      </c>
      <c r="G4842" s="154">
        <v>4.3511116E7</v>
      </c>
      <c r="H4842" s="156">
        <v>0.0</v>
      </c>
      <c r="I4842" s="156">
        <v>0.0</v>
      </c>
      <c r="J4842" s="156">
        <v>0.0</v>
      </c>
      <c r="K4842" s="156">
        <v>0.0</v>
      </c>
    </row>
    <row r="4843">
      <c r="A4843" s="154" t="s">
        <v>10464</v>
      </c>
      <c r="B4843" s="154" t="s">
        <v>10465</v>
      </c>
      <c r="C4843" s="155"/>
      <c r="D4843" s="154">
        <v>2.0</v>
      </c>
      <c r="E4843" s="154" t="s">
        <v>897</v>
      </c>
      <c r="F4843" s="154" t="s">
        <v>10466</v>
      </c>
      <c r="G4843" s="154">
        <v>4.3511116E7</v>
      </c>
      <c r="H4843" s="156">
        <v>0.0</v>
      </c>
      <c r="I4843" s="156">
        <v>0.0</v>
      </c>
      <c r="J4843" s="156">
        <v>0.0</v>
      </c>
      <c r="K4843" s="156">
        <v>0.0</v>
      </c>
    </row>
    <row r="4844">
      <c r="A4844" s="154" t="s">
        <v>10467</v>
      </c>
      <c r="B4844" s="155"/>
      <c r="C4844" s="154" t="s">
        <v>10468</v>
      </c>
      <c r="D4844" s="155"/>
      <c r="E4844" s="155"/>
      <c r="F4844" s="154" t="s">
        <v>4864</v>
      </c>
      <c r="G4844" s="156">
        <v>0.0</v>
      </c>
      <c r="H4844" s="156">
        <v>0.0</v>
      </c>
      <c r="I4844" s="154" t="s">
        <v>4865</v>
      </c>
      <c r="J4844" s="154" t="s">
        <v>809</v>
      </c>
      <c r="K4844" s="154" t="s">
        <v>760</v>
      </c>
    </row>
    <row r="4845">
      <c r="A4845" s="154" t="s">
        <v>10467</v>
      </c>
      <c r="B4845" s="154" t="s">
        <v>10468</v>
      </c>
      <c r="C4845" s="155"/>
      <c r="D4845" s="154">
        <v>2.0</v>
      </c>
      <c r="E4845" s="154" t="s">
        <v>897</v>
      </c>
      <c r="F4845" s="154" t="s">
        <v>4864</v>
      </c>
      <c r="G4845" s="156">
        <v>0.0</v>
      </c>
      <c r="H4845" s="156">
        <v>0.0</v>
      </c>
      <c r="I4845" s="154" t="s">
        <v>4865</v>
      </c>
      <c r="J4845" s="154" t="s">
        <v>809</v>
      </c>
      <c r="K4845" s="154" t="s">
        <v>760</v>
      </c>
    </row>
    <row r="4846">
      <c r="A4846" s="154" t="s">
        <v>10469</v>
      </c>
      <c r="B4846" s="154" t="s">
        <v>10470</v>
      </c>
      <c r="C4846" s="155"/>
      <c r="D4846" s="154">
        <v>2.0</v>
      </c>
      <c r="E4846" s="154" t="s">
        <v>897</v>
      </c>
      <c r="F4846" s="154" t="s">
        <v>5056</v>
      </c>
      <c r="G4846" s="154">
        <v>4.3663166E7</v>
      </c>
      <c r="H4846" s="156">
        <v>0.0</v>
      </c>
      <c r="I4846" s="154">
        <v>5.07868371E8</v>
      </c>
      <c r="J4846" s="156">
        <v>0.0</v>
      </c>
      <c r="K4846" s="154" t="s">
        <v>760</v>
      </c>
    </row>
    <row r="4847">
      <c r="A4847" s="154" t="s">
        <v>10469</v>
      </c>
      <c r="B4847" s="155"/>
      <c r="C4847" s="154" t="s">
        <v>10470</v>
      </c>
      <c r="D4847" s="155"/>
      <c r="E4847" s="155"/>
      <c r="F4847" s="154" t="s">
        <v>5056</v>
      </c>
      <c r="G4847" s="154">
        <v>4.3663166E7</v>
      </c>
      <c r="H4847" s="156">
        <v>0.0</v>
      </c>
      <c r="I4847" s="154">
        <v>5.07868371E8</v>
      </c>
      <c r="J4847" s="156">
        <v>0.0</v>
      </c>
      <c r="K4847" s="154" t="s">
        <v>760</v>
      </c>
    </row>
    <row r="4848">
      <c r="A4848" s="154" t="s">
        <v>10471</v>
      </c>
      <c r="B4848" s="154" t="s">
        <v>10472</v>
      </c>
      <c r="C4848" s="155"/>
      <c r="D4848" s="154">
        <v>2.0</v>
      </c>
      <c r="E4848" s="154" t="s">
        <v>897</v>
      </c>
      <c r="F4848" s="154" t="s">
        <v>10473</v>
      </c>
      <c r="G4848" s="156">
        <v>0.0</v>
      </c>
      <c r="H4848" s="156">
        <v>0.0</v>
      </c>
      <c r="I4848" s="154">
        <v>9.71503403474E11</v>
      </c>
      <c r="J4848" s="156">
        <v>0.0</v>
      </c>
      <c r="K4848" s="154" t="s">
        <v>1537</v>
      </c>
    </row>
    <row r="4849">
      <c r="A4849" s="154" t="s">
        <v>10471</v>
      </c>
      <c r="B4849" s="155"/>
      <c r="C4849" s="154" t="s">
        <v>10472</v>
      </c>
      <c r="D4849" s="155"/>
      <c r="E4849" s="155"/>
      <c r="F4849" s="154" t="s">
        <v>10473</v>
      </c>
      <c r="G4849" s="156">
        <v>0.0</v>
      </c>
      <c r="H4849" s="156">
        <v>0.0</v>
      </c>
      <c r="I4849" s="154">
        <v>9.71503403474E11</v>
      </c>
      <c r="J4849" s="156">
        <v>0.0</v>
      </c>
      <c r="K4849" s="154" t="s">
        <v>1537</v>
      </c>
    </row>
    <row r="4850">
      <c r="A4850" s="154" t="s">
        <v>10474</v>
      </c>
      <c r="B4850" s="155"/>
      <c r="C4850" s="154" t="s">
        <v>10475</v>
      </c>
      <c r="D4850" s="155"/>
      <c r="E4850" s="155"/>
      <c r="F4850" s="154" t="s">
        <v>4782</v>
      </c>
      <c r="G4850" s="154">
        <v>4.394285E7</v>
      </c>
      <c r="H4850" s="156">
        <v>0.0</v>
      </c>
      <c r="I4850" s="154">
        <v>5.05502376E8</v>
      </c>
      <c r="J4850" s="156">
        <v>0.0</v>
      </c>
      <c r="K4850" s="154" t="s">
        <v>361</v>
      </c>
    </row>
    <row r="4851">
      <c r="A4851" s="154" t="s">
        <v>10474</v>
      </c>
      <c r="B4851" s="154" t="s">
        <v>10475</v>
      </c>
      <c r="C4851" s="155"/>
      <c r="D4851" s="154">
        <v>2.0</v>
      </c>
      <c r="E4851" s="154" t="s">
        <v>897</v>
      </c>
      <c r="F4851" s="154" t="s">
        <v>4782</v>
      </c>
      <c r="G4851" s="154">
        <v>4.394285E7</v>
      </c>
      <c r="H4851" s="156">
        <v>0.0</v>
      </c>
      <c r="I4851" s="154">
        <v>5.05502376E8</v>
      </c>
      <c r="J4851" s="156">
        <v>0.0</v>
      </c>
      <c r="K4851" s="154" t="s">
        <v>361</v>
      </c>
    </row>
    <row r="4852">
      <c r="A4852" s="154" t="s">
        <v>10476</v>
      </c>
      <c r="B4852" s="154" t="s">
        <v>10477</v>
      </c>
      <c r="C4852" s="155"/>
      <c r="D4852" s="154">
        <v>2.0</v>
      </c>
      <c r="E4852" s="154" t="s">
        <v>897</v>
      </c>
      <c r="F4852" s="154" t="s">
        <v>10478</v>
      </c>
      <c r="G4852" s="156">
        <v>0.0</v>
      </c>
      <c r="H4852" s="156">
        <v>0.0</v>
      </c>
      <c r="I4852" s="154" t="s">
        <v>10479</v>
      </c>
      <c r="J4852" s="154" t="s">
        <v>10480</v>
      </c>
      <c r="K4852" s="154" t="s">
        <v>846</v>
      </c>
    </row>
    <row r="4853">
      <c r="A4853" s="154" t="s">
        <v>10476</v>
      </c>
      <c r="B4853" s="155"/>
      <c r="C4853" s="154" t="s">
        <v>10477</v>
      </c>
      <c r="D4853" s="155"/>
      <c r="E4853" s="155"/>
      <c r="F4853" s="154" t="s">
        <v>10478</v>
      </c>
      <c r="G4853" s="156">
        <v>0.0</v>
      </c>
      <c r="H4853" s="156">
        <v>0.0</v>
      </c>
      <c r="I4853" s="154" t="s">
        <v>10479</v>
      </c>
      <c r="J4853" s="154" t="s">
        <v>10480</v>
      </c>
      <c r="K4853" s="154" t="s">
        <v>846</v>
      </c>
    </row>
    <row r="4854">
      <c r="A4854" s="154" t="s">
        <v>10481</v>
      </c>
      <c r="B4854" s="155"/>
      <c r="C4854" s="154" t="s">
        <v>10482</v>
      </c>
      <c r="D4854" s="155"/>
      <c r="E4854" s="155"/>
      <c r="F4854" s="154" t="s">
        <v>10483</v>
      </c>
      <c r="G4854" s="156">
        <v>0.0</v>
      </c>
      <c r="H4854" s="156">
        <v>0.0</v>
      </c>
      <c r="I4854" s="154" t="s">
        <v>10484</v>
      </c>
      <c r="J4854" s="154" t="s">
        <v>7993</v>
      </c>
      <c r="K4854" s="154" t="s">
        <v>1059</v>
      </c>
    </row>
    <row r="4855">
      <c r="A4855" s="154" t="s">
        <v>10481</v>
      </c>
      <c r="B4855" s="154" t="s">
        <v>10482</v>
      </c>
      <c r="C4855" s="155"/>
      <c r="D4855" s="154">
        <v>2.0</v>
      </c>
      <c r="E4855" s="154" t="s">
        <v>897</v>
      </c>
      <c r="F4855" s="154" t="s">
        <v>10483</v>
      </c>
      <c r="G4855" s="156">
        <v>0.0</v>
      </c>
      <c r="H4855" s="156">
        <v>0.0</v>
      </c>
      <c r="I4855" s="154" t="s">
        <v>10484</v>
      </c>
      <c r="J4855" s="154" t="s">
        <v>7993</v>
      </c>
      <c r="K4855" s="154" t="s">
        <v>1059</v>
      </c>
    </row>
    <row r="4856">
      <c r="A4856" s="154" t="s">
        <v>10485</v>
      </c>
      <c r="B4856" s="154" t="s">
        <v>10486</v>
      </c>
      <c r="C4856" s="155"/>
      <c r="D4856" s="154">
        <v>2.0</v>
      </c>
      <c r="E4856" s="154" t="s">
        <v>897</v>
      </c>
      <c r="F4856" s="154" t="s">
        <v>10487</v>
      </c>
      <c r="G4856" s="154" t="s">
        <v>10488</v>
      </c>
      <c r="H4856" s="156">
        <v>0.0</v>
      </c>
      <c r="I4856" s="154" t="s">
        <v>10489</v>
      </c>
      <c r="J4856" s="156">
        <v>0.0</v>
      </c>
      <c r="K4856" s="154" t="s">
        <v>301</v>
      </c>
    </row>
    <row r="4857">
      <c r="A4857" s="154" t="s">
        <v>10485</v>
      </c>
      <c r="B4857" s="155"/>
      <c r="C4857" s="154" t="s">
        <v>10486</v>
      </c>
      <c r="D4857" s="155"/>
      <c r="E4857" s="155"/>
      <c r="F4857" s="154" t="s">
        <v>10490</v>
      </c>
      <c r="G4857" s="154" t="s">
        <v>10491</v>
      </c>
      <c r="H4857" s="156">
        <v>0.0</v>
      </c>
      <c r="I4857" s="154" t="s">
        <v>10492</v>
      </c>
      <c r="J4857" s="154" t="s">
        <v>10491</v>
      </c>
      <c r="K4857" s="154" t="s">
        <v>301</v>
      </c>
    </row>
    <row r="4858">
      <c r="A4858" s="154" t="s">
        <v>10493</v>
      </c>
      <c r="B4858" s="155"/>
      <c r="C4858" s="154" t="s">
        <v>10494</v>
      </c>
      <c r="D4858" s="155"/>
      <c r="E4858" s="155"/>
      <c r="F4858" s="154" t="s">
        <v>3640</v>
      </c>
      <c r="G4858" s="154" t="s">
        <v>3641</v>
      </c>
      <c r="H4858" s="154" t="s">
        <v>3642</v>
      </c>
      <c r="I4858" s="154" t="s">
        <v>3643</v>
      </c>
      <c r="J4858" s="156">
        <v>0.0</v>
      </c>
      <c r="K4858" s="154" t="s">
        <v>240</v>
      </c>
    </row>
    <row r="4859">
      <c r="A4859" s="154" t="s">
        <v>10493</v>
      </c>
      <c r="B4859" s="154" t="s">
        <v>10494</v>
      </c>
      <c r="C4859" s="155"/>
      <c r="D4859" s="154">
        <v>2.0</v>
      </c>
      <c r="E4859" s="154" t="s">
        <v>897</v>
      </c>
      <c r="F4859" s="154" t="s">
        <v>3640</v>
      </c>
      <c r="G4859" s="154" t="s">
        <v>3641</v>
      </c>
      <c r="H4859" s="154" t="s">
        <v>3642</v>
      </c>
      <c r="I4859" s="154" t="s">
        <v>3643</v>
      </c>
      <c r="J4859" s="156">
        <v>0.0</v>
      </c>
      <c r="K4859" s="154" t="s">
        <v>240</v>
      </c>
    </row>
    <row r="4860">
      <c r="A4860" s="154" t="s">
        <v>10495</v>
      </c>
      <c r="B4860" s="155"/>
      <c r="C4860" s="154" t="s">
        <v>10496</v>
      </c>
      <c r="D4860" s="155"/>
      <c r="E4860" s="155"/>
      <c r="F4860" s="154" t="s">
        <v>6716</v>
      </c>
      <c r="G4860" s="156">
        <v>0.0</v>
      </c>
      <c r="H4860" s="154" t="s">
        <v>10497</v>
      </c>
      <c r="I4860" s="154" t="s">
        <v>853</v>
      </c>
      <c r="J4860" s="154" t="s">
        <v>809</v>
      </c>
      <c r="K4860" s="154" t="s">
        <v>4883</v>
      </c>
    </row>
    <row r="4861">
      <c r="A4861" s="154" t="s">
        <v>10495</v>
      </c>
      <c r="B4861" s="154" t="s">
        <v>10496</v>
      </c>
      <c r="C4861" s="155"/>
      <c r="D4861" s="154">
        <v>2.0</v>
      </c>
      <c r="E4861" s="154" t="s">
        <v>897</v>
      </c>
      <c r="F4861" s="154" t="s">
        <v>6716</v>
      </c>
      <c r="G4861" s="156">
        <v>0.0</v>
      </c>
      <c r="H4861" s="154" t="s">
        <v>10497</v>
      </c>
      <c r="I4861" s="154" t="s">
        <v>853</v>
      </c>
      <c r="J4861" s="154" t="s">
        <v>809</v>
      </c>
      <c r="K4861" s="154" t="s">
        <v>4883</v>
      </c>
    </row>
    <row r="4862">
      <c r="A4862" s="154" t="s">
        <v>10498</v>
      </c>
      <c r="B4862" s="154" t="s">
        <v>10499</v>
      </c>
      <c r="C4862" s="155"/>
      <c r="D4862" s="154">
        <v>2.0</v>
      </c>
      <c r="E4862" s="154" t="s">
        <v>897</v>
      </c>
      <c r="F4862" s="154" t="s">
        <v>1157</v>
      </c>
      <c r="G4862" s="154" t="s">
        <v>1158</v>
      </c>
      <c r="H4862" s="154" t="s">
        <v>1159</v>
      </c>
      <c r="I4862" s="156">
        <v>0.0</v>
      </c>
      <c r="J4862" s="156">
        <v>0.0</v>
      </c>
      <c r="K4862" s="156">
        <v>0.0</v>
      </c>
    </row>
    <row r="4863">
      <c r="A4863" s="154" t="s">
        <v>10498</v>
      </c>
      <c r="B4863" s="155"/>
      <c r="C4863" s="154" t="s">
        <v>10499</v>
      </c>
      <c r="D4863" s="155"/>
      <c r="E4863" s="155"/>
      <c r="F4863" s="154" t="s">
        <v>1157</v>
      </c>
      <c r="G4863" s="154" t="s">
        <v>1158</v>
      </c>
      <c r="H4863" s="154" t="s">
        <v>1159</v>
      </c>
      <c r="I4863" s="156">
        <v>0.0</v>
      </c>
      <c r="J4863" s="156">
        <v>0.0</v>
      </c>
      <c r="K4863" s="156">
        <v>0.0</v>
      </c>
    </row>
    <row r="4864">
      <c r="A4864" s="154" t="s">
        <v>10500</v>
      </c>
      <c r="B4864" s="155"/>
      <c r="C4864" s="154" t="s">
        <v>10501</v>
      </c>
      <c r="D4864" s="155"/>
      <c r="E4864" s="155"/>
      <c r="F4864" s="154" t="s">
        <v>10502</v>
      </c>
      <c r="G4864" s="156">
        <v>0.0</v>
      </c>
      <c r="H4864" s="156">
        <v>0.0</v>
      </c>
      <c r="I4864" s="154" t="s">
        <v>10503</v>
      </c>
      <c r="J4864" s="156">
        <v>0.0</v>
      </c>
      <c r="K4864" s="154" t="s">
        <v>240</v>
      </c>
    </row>
    <row r="4865">
      <c r="A4865" s="154" t="s">
        <v>10500</v>
      </c>
      <c r="B4865" s="154" t="s">
        <v>10501</v>
      </c>
      <c r="C4865" s="155"/>
      <c r="D4865" s="154">
        <v>2.0</v>
      </c>
      <c r="E4865" s="154" t="s">
        <v>897</v>
      </c>
      <c r="F4865" s="154" t="s">
        <v>10502</v>
      </c>
      <c r="G4865" s="156">
        <v>0.0</v>
      </c>
      <c r="H4865" s="156">
        <v>0.0</v>
      </c>
      <c r="I4865" s="154" t="s">
        <v>10503</v>
      </c>
      <c r="J4865" s="156">
        <v>0.0</v>
      </c>
      <c r="K4865" s="154" t="s">
        <v>240</v>
      </c>
    </row>
    <row r="4866">
      <c r="A4866" s="154" t="s">
        <v>10504</v>
      </c>
      <c r="B4866" s="154" t="s">
        <v>10505</v>
      </c>
      <c r="C4866" s="155"/>
      <c r="D4866" s="154">
        <v>2.0</v>
      </c>
      <c r="E4866" s="154" t="s">
        <v>897</v>
      </c>
      <c r="F4866" s="154" t="s">
        <v>10506</v>
      </c>
      <c r="G4866" s="154" t="s">
        <v>3929</v>
      </c>
      <c r="H4866" s="156">
        <v>0.0</v>
      </c>
      <c r="I4866" s="154" t="s">
        <v>3356</v>
      </c>
      <c r="J4866" s="154" t="s">
        <v>3929</v>
      </c>
      <c r="K4866" s="154" t="s">
        <v>776</v>
      </c>
    </row>
    <row r="4867">
      <c r="A4867" s="154" t="s">
        <v>10504</v>
      </c>
      <c r="B4867" s="155"/>
      <c r="C4867" s="154" t="s">
        <v>10505</v>
      </c>
      <c r="D4867" s="155"/>
      <c r="E4867" s="155"/>
      <c r="F4867" s="154" t="s">
        <v>10507</v>
      </c>
      <c r="G4867" s="156">
        <v>0.0</v>
      </c>
      <c r="H4867" s="154" t="s">
        <v>10508</v>
      </c>
      <c r="I4867" s="154" t="s">
        <v>10509</v>
      </c>
      <c r="J4867" s="154" t="s">
        <v>10510</v>
      </c>
      <c r="K4867" s="154" t="s">
        <v>197</v>
      </c>
    </row>
    <row r="4868">
      <c r="A4868" s="154" t="s">
        <v>10511</v>
      </c>
      <c r="B4868" s="154" t="s">
        <v>10512</v>
      </c>
      <c r="C4868" s="155"/>
      <c r="D4868" s="154">
        <v>2.0</v>
      </c>
      <c r="E4868" s="154" t="s">
        <v>897</v>
      </c>
      <c r="F4868" s="154" t="s">
        <v>792</v>
      </c>
      <c r="G4868" s="154" t="s">
        <v>793</v>
      </c>
      <c r="H4868" s="154" t="s">
        <v>794</v>
      </c>
      <c r="I4868" s="156">
        <v>0.0</v>
      </c>
      <c r="J4868" s="156">
        <v>0.0</v>
      </c>
      <c r="K4868" s="156">
        <v>0.0</v>
      </c>
    </row>
    <row r="4869">
      <c r="A4869" s="154" t="s">
        <v>10511</v>
      </c>
      <c r="B4869" s="155"/>
      <c r="C4869" s="154" t="s">
        <v>10512</v>
      </c>
      <c r="D4869" s="155"/>
      <c r="E4869" s="155"/>
      <c r="F4869" s="154" t="s">
        <v>10513</v>
      </c>
      <c r="G4869" s="154" t="s">
        <v>809</v>
      </c>
      <c r="H4869" s="154" t="s">
        <v>7203</v>
      </c>
      <c r="I4869" s="154" t="s">
        <v>10514</v>
      </c>
      <c r="J4869" s="154" t="s">
        <v>10515</v>
      </c>
      <c r="K4869" s="154" t="s">
        <v>301</v>
      </c>
    </row>
    <row r="4870">
      <c r="A4870" s="154" t="s">
        <v>10516</v>
      </c>
      <c r="B4870" s="154" t="s">
        <v>10517</v>
      </c>
      <c r="C4870" s="155"/>
      <c r="D4870" s="154">
        <v>2.0</v>
      </c>
      <c r="E4870" s="154" t="s">
        <v>897</v>
      </c>
      <c r="F4870" s="154" t="s">
        <v>10518</v>
      </c>
      <c r="G4870" s="154">
        <v>5.07092637E8</v>
      </c>
      <c r="H4870" s="156">
        <v>0.0</v>
      </c>
      <c r="I4870" s="154">
        <v>5.07092637E8</v>
      </c>
      <c r="J4870" s="156">
        <v>0.0</v>
      </c>
      <c r="K4870" s="154" t="s">
        <v>361</v>
      </c>
    </row>
    <row r="4871">
      <c r="A4871" s="154" t="s">
        <v>10516</v>
      </c>
      <c r="B4871" s="155"/>
      <c r="C4871" s="154" t="s">
        <v>10517</v>
      </c>
      <c r="D4871" s="155"/>
      <c r="E4871" s="155"/>
      <c r="F4871" s="154" t="s">
        <v>10518</v>
      </c>
      <c r="G4871" s="154">
        <v>5.07092637E8</v>
      </c>
      <c r="H4871" s="156">
        <v>0.0</v>
      </c>
      <c r="I4871" s="154">
        <v>5.07092637E8</v>
      </c>
      <c r="J4871" s="156">
        <v>0.0</v>
      </c>
      <c r="K4871" s="154" t="s">
        <v>361</v>
      </c>
    </row>
    <row r="4872">
      <c r="A4872" s="154" t="s">
        <v>10519</v>
      </c>
      <c r="B4872" s="154" t="s">
        <v>10520</v>
      </c>
      <c r="C4872" s="155"/>
      <c r="D4872" s="154">
        <v>2.0</v>
      </c>
      <c r="E4872" s="154" t="s">
        <v>897</v>
      </c>
      <c r="F4872" s="154" t="s">
        <v>10521</v>
      </c>
      <c r="G4872" s="154">
        <v>7.2433128E7</v>
      </c>
      <c r="H4872" s="156">
        <v>0.0</v>
      </c>
      <c r="I4872" s="154">
        <v>5.01588647E8</v>
      </c>
      <c r="J4872" s="156">
        <v>0.0</v>
      </c>
      <c r="K4872" s="154" t="s">
        <v>223</v>
      </c>
    </row>
    <row r="4873">
      <c r="A4873" s="154" t="s">
        <v>10519</v>
      </c>
      <c r="B4873" s="155"/>
      <c r="C4873" s="154" t="s">
        <v>10520</v>
      </c>
      <c r="D4873" s="155"/>
      <c r="E4873" s="155"/>
      <c r="F4873" s="154" t="s">
        <v>10521</v>
      </c>
      <c r="G4873" s="154">
        <v>7.2433128E7</v>
      </c>
      <c r="H4873" s="156">
        <v>0.0</v>
      </c>
      <c r="I4873" s="154">
        <v>5.01588647E8</v>
      </c>
      <c r="J4873" s="156">
        <v>0.0</v>
      </c>
      <c r="K4873" s="154" t="s">
        <v>223</v>
      </c>
    </row>
    <row r="4874">
      <c r="A4874" s="154" t="s">
        <v>10522</v>
      </c>
      <c r="B4874" s="155"/>
      <c r="C4874" s="154" t="s">
        <v>10523</v>
      </c>
      <c r="D4874" s="155"/>
      <c r="E4874" s="155"/>
      <c r="F4874" s="154" t="s">
        <v>10524</v>
      </c>
      <c r="G4874" s="154">
        <v>0.0</v>
      </c>
      <c r="H4874" s="156">
        <v>0.0</v>
      </c>
      <c r="I4874" s="154">
        <v>9.3008432929E10</v>
      </c>
      <c r="J4874" s="156">
        <v>0.0</v>
      </c>
      <c r="K4874" s="154" t="s">
        <v>760</v>
      </c>
    </row>
    <row r="4875">
      <c r="A4875" s="154" t="s">
        <v>10522</v>
      </c>
      <c r="B4875" s="154" t="s">
        <v>10523</v>
      </c>
      <c r="C4875" s="155"/>
      <c r="D4875" s="154">
        <v>2.0</v>
      </c>
      <c r="E4875" s="154" t="s">
        <v>897</v>
      </c>
      <c r="F4875" s="154" t="s">
        <v>10524</v>
      </c>
      <c r="G4875" s="154">
        <v>0.0</v>
      </c>
      <c r="H4875" s="156">
        <v>0.0</v>
      </c>
      <c r="I4875" s="154">
        <v>9.3008432929E10</v>
      </c>
      <c r="J4875" s="156">
        <v>0.0</v>
      </c>
      <c r="K4875" s="154" t="s">
        <v>760</v>
      </c>
    </row>
    <row r="4876">
      <c r="A4876" s="154" t="s">
        <v>10525</v>
      </c>
      <c r="B4876" s="155"/>
      <c r="C4876" s="154" t="s">
        <v>10526</v>
      </c>
      <c r="D4876" s="155"/>
      <c r="E4876" s="155"/>
      <c r="F4876" s="154" t="s">
        <v>10527</v>
      </c>
      <c r="G4876" s="154" t="s">
        <v>10528</v>
      </c>
      <c r="H4876" s="154" t="s">
        <v>10529</v>
      </c>
      <c r="I4876" s="154" t="s">
        <v>10530</v>
      </c>
      <c r="J4876" s="154" t="s">
        <v>10531</v>
      </c>
      <c r="K4876" s="154" t="s">
        <v>361</v>
      </c>
    </row>
    <row r="4877">
      <c r="A4877" s="154" t="s">
        <v>10525</v>
      </c>
      <c r="B4877" s="154" t="s">
        <v>10526</v>
      </c>
      <c r="C4877" s="155"/>
      <c r="D4877" s="154">
        <v>2.0</v>
      </c>
      <c r="E4877" s="154" t="s">
        <v>897</v>
      </c>
      <c r="F4877" s="154" t="s">
        <v>10527</v>
      </c>
      <c r="G4877" s="154" t="s">
        <v>10528</v>
      </c>
      <c r="H4877" s="154" t="s">
        <v>10529</v>
      </c>
      <c r="I4877" s="154" t="s">
        <v>10530</v>
      </c>
      <c r="J4877" s="154" t="s">
        <v>10531</v>
      </c>
      <c r="K4877" s="154" t="s">
        <v>361</v>
      </c>
    </row>
    <row r="4878">
      <c r="A4878" s="154" t="s">
        <v>10532</v>
      </c>
      <c r="B4878" s="155"/>
      <c r="C4878" s="154" t="s">
        <v>10533</v>
      </c>
      <c r="D4878" s="155"/>
      <c r="E4878" s="155"/>
      <c r="F4878" s="154" t="s">
        <v>10534</v>
      </c>
      <c r="G4878" s="154">
        <v>5.03628115E8</v>
      </c>
      <c r="H4878" s="156">
        <v>0.0</v>
      </c>
      <c r="I4878" s="154">
        <v>9.71503628115E11</v>
      </c>
      <c r="J4878" s="156">
        <v>0.0</v>
      </c>
      <c r="K4878" s="154" t="s">
        <v>197</v>
      </c>
    </row>
    <row r="4879">
      <c r="A4879" s="154" t="s">
        <v>10532</v>
      </c>
      <c r="B4879" s="154" t="s">
        <v>10533</v>
      </c>
      <c r="C4879" s="155"/>
      <c r="D4879" s="154">
        <v>2.0</v>
      </c>
      <c r="E4879" s="154" t="s">
        <v>897</v>
      </c>
      <c r="F4879" s="154" t="s">
        <v>10535</v>
      </c>
      <c r="G4879" s="156">
        <v>0.0</v>
      </c>
      <c r="H4879" s="156">
        <v>0.0</v>
      </c>
      <c r="I4879" s="154" t="s">
        <v>10536</v>
      </c>
      <c r="J4879" s="156">
        <v>0.0</v>
      </c>
      <c r="K4879" s="154" t="s">
        <v>197</v>
      </c>
    </row>
    <row r="4880">
      <c r="A4880" s="154" t="s">
        <v>10537</v>
      </c>
      <c r="B4880" s="155"/>
      <c r="C4880" s="154" t="s">
        <v>10538</v>
      </c>
      <c r="D4880" s="155"/>
      <c r="E4880" s="155"/>
      <c r="F4880" s="154" t="s">
        <v>10539</v>
      </c>
      <c r="G4880" s="156">
        <v>0.0</v>
      </c>
      <c r="H4880" s="156">
        <v>0.0</v>
      </c>
      <c r="I4880" s="154">
        <v>5.0644981E8</v>
      </c>
      <c r="J4880" s="156">
        <v>0.0</v>
      </c>
      <c r="K4880" s="154" t="s">
        <v>760</v>
      </c>
    </row>
    <row r="4881">
      <c r="A4881" s="154" t="s">
        <v>10537</v>
      </c>
      <c r="B4881" s="154" t="s">
        <v>10538</v>
      </c>
      <c r="C4881" s="155"/>
      <c r="D4881" s="154">
        <v>2.0</v>
      </c>
      <c r="E4881" s="154" t="s">
        <v>897</v>
      </c>
      <c r="F4881" s="154" t="s">
        <v>10539</v>
      </c>
      <c r="G4881" s="156">
        <v>0.0</v>
      </c>
      <c r="H4881" s="156">
        <v>0.0</v>
      </c>
      <c r="I4881" s="154">
        <v>5.0644981E8</v>
      </c>
      <c r="J4881" s="156">
        <v>0.0</v>
      </c>
      <c r="K4881" s="154" t="s">
        <v>760</v>
      </c>
    </row>
    <row r="4882">
      <c r="A4882" s="154" t="s">
        <v>10540</v>
      </c>
      <c r="B4882" s="154" t="s">
        <v>10541</v>
      </c>
      <c r="C4882" s="155"/>
      <c r="D4882" s="154">
        <v>2.0</v>
      </c>
      <c r="E4882" s="154" t="s">
        <v>897</v>
      </c>
      <c r="F4882" s="154" t="s">
        <v>10542</v>
      </c>
      <c r="G4882" s="154">
        <v>5.04563249E8</v>
      </c>
      <c r="H4882" s="156">
        <v>0.0</v>
      </c>
      <c r="I4882" s="156">
        <v>0.0</v>
      </c>
      <c r="J4882" s="156">
        <v>0.0</v>
      </c>
      <c r="K4882" s="154" t="s">
        <v>223</v>
      </c>
    </row>
    <row r="4883">
      <c r="A4883" s="154" t="s">
        <v>10540</v>
      </c>
      <c r="B4883" s="155"/>
      <c r="C4883" s="154" t="s">
        <v>10541</v>
      </c>
      <c r="D4883" s="155"/>
      <c r="E4883" s="155"/>
      <c r="F4883" s="154" t="s">
        <v>10542</v>
      </c>
      <c r="G4883" s="154">
        <v>5.04563249E8</v>
      </c>
      <c r="H4883" s="156">
        <v>0.0</v>
      </c>
      <c r="I4883" s="156">
        <v>0.0</v>
      </c>
      <c r="J4883" s="156">
        <v>0.0</v>
      </c>
      <c r="K4883" s="154" t="s">
        <v>223</v>
      </c>
    </row>
    <row r="4884">
      <c r="A4884" s="154" t="s">
        <v>10543</v>
      </c>
      <c r="B4884" s="154" t="s">
        <v>10544</v>
      </c>
      <c r="C4884" s="155"/>
      <c r="D4884" s="154">
        <v>2.0</v>
      </c>
      <c r="E4884" s="154" t="s">
        <v>897</v>
      </c>
      <c r="F4884" s="154" t="s">
        <v>1619</v>
      </c>
      <c r="G4884" s="154">
        <v>4.3903333E7</v>
      </c>
      <c r="H4884" s="154" t="s">
        <v>1620</v>
      </c>
      <c r="I4884" s="156">
        <v>0.0</v>
      </c>
      <c r="J4884" s="156">
        <v>0.0</v>
      </c>
      <c r="K4884" s="156">
        <v>0.0</v>
      </c>
    </row>
    <row r="4885">
      <c r="A4885" s="154" t="s">
        <v>10543</v>
      </c>
      <c r="B4885" s="155"/>
      <c r="C4885" s="154" t="s">
        <v>10544</v>
      </c>
      <c r="D4885" s="155"/>
      <c r="E4885" s="155"/>
      <c r="F4885" s="154" t="s">
        <v>1619</v>
      </c>
      <c r="G4885" s="154">
        <v>4.3903333E7</v>
      </c>
      <c r="H4885" s="154" t="s">
        <v>1620</v>
      </c>
      <c r="I4885" s="156">
        <v>0.0</v>
      </c>
      <c r="J4885" s="156">
        <v>0.0</v>
      </c>
      <c r="K4885" s="156">
        <v>0.0</v>
      </c>
    </row>
    <row r="4886">
      <c r="A4886" s="154" t="s">
        <v>10545</v>
      </c>
      <c r="B4886" s="154" t="s">
        <v>10546</v>
      </c>
      <c r="C4886" s="155"/>
      <c r="D4886" s="154">
        <v>2.0</v>
      </c>
      <c r="E4886" s="154" t="s">
        <v>897</v>
      </c>
      <c r="F4886" s="154" t="s">
        <v>10547</v>
      </c>
      <c r="G4886" s="154">
        <v>0.0</v>
      </c>
      <c r="H4886" s="156">
        <v>0.0</v>
      </c>
      <c r="I4886" s="156">
        <v>0.0</v>
      </c>
      <c r="J4886" s="156">
        <v>0.0</v>
      </c>
      <c r="K4886" s="156">
        <v>0.0</v>
      </c>
    </row>
    <row r="4887">
      <c r="A4887" s="154" t="s">
        <v>10545</v>
      </c>
      <c r="B4887" s="155"/>
      <c r="C4887" s="154" t="s">
        <v>10546</v>
      </c>
      <c r="D4887" s="155"/>
      <c r="E4887" s="155"/>
      <c r="F4887" s="154" t="s">
        <v>10547</v>
      </c>
      <c r="G4887" s="154">
        <v>0.0</v>
      </c>
      <c r="H4887" s="156">
        <v>0.0</v>
      </c>
      <c r="I4887" s="156">
        <v>0.0</v>
      </c>
      <c r="J4887" s="156">
        <v>0.0</v>
      </c>
      <c r="K4887" s="156">
        <v>0.0</v>
      </c>
    </row>
    <row r="4888">
      <c r="A4888" s="154" t="s">
        <v>10548</v>
      </c>
      <c r="B4888" s="154" t="s">
        <v>10549</v>
      </c>
      <c r="C4888" s="155"/>
      <c r="D4888" s="154">
        <v>2.0</v>
      </c>
      <c r="E4888" s="154" t="s">
        <v>897</v>
      </c>
      <c r="F4888" s="154" t="s">
        <v>10550</v>
      </c>
      <c r="G4888" s="154" t="s">
        <v>10551</v>
      </c>
      <c r="H4888" s="156">
        <v>0.0</v>
      </c>
      <c r="I4888" s="154" t="s">
        <v>10552</v>
      </c>
      <c r="J4888" s="154" t="s">
        <v>10553</v>
      </c>
      <c r="K4888" s="154" t="s">
        <v>361</v>
      </c>
    </row>
    <row r="4889">
      <c r="A4889" s="154" t="s">
        <v>10548</v>
      </c>
      <c r="B4889" s="155"/>
      <c r="C4889" s="154" t="s">
        <v>10549</v>
      </c>
      <c r="D4889" s="155"/>
      <c r="E4889" s="155"/>
      <c r="F4889" s="154" t="s">
        <v>10554</v>
      </c>
      <c r="G4889" s="154" t="s">
        <v>10551</v>
      </c>
      <c r="H4889" s="156">
        <v>0.0</v>
      </c>
      <c r="I4889" s="154" t="s">
        <v>10552</v>
      </c>
      <c r="J4889" s="154" t="s">
        <v>2032</v>
      </c>
      <c r="K4889" s="154" t="s">
        <v>361</v>
      </c>
    </row>
    <row r="4890">
      <c r="A4890" s="154" t="s">
        <v>10555</v>
      </c>
      <c r="B4890" s="154" t="s">
        <v>10556</v>
      </c>
      <c r="C4890" s="155"/>
      <c r="D4890" s="154">
        <v>2.0</v>
      </c>
      <c r="E4890" s="154" t="s">
        <v>897</v>
      </c>
      <c r="F4890" s="154" t="s">
        <v>10557</v>
      </c>
      <c r="G4890" s="155">
        <f t="shared" ref="G4890:G4891" si="18">+97143552276</f>
        <v>97143552276</v>
      </c>
      <c r="H4890" s="154" t="s">
        <v>10558</v>
      </c>
      <c r="I4890" s="154">
        <v>5.62341686E8</v>
      </c>
      <c r="J4890" s="156">
        <v>0.0</v>
      </c>
      <c r="K4890" s="154" t="s">
        <v>361</v>
      </c>
    </row>
    <row r="4891">
      <c r="A4891" s="154" t="s">
        <v>10555</v>
      </c>
      <c r="B4891" s="155"/>
      <c r="C4891" s="154" t="s">
        <v>10556</v>
      </c>
      <c r="D4891" s="155"/>
      <c r="E4891" s="155"/>
      <c r="F4891" s="154" t="s">
        <v>10557</v>
      </c>
      <c r="G4891" s="155">
        <f t="shared" si="18"/>
        <v>97143552276</v>
      </c>
      <c r="H4891" s="154" t="s">
        <v>10558</v>
      </c>
      <c r="I4891" s="154">
        <v>5.62341686E8</v>
      </c>
      <c r="J4891" s="156">
        <v>0.0</v>
      </c>
      <c r="K4891" s="154" t="s">
        <v>361</v>
      </c>
    </row>
    <row r="4892">
      <c r="A4892" s="154" t="s">
        <v>10559</v>
      </c>
      <c r="B4892" s="155"/>
      <c r="C4892" s="154" t="s">
        <v>10560</v>
      </c>
      <c r="D4892" s="155"/>
      <c r="E4892" s="155"/>
      <c r="F4892" s="154" t="s">
        <v>10561</v>
      </c>
      <c r="G4892" s="154" t="s">
        <v>10562</v>
      </c>
      <c r="H4892" s="156">
        <v>0.0</v>
      </c>
      <c r="I4892" s="154" t="s">
        <v>10563</v>
      </c>
      <c r="J4892" s="156">
        <v>0.0</v>
      </c>
      <c r="K4892" s="154" t="s">
        <v>846</v>
      </c>
    </row>
    <row r="4893">
      <c r="A4893" s="154" t="s">
        <v>10559</v>
      </c>
      <c r="B4893" s="154" t="s">
        <v>10560</v>
      </c>
      <c r="C4893" s="155"/>
      <c r="D4893" s="154">
        <v>2.0</v>
      </c>
      <c r="E4893" s="154" t="s">
        <v>897</v>
      </c>
      <c r="F4893" s="154" t="s">
        <v>10561</v>
      </c>
      <c r="G4893" s="154" t="s">
        <v>10562</v>
      </c>
      <c r="H4893" s="156">
        <v>0.0</v>
      </c>
      <c r="I4893" s="154" t="s">
        <v>10563</v>
      </c>
      <c r="J4893" s="156">
        <v>0.0</v>
      </c>
      <c r="K4893" s="154" t="s">
        <v>846</v>
      </c>
    </row>
    <row r="4894">
      <c r="A4894" s="154" t="s">
        <v>10564</v>
      </c>
      <c r="B4894" s="154" t="s">
        <v>10565</v>
      </c>
      <c r="C4894" s="155"/>
      <c r="D4894" s="154">
        <v>2.0</v>
      </c>
      <c r="E4894" s="154" t="s">
        <v>897</v>
      </c>
      <c r="F4894" s="154" t="s">
        <v>10566</v>
      </c>
      <c r="G4894" s="156">
        <v>0.0</v>
      </c>
      <c r="H4894" s="156">
        <v>0.0</v>
      </c>
      <c r="I4894" s="154" t="s">
        <v>10567</v>
      </c>
      <c r="J4894" s="156">
        <v>0.0</v>
      </c>
      <c r="K4894" s="154" t="s">
        <v>361</v>
      </c>
    </row>
    <row r="4895">
      <c r="A4895" s="154" t="s">
        <v>10564</v>
      </c>
      <c r="B4895" s="155"/>
      <c r="C4895" s="154" t="s">
        <v>10565</v>
      </c>
      <c r="D4895" s="155"/>
      <c r="E4895" s="155"/>
      <c r="F4895" s="154" t="s">
        <v>3429</v>
      </c>
      <c r="G4895" s="154">
        <v>9.71042821E11</v>
      </c>
      <c r="H4895" s="154" t="s">
        <v>2022</v>
      </c>
      <c r="I4895" s="156">
        <v>0.0</v>
      </c>
      <c r="J4895" s="156">
        <v>0.0</v>
      </c>
      <c r="K4895" s="156">
        <v>0.0</v>
      </c>
    </row>
    <row r="4896">
      <c r="A4896" s="154" t="s">
        <v>10568</v>
      </c>
      <c r="B4896" s="154" t="s">
        <v>10569</v>
      </c>
      <c r="C4896" s="155"/>
      <c r="D4896" s="154">
        <v>2.0</v>
      </c>
      <c r="E4896" s="154" t="s">
        <v>1237</v>
      </c>
      <c r="F4896" s="154" t="s">
        <v>3058</v>
      </c>
      <c r="G4896" s="156">
        <v>0.0</v>
      </c>
      <c r="H4896" s="154" t="s">
        <v>3059</v>
      </c>
      <c r="I4896" s="154" t="s">
        <v>3060</v>
      </c>
      <c r="J4896" s="154" t="s">
        <v>3061</v>
      </c>
      <c r="K4896" s="154" t="s">
        <v>760</v>
      </c>
    </row>
    <row r="4897">
      <c r="A4897" s="154" t="s">
        <v>10568</v>
      </c>
      <c r="B4897" s="155"/>
      <c r="C4897" s="154" t="s">
        <v>10569</v>
      </c>
      <c r="D4897" s="155"/>
      <c r="E4897" s="155"/>
      <c r="F4897" s="154" t="s">
        <v>3058</v>
      </c>
      <c r="G4897" s="156">
        <v>0.0</v>
      </c>
      <c r="H4897" s="154" t="s">
        <v>3059</v>
      </c>
      <c r="I4897" s="154" t="s">
        <v>3060</v>
      </c>
      <c r="J4897" s="154" t="s">
        <v>3061</v>
      </c>
      <c r="K4897" s="154" t="s">
        <v>760</v>
      </c>
    </row>
    <row r="4898">
      <c r="A4898" s="154" t="s">
        <v>10570</v>
      </c>
      <c r="B4898" s="154" t="s">
        <v>10571</v>
      </c>
      <c r="C4898" s="155"/>
      <c r="D4898" s="154">
        <v>2.0</v>
      </c>
      <c r="E4898" s="154" t="s">
        <v>1237</v>
      </c>
      <c r="F4898" s="154" t="s">
        <v>10572</v>
      </c>
      <c r="G4898" s="156">
        <v>0.0</v>
      </c>
      <c r="H4898" s="154" t="s">
        <v>10573</v>
      </c>
      <c r="I4898" s="154" t="s">
        <v>10574</v>
      </c>
      <c r="J4898" s="154" t="s">
        <v>10575</v>
      </c>
      <c r="K4898" s="154" t="s">
        <v>361</v>
      </c>
    </row>
    <row r="4899">
      <c r="A4899" s="154" t="s">
        <v>10570</v>
      </c>
      <c r="B4899" s="155"/>
      <c r="C4899" s="154" t="s">
        <v>10571</v>
      </c>
      <c r="D4899" s="155"/>
      <c r="E4899" s="155"/>
      <c r="F4899" s="154" t="s">
        <v>10572</v>
      </c>
      <c r="G4899" s="156">
        <v>0.0</v>
      </c>
      <c r="H4899" s="154" t="s">
        <v>10573</v>
      </c>
      <c r="I4899" s="154" t="s">
        <v>10574</v>
      </c>
      <c r="J4899" s="154" t="s">
        <v>10575</v>
      </c>
      <c r="K4899" s="154" t="s">
        <v>361</v>
      </c>
    </row>
    <row r="4900">
      <c r="A4900" s="154" t="s">
        <v>10576</v>
      </c>
      <c r="B4900" s="154" t="s">
        <v>10577</v>
      </c>
      <c r="C4900" s="155"/>
      <c r="D4900" s="154">
        <v>2.0</v>
      </c>
      <c r="E4900" s="154" t="s">
        <v>1237</v>
      </c>
      <c r="F4900" s="154" t="s">
        <v>10578</v>
      </c>
      <c r="G4900" s="154">
        <v>5.0249056E8</v>
      </c>
      <c r="H4900" s="156">
        <v>0.0</v>
      </c>
      <c r="I4900" s="154">
        <v>5.56495556E8</v>
      </c>
      <c r="J4900" s="156">
        <v>0.0</v>
      </c>
      <c r="K4900" s="154" t="s">
        <v>846</v>
      </c>
    </row>
    <row r="4901">
      <c r="A4901" s="154" t="s">
        <v>10576</v>
      </c>
      <c r="B4901" s="155"/>
      <c r="C4901" s="154" t="s">
        <v>10577</v>
      </c>
      <c r="D4901" s="155"/>
      <c r="E4901" s="155"/>
      <c r="F4901" s="154" t="s">
        <v>10578</v>
      </c>
      <c r="G4901" s="154">
        <v>5.0249056E8</v>
      </c>
      <c r="H4901" s="156">
        <v>0.0</v>
      </c>
      <c r="I4901" s="154">
        <v>5.56495556E8</v>
      </c>
      <c r="J4901" s="156">
        <v>0.0</v>
      </c>
      <c r="K4901" s="154" t="s">
        <v>846</v>
      </c>
    </row>
    <row r="4902">
      <c r="A4902" s="154" t="s">
        <v>10579</v>
      </c>
      <c r="B4902" s="154" t="s">
        <v>10580</v>
      </c>
      <c r="C4902" s="155"/>
      <c r="D4902" s="154">
        <v>2.0</v>
      </c>
      <c r="E4902" s="154" t="s">
        <v>1237</v>
      </c>
      <c r="F4902" s="154" t="s">
        <v>10581</v>
      </c>
      <c r="G4902" s="156">
        <v>0.0</v>
      </c>
      <c r="H4902" s="154" t="s">
        <v>10582</v>
      </c>
      <c r="I4902" s="154">
        <v>9.71567441965E11</v>
      </c>
      <c r="J4902" s="156">
        <v>0.0</v>
      </c>
      <c r="K4902" s="154" t="s">
        <v>760</v>
      </c>
    </row>
    <row r="4903">
      <c r="A4903" s="154" t="s">
        <v>10579</v>
      </c>
      <c r="B4903" s="155"/>
      <c r="C4903" s="154" t="s">
        <v>10580</v>
      </c>
      <c r="D4903" s="155"/>
      <c r="E4903" s="155"/>
      <c r="F4903" s="154" t="s">
        <v>10581</v>
      </c>
      <c r="G4903" s="156">
        <v>0.0</v>
      </c>
      <c r="H4903" s="154" t="s">
        <v>10582</v>
      </c>
      <c r="I4903" s="154">
        <v>9.71567441965E11</v>
      </c>
      <c r="J4903" s="156">
        <v>0.0</v>
      </c>
      <c r="K4903" s="154" t="s">
        <v>760</v>
      </c>
    </row>
    <row r="4904">
      <c r="A4904" s="154" t="s">
        <v>10583</v>
      </c>
      <c r="B4904" s="154" t="s">
        <v>10584</v>
      </c>
      <c r="C4904" s="155"/>
      <c r="D4904" s="154">
        <v>2.0</v>
      </c>
      <c r="E4904" s="154" t="s">
        <v>1237</v>
      </c>
      <c r="F4904" s="154" t="s">
        <v>1148</v>
      </c>
      <c r="G4904" s="156">
        <v>0.0</v>
      </c>
      <c r="H4904" s="156">
        <v>0.0</v>
      </c>
      <c r="I4904" s="154" t="s">
        <v>1149</v>
      </c>
      <c r="J4904" s="154" t="s">
        <v>1150</v>
      </c>
      <c r="K4904" s="154" t="s">
        <v>1151</v>
      </c>
    </row>
    <row r="4905">
      <c r="A4905" s="154" t="s">
        <v>10583</v>
      </c>
      <c r="B4905" s="155"/>
      <c r="C4905" s="154" t="s">
        <v>10584</v>
      </c>
      <c r="D4905" s="155"/>
      <c r="E4905" s="155"/>
      <c r="F4905" s="154" t="s">
        <v>1148</v>
      </c>
      <c r="G4905" s="156">
        <v>0.0</v>
      </c>
      <c r="H4905" s="156">
        <v>0.0</v>
      </c>
      <c r="I4905" s="154" t="s">
        <v>1149</v>
      </c>
      <c r="J4905" s="154" t="s">
        <v>1150</v>
      </c>
      <c r="K4905" s="154" t="s">
        <v>1151</v>
      </c>
    </row>
    <row r="4906">
      <c r="A4906" s="154" t="s">
        <v>10585</v>
      </c>
      <c r="B4906" s="154" t="s">
        <v>10586</v>
      </c>
      <c r="C4906" s="155"/>
      <c r="D4906" s="154">
        <v>2.0</v>
      </c>
      <c r="E4906" s="154" t="s">
        <v>1237</v>
      </c>
      <c r="F4906" s="154" t="s">
        <v>1270</v>
      </c>
      <c r="G4906" s="156">
        <v>0.0</v>
      </c>
      <c r="H4906" s="154" t="s">
        <v>1271</v>
      </c>
      <c r="I4906" s="154" t="s">
        <v>1272</v>
      </c>
      <c r="J4906" s="154" t="s">
        <v>1273</v>
      </c>
      <c r="K4906" s="154" t="s">
        <v>846</v>
      </c>
    </row>
    <row r="4907">
      <c r="A4907" s="154" t="s">
        <v>10585</v>
      </c>
      <c r="B4907" s="155"/>
      <c r="C4907" s="154" t="s">
        <v>10586</v>
      </c>
      <c r="D4907" s="155"/>
      <c r="E4907" s="155"/>
      <c r="F4907" s="154" t="s">
        <v>1270</v>
      </c>
      <c r="G4907" s="156">
        <v>0.0</v>
      </c>
      <c r="H4907" s="154" t="s">
        <v>1271</v>
      </c>
      <c r="I4907" s="154" t="s">
        <v>1272</v>
      </c>
      <c r="J4907" s="154" t="s">
        <v>1273</v>
      </c>
      <c r="K4907" s="154" t="s">
        <v>846</v>
      </c>
    </row>
    <row r="4908">
      <c r="A4908" s="154" t="s">
        <v>10587</v>
      </c>
      <c r="B4908" s="155"/>
      <c r="C4908" s="154" t="s">
        <v>10588</v>
      </c>
      <c r="D4908" s="155"/>
      <c r="E4908" s="155"/>
      <c r="F4908" s="154" t="s">
        <v>10589</v>
      </c>
      <c r="G4908" s="154">
        <v>11.0</v>
      </c>
      <c r="H4908" s="156">
        <v>0.0</v>
      </c>
      <c r="I4908" s="156">
        <v>0.0</v>
      </c>
      <c r="J4908" s="156">
        <v>0.0</v>
      </c>
      <c r="K4908" s="156">
        <v>0.0</v>
      </c>
    </row>
    <row r="4909">
      <c r="A4909" s="154" t="s">
        <v>10587</v>
      </c>
      <c r="B4909" s="154" t="s">
        <v>10588</v>
      </c>
      <c r="C4909" s="155"/>
      <c r="D4909" s="154">
        <v>2.0</v>
      </c>
      <c r="E4909" s="154" t="s">
        <v>1237</v>
      </c>
      <c r="F4909" s="154" t="s">
        <v>10589</v>
      </c>
      <c r="G4909" s="154">
        <v>11.0</v>
      </c>
      <c r="H4909" s="156">
        <v>0.0</v>
      </c>
      <c r="I4909" s="156">
        <v>0.0</v>
      </c>
      <c r="J4909" s="156">
        <v>0.0</v>
      </c>
      <c r="K4909" s="156">
        <v>0.0</v>
      </c>
    </row>
    <row r="4910">
      <c r="A4910" s="154" t="s">
        <v>10590</v>
      </c>
      <c r="B4910" s="154" t="s">
        <v>10591</v>
      </c>
      <c r="C4910" s="155"/>
      <c r="D4910" s="154">
        <v>2.0</v>
      </c>
      <c r="E4910" s="154" t="s">
        <v>1237</v>
      </c>
      <c r="F4910" s="154" t="s">
        <v>1238</v>
      </c>
      <c r="G4910" s="154">
        <v>4.7018111E7</v>
      </c>
      <c r="H4910" s="154" t="s">
        <v>1239</v>
      </c>
      <c r="I4910" s="156">
        <v>0.0</v>
      </c>
      <c r="J4910" s="156">
        <v>0.0</v>
      </c>
      <c r="K4910" s="156">
        <v>0.0</v>
      </c>
    </row>
    <row r="4911">
      <c r="A4911" s="154" t="s">
        <v>10590</v>
      </c>
      <c r="B4911" s="155"/>
      <c r="C4911" s="154" t="s">
        <v>10591</v>
      </c>
      <c r="D4911" s="155"/>
      <c r="E4911" s="155"/>
      <c r="F4911" s="154" t="s">
        <v>1238</v>
      </c>
      <c r="G4911" s="154">
        <v>4.7018111E7</v>
      </c>
      <c r="H4911" s="154" t="s">
        <v>1239</v>
      </c>
      <c r="I4911" s="156">
        <v>0.0</v>
      </c>
      <c r="J4911" s="156">
        <v>0.0</v>
      </c>
      <c r="K4911" s="156">
        <v>0.0</v>
      </c>
    </row>
    <row r="4912">
      <c r="A4912" s="154" t="s">
        <v>10592</v>
      </c>
      <c r="B4912" s="154" t="s">
        <v>10593</v>
      </c>
      <c r="C4912" s="155"/>
      <c r="D4912" s="154">
        <v>2.0</v>
      </c>
      <c r="E4912" s="154" t="s">
        <v>1237</v>
      </c>
      <c r="F4912" s="154" t="s">
        <v>10594</v>
      </c>
      <c r="G4912" s="156">
        <v>0.0</v>
      </c>
      <c r="H4912" s="156">
        <v>0.0</v>
      </c>
      <c r="I4912" s="154">
        <v>5.51497E8</v>
      </c>
      <c r="J4912" s="156">
        <v>0.0</v>
      </c>
      <c r="K4912" s="154" t="s">
        <v>1426</v>
      </c>
    </row>
    <row r="4913">
      <c r="A4913" s="154" t="s">
        <v>10592</v>
      </c>
      <c r="B4913" s="155"/>
      <c r="C4913" s="154" t="s">
        <v>10593</v>
      </c>
      <c r="D4913" s="155"/>
      <c r="E4913" s="155"/>
      <c r="F4913" s="154" t="s">
        <v>10594</v>
      </c>
      <c r="G4913" s="156">
        <v>0.0</v>
      </c>
      <c r="H4913" s="156">
        <v>0.0</v>
      </c>
      <c r="I4913" s="154">
        <v>5.51497E8</v>
      </c>
      <c r="J4913" s="156">
        <v>0.0</v>
      </c>
      <c r="K4913" s="154" t="s">
        <v>1426</v>
      </c>
    </row>
    <row r="4914">
      <c r="A4914" s="154" t="s">
        <v>10595</v>
      </c>
      <c r="B4914" s="155"/>
      <c r="C4914" s="154" t="s">
        <v>10596</v>
      </c>
      <c r="D4914" s="155"/>
      <c r="E4914" s="155"/>
      <c r="F4914" s="154" t="s">
        <v>10597</v>
      </c>
      <c r="G4914" s="154" t="s">
        <v>10598</v>
      </c>
      <c r="H4914" s="156">
        <v>0.0</v>
      </c>
      <c r="I4914" s="154">
        <v>9.71505597312E11</v>
      </c>
      <c r="J4914" s="156">
        <v>0.0</v>
      </c>
      <c r="K4914" s="154" t="s">
        <v>361</v>
      </c>
    </row>
    <row r="4915">
      <c r="A4915" s="154" t="s">
        <v>10595</v>
      </c>
      <c r="B4915" s="154" t="s">
        <v>10596</v>
      </c>
      <c r="C4915" s="155"/>
      <c r="D4915" s="154">
        <v>2.0</v>
      </c>
      <c r="E4915" s="154" t="s">
        <v>1237</v>
      </c>
      <c r="F4915" s="154" t="s">
        <v>10597</v>
      </c>
      <c r="G4915" s="154" t="s">
        <v>10598</v>
      </c>
      <c r="H4915" s="156">
        <v>0.0</v>
      </c>
      <c r="I4915" s="154">
        <v>9.71505597312E11</v>
      </c>
      <c r="J4915" s="156">
        <v>0.0</v>
      </c>
      <c r="K4915" s="154" t="s">
        <v>361</v>
      </c>
    </row>
    <row r="4916">
      <c r="A4916" s="154" t="s">
        <v>10599</v>
      </c>
      <c r="B4916" s="155"/>
      <c r="C4916" s="154" t="s">
        <v>10600</v>
      </c>
      <c r="D4916" s="155"/>
      <c r="E4916" s="155"/>
      <c r="F4916" s="154" t="s">
        <v>10601</v>
      </c>
      <c r="G4916" s="154" t="s">
        <v>10602</v>
      </c>
      <c r="H4916" s="156">
        <v>0.0</v>
      </c>
      <c r="I4916" s="154" t="s">
        <v>10603</v>
      </c>
      <c r="J4916" s="154" t="s">
        <v>10602</v>
      </c>
      <c r="K4916" s="154" t="s">
        <v>361</v>
      </c>
    </row>
    <row r="4917">
      <c r="A4917" s="154" t="s">
        <v>10599</v>
      </c>
      <c r="B4917" s="154" t="s">
        <v>10600</v>
      </c>
      <c r="C4917" s="155"/>
      <c r="D4917" s="154">
        <v>2.0</v>
      </c>
      <c r="E4917" s="154" t="s">
        <v>1237</v>
      </c>
      <c r="F4917" s="154" t="s">
        <v>10601</v>
      </c>
      <c r="G4917" s="154" t="s">
        <v>10602</v>
      </c>
      <c r="H4917" s="156">
        <v>0.0</v>
      </c>
      <c r="I4917" s="154" t="s">
        <v>10603</v>
      </c>
      <c r="J4917" s="154" t="s">
        <v>10602</v>
      </c>
      <c r="K4917" s="154" t="s">
        <v>361</v>
      </c>
    </row>
    <row r="4918">
      <c r="A4918" s="154" t="s">
        <v>10604</v>
      </c>
      <c r="B4918" s="154" t="s">
        <v>10605</v>
      </c>
      <c r="C4918" s="155"/>
      <c r="D4918" s="154">
        <v>2.0</v>
      </c>
      <c r="E4918" s="154" t="s">
        <v>1237</v>
      </c>
      <c r="F4918" s="154" t="s">
        <v>10606</v>
      </c>
      <c r="G4918" s="156">
        <v>0.0</v>
      </c>
      <c r="H4918" s="154" t="s">
        <v>2049</v>
      </c>
      <c r="I4918" s="154" t="s">
        <v>10607</v>
      </c>
      <c r="J4918" s="156">
        <v>0.0</v>
      </c>
      <c r="K4918" s="154" t="s">
        <v>1069</v>
      </c>
    </row>
    <row r="4919">
      <c r="A4919" s="154" t="s">
        <v>10604</v>
      </c>
      <c r="B4919" s="155"/>
      <c r="C4919" s="154" t="s">
        <v>10605</v>
      </c>
      <c r="D4919" s="155"/>
      <c r="E4919" s="155"/>
      <c r="F4919" s="154" t="s">
        <v>10606</v>
      </c>
      <c r="G4919" s="156">
        <v>0.0</v>
      </c>
      <c r="H4919" s="154" t="s">
        <v>2049</v>
      </c>
      <c r="I4919" s="154" t="s">
        <v>10607</v>
      </c>
      <c r="J4919" s="156">
        <v>0.0</v>
      </c>
      <c r="K4919" s="154" t="s">
        <v>1069</v>
      </c>
    </row>
    <row r="4920">
      <c r="A4920" s="154" t="s">
        <v>10608</v>
      </c>
      <c r="B4920" s="154" t="s">
        <v>10609</v>
      </c>
      <c r="C4920" s="155"/>
      <c r="D4920" s="154">
        <v>2.0</v>
      </c>
      <c r="E4920" s="154" t="s">
        <v>1237</v>
      </c>
      <c r="F4920" s="154" t="s">
        <v>1270</v>
      </c>
      <c r="G4920" s="156">
        <v>0.0</v>
      </c>
      <c r="H4920" s="154" t="s">
        <v>1271</v>
      </c>
      <c r="I4920" s="154" t="s">
        <v>1272</v>
      </c>
      <c r="J4920" s="154" t="s">
        <v>1273</v>
      </c>
      <c r="K4920" s="154" t="s">
        <v>846</v>
      </c>
    </row>
    <row r="4921">
      <c r="A4921" s="154" t="s">
        <v>10608</v>
      </c>
      <c r="B4921" s="155"/>
      <c r="C4921" s="154" t="s">
        <v>10609</v>
      </c>
      <c r="D4921" s="155"/>
      <c r="E4921" s="155"/>
      <c r="F4921" s="154" t="s">
        <v>1270</v>
      </c>
      <c r="G4921" s="156">
        <v>0.0</v>
      </c>
      <c r="H4921" s="154" t="s">
        <v>1271</v>
      </c>
      <c r="I4921" s="154" t="s">
        <v>1272</v>
      </c>
      <c r="J4921" s="154" t="s">
        <v>1273</v>
      </c>
      <c r="K4921" s="154" t="s">
        <v>846</v>
      </c>
    </row>
    <row r="4922">
      <c r="A4922" s="154" t="s">
        <v>10610</v>
      </c>
      <c r="B4922" s="155"/>
      <c r="C4922" s="154" t="s">
        <v>10611</v>
      </c>
      <c r="D4922" s="155"/>
      <c r="E4922" s="155"/>
      <c r="F4922" s="154" t="s">
        <v>5790</v>
      </c>
      <c r="G4922" s="154">
        <v>971.0</v>
      </c>
      <c r="H4922" s="154" t="s">
        <v>5791</v>
      </c>
      <c r="I4922" s="154" t="s">
        <v>5792</v>
      </c>
      <c r="J4922" s="156">
        <v>0.0</v>
      </c>
      <c r="K4922" s="154" t="s">
        <v>197</v>
      </c>
    </row>
    <row r="4923">
      <c r="A4923" s="154" t="s">
        <v>10610</v>
      </c>
      <c r="B4923" s="154" t="s">
        <v>10611</v>
      </c>
      <c r="C4923" s="155"/>
      <c r="D4923" s="154">
        <v>2.0</v>
      </c>
      <c r="E4923" s="154" t="s">
        <v>1237</v>
      </c>
      <c r="F4923" s="154" t="s">
        <v>5790</v>
      </c>
      <c r="G4923" s="154">
        <v>971.0</v>
      </c>
      <c r="H4923" s="154" t="s">
        <v>5791</v>
      </c>
      <c r="I4923" s="154" t="s">
        <v>5792</v>
      </c>
      <c r="J4923" s="156">
        <v>0.0</v>
      </c>
      <c r="K4923" s="154" t="s">
        <v>197</v>
      </c>
    </row>
    <row r="4924">
      <c r="A4924" s="154" t="s">
        <v>10612</v>
      </c>
      <c r="B4924" s="155"/>
      <c r="C4924" s="154" t="s">
        <v>10613</v>
      </c>
      <c r="D4924" s="155"/>
      <c r="E4924" s="155"/>
      <c r="F4924" s="154" t="s">
        <v>10614</v>
      </c>
      <c r="G4924" s="156">
        <v>0.0</v>
      </c>
      <c r="H4924" s="154" t="s">
        <v>10615</v>
      </c>
      <c r="I4924" s="154" t="s">
        <v>10616</v>
      </c>
      <c r="J4924" s="154" t="s">
        <v>809</v>
      </c>
      <c r="K4924" s="154" t="s">
        <v>361</v>
      </c>
    </row>
    <row r="4925">
      <c r="A4925" s="154" t="s">
        <v>10612</v>
      </c>
      <c r="B4925" s="154" t="s">
        <v>10613</v>
      </c>
      <c r="C4925" s="155"/>
      <c r="D4925" s="154">
        <v>2.0</v>
      </c>
      <c r="E4925" s="154" t="s">
        <v>1237</v>
      </c>
      <c r="F4925" s="154" t="s">
        <v>10614</v>
      </c>
      <c r="G4925" s="156">
        <v>0.0</v>
      </c>
      <c r="H4925" s="154" t="s">
        <v>10615</v>
      </c>
      <c r="I4925" s="154" t="s">
        <v>10616</v>
      </c>
      <c r="J4925" s="154" t="s">
        <v>809</v>
      </c>
      <c r="K4925" s="154" t="s">
        <v>361</v>
      </c>
    </row>
    <row r="4926">
      <c r="A4926" s="154" t="s">
        <v>10617</v>
      </c>
      <c r="B4926" s="154" t="s">
        <v>10618</v>
      </c>
      <c r="C4926" s="155"/>
      <c r="D4926" s="154">
        <v>2.0</v>
      </c>
      <c r="E4926" s="154" t="s">
        <v>1237</v>
      </c>
      <c r="F4926" s="154" t="s">
        <v>10619</v>
      </c>
      <c r="G4926" s="154" t="s">
        <v>10620</v>
      </c>
      <c r="H4926" s="156">
        <v>0.0</v>
      </c>
      <c r="I4926" s="154" t="s">
        <v>10621</v>
      </c>
      <c r="J4926" s="154" t="s">
        <v>10620</v>
      </c>
      <c r="K4926" s="154" t="s">
        <v>2167</v>
      </c>
    </row>
    <row r="4927">
      <c r="A4927" s="154" t="s">
        <v>10617</v>
      </c>
      <c r="B4927" s="155"/>
      <c r="C4927" s="154" t="s">
        <v>10618</v>
      </c>
      <c r="D4927" s="155"/>
      <c r="E4927" s="155"/>
      <c r="F4927" s="154" t="s">
        <v>10619</v>
      </c>
      <c r="G4927" s="154" t="s">
        <v>10620</v>
      </c>
      <c r="H4927" s="156">
        <v>0.0</v>
      </c>
      <c r="I4927" s="154" t="s">
        <v>10621</v>
      </c>
      <c r="J4927" s="154" t="s">
        <v>10620</v>
      </c>
      <c r="K4927" s="154" t="s">
        <v>2167</v>
      </c>
    </row>
    <row r="4928">
      <c r="A4928" s="154" t="s">
        <v>10622</v>
      </c>
      <c r="B4928" s="154" t="s">
        <v>10623</v>
      </c>
      <c r="C4928" s="155"/>
      <c r="D4928" s="154">
        <v>2.0</v>
      </c>
      <c r="E4928" s="154" t="s">
        <v>1237</v>
      </c>
      <c r="F4928" s="154" t="s">
        <v>10624</v>
      </c>
      <c r="G4928" s="156">
        <v>0.0</v>
      </c>
      <c r="H4928" s="156">
        <v>0.0</v>
      </c>
      <c r="I4928" s="154" t="s">
        <v>10625</v>
      </c>
      <c r="J4928" s="154" t="s">
        <v>10626</v>
      </c>
      <c r="K4928" s="154" t="s">
        <v>361</v>
      </c>
    </row>
    <row r="4929">
      <c r="A4929" s="154" t="s">
        <v>10622</v>
      </c>
      <c r="B4929" s="155"/>
      <c r="C4929" s="154" t="s">
        <v>10623</v>
      </c>
      <c r="D4929" s="155"/>
      <c r="E4929" s="155"/>
      <c r="F4929" s="154" t="s">
        <v>10624</v>
      </c>
      <c r="G4929" s="156">
        <v>0.0</v>
      </c>
      <c r="H4929" s="156">
        <v>0.0</v>
      </c>
      <c r="I4929" s="154" t="s">
        <v>10625</v>
      </c>
      <c r="J4929" s="154" t="s">
        <v>10626</v>
      </c>
      <c r="K4929" s="154" t="s">
        <v>361</v>
      </c>
    </row>
    <row r="4930">
      <c r="A4930" s="154" t="s">
        <v>10627</v>
      </c>
      <c r="B4930" s="155"/>
      <c r="C4930" s="154" t="s">
        <v>10628</v>
      </c>
      <c r="D4930" s="155"/>
      <c r="E4930" s="155"/>
      <c r="F4930" s="154" t="s">
        <v>2790</v>
      </c>
      <c r="G4930" s="156">
        <v>0.0</v>
      </c>
      <c r="H4930" s="154" t="s">
        <v>2791</v>
      </c>
      <c r="I4930" s="154" t="s">
        <v>2792</v>
      </c>
      <c r="J4930" s="154" t="s">
        <v>2793</v>
      </c>
      <c r="K4930" s="154" t="s">
        <v>361</v>
      </c>
    </row>
    <row r="4931">
      <c r="A4931" s="154" t="s">
        <v>10627</v>
      </c>
      <c r="B4931" s="154" t="s">
        <v>10628</v>
      </c>
      <c r="C4931" s="155"/>
      <c r="D4931" s="154">
        <v>2.0</v>
      </c>
      <c r="E4931" s="154" t="s">
        <v>1237</v>
      </c>
      <c r="F4931" s="154" t="s">
        <v>3421</v>
      </c>
      <c r="G4931" s="156">
        <v>0.0</v>
      </c>
      <c r="H4931" s="154" t="s">
        <v>3422</v>
      </c>
      <c r="I4931" s="154" t="s">
        <v>3423</v>
      </c>
      <c r="J4931" s="154" t="s">
        <v>809</v>
      </c>
      <c r="K4931" s="154" t="s">
        <v>361</v>
      </c>
    </row>
    <row r="4932">
      <c r="A4932" s="154" t="s">
        <v>10629</v>
      </c>
      <c r="B4932" s="154" t="s">
        <v>10630</v>
      </c>
      <c r="C4932" s="155"/>
      <c r="D4932" s="154">
        <v>2.0</v>
      </c>
      <c r="E4932" s="154" t="s">
        <v>1237</v>
      </c>
      <c r="F4932" s="154" t="s">
        <v>1619</v>
      </c>
      <c r="G4932" s="154">
        <v>4.3903333E7</v>
      </c>
      <c r="H4932" s="154" t="s">
        <v>1620</v>
      </c>
      <c r="I4932" s="156">
        <v>0.0</v>
      </c>
      <c r="J4932" s="156">
        <v>0.0</v>
      </c>
      <c r="K4932" s="156">
        <v>0.0</v>
      </c>
    </row>
    <row r="4933">
      <c r="A4933" s="154" t="s">
        <v>10629</v>
      </c>
      <c r="B4933" s="155"/>
      <c r="C4933" s="154" t="s">
        <v>10630</v>
      </c>
      <c r="D4933" s="155"/>
      <c r="E4933" s="155"/>
      <c r="F4933" s="154" t="s">
        <v>1619</v>
      </c>
      <c r="G4933" s="154">
        <v>4.3903333E7</v>
      </c>
      <c r="H4933" s="154" t="s">
        <v>1620</v>
      </c>
      <c r="I4933" s="156">
        <v>0.0</v>
      </c>
      <c r="J4933" s="156">
        <v>0.0</v>
      </c>
      <c r="K4933" s="156">
        <v>0.0</v>
      </c>
    </row>
    <row r="4934">
      <c r="A4934" s="154" t="s">
        <v>10631</v>
      </c>
      <c r="B4934" s="155"/>
      <c r="C4934" s="154" t="s">
        <v>10632</v>
      </c>
      <c r="D4934" s="155"/>
      <c r="E4934" s="155"/>
      <c r="F4934" s="154" t="s">
        <v>8906</v>
      </c>
      <c r="G4934" s="154" t="s">
        <v>10633</v>
      </c>
      <c r="H4934" s="156">
        <v>0.0</v>
      </c>
      <c r="I4934" s="154" t="s">
        <v>10634</v>
      </c>
      <c r="J4934" s="156">
        <v>0.0</v>
      </c>
      <c r="K4934" s="154" t="s">
        <v>361</v>
      </c>
    </row>
    <row r="4935">
      <c r="A4935" s="154" t="s">
        <v>10631</v>
      </c>
      <c r="B4935" s="154" t="s">
        <v>10632</v>
      </c>
      <c r="C4935" s="155"/>
      <c r="D4935" s="154">
        <v>2.0</v>
      </c>
      <c r="E4935" s="154" t="s">
        <v>1237</v>
      </c>
      <c r="F4935" s="154" t="s">
        <v>8906</v>
      </c>
      <c r="G4935" s="154" t="s">
        <v>10633</v>
      </c>
      <c r="H4935" s="156">
        <v>0.0</v>
      </c>
      <c r="I4935" s="154" t="s">
        <v>10634</v>
      </c>
      <c r="J4935" s="156">
        <v>0.0</v>
      </c>
      <c r="K4935" s="154" t="s">
        <v>361</v>
      </c>
    </row>
    <row r="4936">
      <c r="A4936" s="154" t="s">
        <v>10635</v>
      </c>
      <c r="B4936" s="155"/>
      <c r="C4936" s="154" t="s">
        <v>10636</v>
      </c>
      <c r="D4936" s="155"/>
      <c r="E4936" s="155"/>
      <c r="F4936" s="154" t="s">
        <v>8906</v>
      </c>
      <c r="G4936" s="154">
        <v>4.228808E7</v>
      </c>
      <c r="H4936" s="156">
        <v>0.0</v>
      </c>
      <c r="I4936" s="154">
        <v>9.71504508455E11</v>
      </c>
      <c r="J4936" s="156">
        <v>0.0</v>
      </c>
      <c r="K4936" s="154" t="s">
        <v>361</v>
      </c>
    </row>
    <row r="4937">
      <c r="A4937" s="154" t="s">
        <v>10635</v>
      </c>
      <c r="B4937" s="154" t="s">
        <v>10636</v>
      </c>
      <c r="C4937" s="155"/>
      <c r="D4937" s="154">
        <v>2.0</v>
      </c>
      <c r="E4937" s="154" t="s">
        <v>1237</v>
      </c>
      <c r="F4937" s="154" t="s">
        <v>8906</v>
      </c>
      <c r="G4937" s="154">
        <v>4.228808E7</v>
      </c>
      <c r="H4937" s="156">
        <v>0.0</v>
      </c>
      <c r="I4937" s="154">
        <v>9.71504508455E11</v>
      </c>
      <c r="J4937" s="156">
        <v>0.0</v>
      </c>
      <c r="K4937" s="154" t="s">
        <v>361</v>
      </c>
    </row>
    <row r="4938">
      <c r="A4938" s="154" t="s">
        <v>10637</v>
      </c>
      <c r="B4938" s="155"/>
      <c r="C4938" s="154" t="s">
        <v>10638</v>
      </c>
      <c r="D4938" s="155"/>
      <c r="E4938" s="155"/>
      <c r="F4938" s="154" t="s">
        <v>10639</v>
      </c>
      <c r="G4938" s="154">
        <v>5.02402035E8</v>
      </c>
      <c r="H4938" s="156">
        <v>0.0</v>
      </c>
      <c r="I4938" s="154">
        <v>5.02402035E8</v>
      </c>
      <c r="J4938" s="156">
        <v>0.0</v>
      </c>
      <c r="K4938" s="154" t="s">
        <v>846</v>
      </c>
    </row>
    <row r="4939">
      <c r="A4939" s="154" t="s">
        <v>10637</v>
      </c>
      <c r="B4939" s="154" t="s">
        <v>10638</v>
      </c>
      <c r="C4939" s="155"/>
      <c r="D4939" s="154">
        <v>2.0</v>
      </c>
      <c r="E4939" s="154" t="s">
        <v>1237</v>
      </c>
      <c r="F4939" s="154" t="s">
        <v>1619</v>
      </c>
      <c r="G4939" s="154">
        <v>4.3903333E7</v>
      </c>
      <c r="H4939" s="154" t="s">
        <v>1620</v>
      </c>
      <c r="I4939" s="156">
        <v>0.0</v>
      </c>
      <c r="J4939" s="156">
        <v>0.0</v>
      </c>
      <c r="K4939" s="156">
        <v>0.0</v>
      </c>
    </row>
    <row r="4940">
      <c r="A4940" s="154" t="s">
        <v>10640</v>
      </c>
      <c r="B4940" s="155"/>
      <c r="C4940" s="154" t="s">
        <v>10641</v>
      </c>
      <c r="D4940" s="155"/>
      <c r="E4940" s="155"/>
      <c r="F4940" s="154" t="s">
        <v>10642</v>
      </c>
      <c r="G4940" s="156">
        <v>0.0</v>
      </c>
      <c r="H4940" s="154" t="s">
        <v>9806</v>
      </c>
      <c r="I4940" s="154" t="s">
        <v>10643</v>
      </c>
      <c r="J4940" s="154" t="s">
        <v>10644</v>
      </c>
      <c r="K4940" s="154" t="s">
        <v>846</v>
      </c>
    </row>
    <row r="4941">
      <c r="A4941" s="154" t="s">
        <v>10640</v>
      </c>
      <c r="B4941" s="154" t="s">
        <v>10641</v>
      </c>
      <c r="C4941" s="155"/>
      <c r="D4941" s="154">
        <v>2.0</v>
      </c>
      <c r="E4941" s="154" t="s">
        <v>1237</v>
      </c>
      <c r="F4941" s="154" t="s">
        <v>10642</v>
      </c>
      <c r="G4941" s="156">
        <v>0.0</v>
      </c>
      <c r="H4941" s="154" t="s">
        <v>9806</v>
      </c>
      <c r="I4941" s="154" t="s">
        <v>10643</v>
      </c>
      <c r="J4941" s="154" t="s">
        <v>10644</v>
      </c>
      <c r="K4941" s="154" t="s">
        <v>846</v>
      </c>
    </row>
    <row r="4942">
      <c r="A4942" s="154" t="s">
        <v>10645</v>
      </c>
      <c r="B4942" s="154" t="s">
        <v>10646</v>
      </c>
      <c r="C4942" s="155"/>
      <c r="D4942" s="154">
        <v>2.0</v>
      </c>
      <c r="E4942" s="154" t="s">
        <v>1237</v>
      </c>
      <c r="F4942" s="154" t="s">
        <v>10647</v>
      </c>
      <c r="G4942" s="154">
        <v>971.0</v>
      </c>
      <c r="H4942" s="154" t="s">
        <v>10648</v>
      </c>
      <c r="I4942" s="154" t="s">
        <v>10649</v>
      </c>
      <c r="J4942" s="154" t="s">
        <v>10650</v>
      </c>
      <c r="K4942" s="154" t="s">
        <v>197</v>
      </c>
    </row>
    <row r="4943">
      <c r="A4943" s="154" t="s">
        <v>10645</v>
      </c>
      <c r="B4943" s="155"/>
      <c r="C4943" s="154" t="s">
        <v>10646</v>
      </c>
      <c r="D4943" s="155"/>
      <c r="E4943" s="155"/>
      <c r="F4943" s="154" t="s">
        <v>10647</v>
      </c>
      <c r="G4943" s="154">
        <v>971.0</v>
      </c>
      <c r="H4943" s="154" t="s">
        <v>10648</v>
      </c>
      <c r="I4943" s="154" t="s">
        <v>10649</v>
      </c>
      <c r="J4943" s="154" t="s">
        <v>10650</v>
      </c>
      <c r="K4943" s="154" t="s">
        <v>197</v>
      </c>
    </row>
    <row r="4944">
      <c r="A4944" s="154" t="s">
        <v>10651</v>
      </c>
      <c r="B4944" s="154" t="s">
        <v>10652</v>
      </c>
      <c r="C4944" s="155"/>
      <c r="D4944" s="154">
        <v>2.0</v>
      </c>
      <c r="E4944" s="154" t="s">
        <v>1237</v>
      </c>
      <c r="F4944" s="154" t="s">
        <v>10653</v>
      </c>
      <c r="G4944" s="156">
        <v>0.0</v>
      </c>
      <c r="H4944" s="156">
        <v>0.0</v>
      </c>
      <c r="I4944" s="154" t="s">
        <v>10654</v>
      </c>
      <c r="J4944" s="154" t="s">
        <v>10655</v>
      </c>
      <c r="K4944" s="154" t="s">
        <v>361</v>
      </c>
    </row>
    <row r="4945">
      <c r="A4945" s="154" t="s">
        <v>10651</v>
      </c>
      <c r="B4945" s="155"/>
      <c r="C4945" s="154" t="s">
        <v>10652</v>
      </c>
      <c r="D4945" s="155"/>
      <c r="E4945" s="155"/>
      <c r="F4945" s="154" t="s">
        <v>10653</v>
      </c>
      <c r="G4945" s="156">
        <v>0.0</v>
      </c>
      <c r="H4945" s="156">
        <v>0.0</v>
      </c>
      <c r="I4945" s="154" t="s">
        <v>10654</v>
      </c>
      <c r="J4945" s="154" t="s">
        <v>10655</v>
      </c>
      <c r="K4945" s="154" t="s">
        <v>361</v>
      </c>
    </row>
    <row r="4946">
      <c r="A4946" s="154" t="s">
        <v>10656</v>
      </c>
      <c r="B4946" s="154" t="s">
        <v>10657</v>
      </c>
      <c r="C4946" s="155"/>
      <c r="D4946" s="154">
        <v>2.0</v>
      </c>
      <c r="E4946" s="154" t="s">
        <v>1237</v>
      </c>
      <c r="F4946" s="154" t="s">
        <v>10658</v>
      </c>
      <c r="G4946" s="156">
        <v>0.0</v>
      </c>
      <c r="H4946" s="156">
        <v>0.0</v>
      </c>
      <c r="I4946" s="154">
        <v>5.08189595E8</v>
      </c>
      <c r="J4946" s="156">
        <v>0.0</v>
      </c>
      <c r="K4946" s="154" t="s">
        <v>3551</v>
      </c>
    </row>
    <row r="4947">
      <c r="A4947" s="154" t="s">
        <v>10656</v>
      </c>
      <c r="B4947" s="155"/>
      <c r="C4947" s="154" t="s">
        <v>10657</v>
      </c>
      <c r="D4947" s="155"/>
      <c r="E4947" s="155"/>
      <c r="F4947" s="154" t="s">
        <v>10658</v>
      </c>
      <c r="G4947" s="156">
        <v>0.0</v>
      </c>
      <c r="H4947" s="156">
        <v>0.0</v>
      </c>
      <c r="I4947" s="154">
        <v>5.08189595E8</v>
      </c>
      <c r="J4947" s="156">
        <v>0.0</v>
      </c>
      <c r="K4947" s="154" t="s">
        <v>3551</v>
      </c>
    </row>
    <row r="4948">
      <c r="A4948" s="154" t="s">
        <v>10659</v>
      </c>
      <c r="B4948" s="154" t="s">
        <v>10660</v>
      </c>
      <c r="C4948" s="155"/>
      <c r="D4948" s="154">
        <v>2.0</v>
      </c>
      <c r="E4948" s="154" t="s">
        <v>1237</v>
      </c>
      <c r="F4948" s="154" t="s">
        <v>7479</v>
      </c>
      <c r="G4948" s="156">
        <v>0.0</v>
      </c>
      <c r="H4948" s="156">
        <v>0.0</v>
      </c>
      <c r="I4948" s="154" t="s">
        <v>7480</v>
      </c>
      <c r="J4948" s="156">
        <v>0.0</v>
      </c>
      <c r="K4948" s="154" t="s">
        <v>846</v>
      </c>
    </row>
    <row r="4949">
      <c r="A4949" s="154" t="s">
        <v>10659</v>
      </c>
      <c r="B4949" s="155"/>
      <c r="C4949" s="154" t="s">
        <v>10660</v>
      </c>
      <c r="D4949" s="155"/>
      <c r="E4949" s="155"/>
      <c r="F4949" s="154" t="s">
        <v>7479</v>
      </c>
      <c r="G4949" s="156">
        <v>0.0</v>
      </c>
      <c r="H4949" s="156">
        <v>0.0</v>
      </c>
      <c r="I4949" s="154" t="s">
        <v>7480</v>
      </c>
      <c r="J4949" s="156">
        <v>0.0</v>
      </c>
      <c r="K4949" s="154" t="s">
        <v>846</v>
      </c>
    </row>
    <row r="4950">
      <c r="A4950" s="154" t="s">
        <v>10661</v>
      </c>
      <c r="B4950" s="155"/>
      <c r="C4950" s="154" t="s">
        <v>10662</v>
      </c>
      <c r="D4950" s="155"/>
      <c r="E4950" s="155"/>
      <c r="F4950" s="154" t="s">
        <v>10663</v>
      </c>
      <c r="G4950" s="156">
        <v>0.0</v>
      </c>
      <c r="H4950" s="156">
        <v>0.0</v>
      </c>
      <c r="I4950" s="154" t="s">
        <v>10664</v>
      </c>
      <c r="J4950" s="154" t="s">
        <v>10665</v>
      </c>
      <c r="K4950" s="154" t="s">
        <v>760</v>
      </c>
    </row>
    <row r="4951">
      <c r="A4951" s="154" t="s">
        <v>10661</v>
      </c>
      <c r="B4951" s="154" t="s">
        <v>10662</v>
      </c>
      <c r="C4951" s="155"/>
      <c r="D4951" s="154">
        <v>2.0</v>
      </c>
      <c r="E4951" s="154" t="s">
        <v>1237</v>
      </c>
      <c r="F4951" s="154" t="s">
        <v>10663</v>
      </c>
      <c r="G4951" s="156">
        <v>0.0</v>
      </c>
      <c r="H4951" s="156">
        <v>0.0</v>
      </c>
      <c r="I4951" s="154" t="s">
        <v>10664</v>
      </c>
      <c r="J4951" s="154" t="s">
        <v>10665</v>
      </c>
      <c r="K4951" s="154" t="s">
        <v>760</v>
      </c>
    </row>
    <row r="4952">
      <c r="A4952" s="154" t="s">
        <v>10666</v>
      </c>
      <c r="B4952" s="155"/>
      <c r="C4952" s="154" t="s">
        <v>10667</v>
      </c>
      <c r="D4952" s="155"/>
      <c r="E4952" s="155"/>
      <c r="F4952" s="154" t="s">
        <v>9850</v>
      </c>
      <c r="G4952" s="156">
        <v>0.0</v>
      </c>
      <c r="H4952" s="156">
        <v>0.0</v>
      </c>
      <c r="I4952" s="154" t="s">
        <v>9851</v>
      </c>
      <c r="J4952" s="154" t="s">
        <v>9852</v>
      </c>
      <c r="K4952" s="154" t="s">
        <v>760</v>
      </c>
    </row>
    <row r="4953">
      <c r="A4953" s="154" t="s">
        <v>10666</v>
      </c>
      <c r="B4953" s="154" t="s">
        <v>10667</v>
      </c>
      <c r="C4953" s="155"/>
      <c r="D4953" s="154">
        <v>2.0</v>
      </c>
      <c r="E4953" s="154" t="s">
        <v>1237</v>
      </c>
      <c r="F4953" s="154" t="s">
        <v>9850</v>
      </c>
      <c r="G4953" s="156">
        <v>0.0</v>
      </c>
      <c r="H4953" s="156">
        <v>0.0</v>
      </c>
      <c r="I4953" s="154" t="s">
        <v>9851</v>
      </c>
      <c r="J4953" s="154" t="s">
        <v>9852</v>
      </c>
      <c r="K4953" s="154" t="s">
        <v>760</v>
      </c>
    </row>
    <row r="4954">
      <c r="A4954" s="154" t="s">
        <v>10668</v>
      </c>
      <c r="B4954" s="155"/>
      <c r="C4954" s="154" t="s">
        <v>10669</v>
      </c>
      <c r="D4954" s="155"/>
      <c r="E4954" s="155"/>
      <c r="F4954" s="154" t="s">
        <v>994</v>
      </c>
      <c r="G4954" s="154">
        <v>5.0979726E8</v>
      </c>
      <c r="H4954" s="154" t="s">
        <v>995</v>
      </c>
      <c r="I4954" s="156">
        <v>0.0</v>
      </c>
      <c r="J4954" s="156">
        <v>0.0</v>
      </c>
      <c r="K4954" s="156">
        <v>0.0</v>
      </c>
    </row>
    <row r="4955">
      <c r="A4955" s="154" t="s">
        <v>10668</v>
      </c>
      <c r="B4955" s="154" t="s">
        <v>10669</v>
      </c>
      <c r="C4955" s="155"/>
      <c r="D4955" s="154">
        <v>2.0</v>
      </c>
      <c r="E4955" s="154" t="s">
        <v>1237</v>
      </c>
      <c r="F4955" s="154" t="s">
        <v>10670</v>
      </c>
      <c r="G4955" s="154">
        <v>5.02511318E8</v>
      </c>
      <c r="H4955" s="156">
        <v>0.0</v>
      </c>
      <c r="I4955" s="156">
        <v>0.0</v>
      </c>
      <c r="J4955" s="156">
        <v>0.0</v>
      </c>
      <c r="K4955" s="154" t="s">
        <v>1731</v>
      </c>
    </row>
    <row r="4956">
      <c r="A4956" s="154" t="s">
        <v>10671</v>
      </c>
      <c r="B4956" s="154" t="s">
        <v>10672</v>
      </c>
      <c r="C4956" s="155"/>
      <c r="D4956" s="154">
        <v>2.0</v>
      </c>
      <c r="E4956" s="154" t="s">
        <v>1237</v>
      </c>
      <c r="F4956" s="154" t="s">
        <v>10673</v>
      </c>
      <c r="G4956" s="154">
        <v>0.0</v>
      </c>
      <c r="H4956" s="156">
        <v>0.0</v>
      </c>
      <c r="I4956" s="154">
        <v>9.71502511318E11</v>
      </c>
      <c r="J4956" s="156">
        <v>0.0</v>
      </c>
      <c r="K4956" s="154" t="s">
        <v>1731</v>
      </c>
    </row>
    <row r="4957">
      <c r="A4957" s="154" t="s">
        <v>10671</v>
      </c>
      <c r="B4957" s="155"/>
      <c r="C4957" s="154" t="s">
        <v>10672</v>
      </c>
      <c r="D4957" s="155"/>
      <c r="E4957" s="155"/>
      <c r="F4957" s="154" t="s">
        <v>10673</v>
      </c>
      <c r="G4957" s="154">
        <v>0.0</v>
      </c>
      <c r="H4957" s="156">
        <v>0.0</v>
      </c>
      <c r="I4957" s="154">
        <v>9.71502511318E11</v>
      </c>
      <c r="J4957" s="156">
        <v>0.0</v>
      </c>
      <c r="K4957" s="154" t="s">
        <v>1731</v>
      </c>
    </row>
    <row r="4958">
      <c r="A4958" s="154" t="s">
        <v>10674</v>
      </c>
      <c r="B4958" s="155"/>
      <c r="C4958" s="154" t="s">
        <v>10675</v>
      </c>
      <c r="D4958" s="155"/>
      <c r="E4958" s="155"/>
      <c r="F4958" s="154" t="s">
        <v>1619</v>
      </c>
      <c r="G4958" s="154">
        <v>4.3903333E7</v>
      </c>
      <c r="H4958" s="154" t="s">
        <v>1620</v>
      </c>
      <c r="I4958" s="156">
        <v>0.0</v>
      </c>
      <c r="J4958" s="156">
        <v>0.0</v>
      </c>
      <c r="K4958" s="156">
        <v>0.0</v>
      </c>
    </row>
    <row r="4959">
      <c r="A4959" s="154" t="s">
        <v>10674</v>
      </c>
      <c r="B4959" s="154" t="s">
        <v>10675</v>
      </c>
      <c r="C4959" s="155"/>
      <c r="D4959" s="154">
        <v>2.0</v>
      </c>
      <c r="E4959" s="154" t="s">
        <v>1237</v>
      </c>
      <c r="F4959" s="154" t="s">
        <v>1619</v>
      </c>
      <c r="G4959" s="154">
        <v>4.3903333E7</v>
      </c>
      <c r="H4959" s="154" t="s">
        <v>1620</v>
      </c>
      <c r="I4959" s="156">
        <v>0.0</v>
      </c>
      <c r="J4959" s="156">
        <v>0.0</v>
      </c>
      <c r="K4959" s="156">
        <v>0.0</v>
      </c>
    </row>
    <row r="4960">
      <c r="A4960" s="154" t="s">
        <v>10676</v>
      </c>
      <c r="B4960" s="155"/>
      <c r="C4960" s="154" t="s">
        <v>10677</v>
      </c>
      <c r="D4960" s="155"/>
      <c r="E4960" s="155"/>
      <c r="F4960" s="154" t="s">
        <v>10678</v>
      </c>
      <c r="G4960" s="154">
        <v>4.2880186E7</v>
      </c>
      <c r="H4960" s="154" t="s">
        <v>10679</v>
      </c>
      <c r="I4960" s="154">
        <v>5.03536798E8</v>
      </c>
      <c r="J4960" s="156">
        <v>0.0</v>
      </c>
      <c r="K4960" s="154" t="s">
        <v>760</v>
      </c>
    </row>
    <row r="4961">
      <c r="A4961" s="154" t="s">
        <v>10676</v>
      </c>
      <c r="B4961" s="154" t="s">
        <v>10677</v>
      </c>
      <c r="C4961" s="155"/>
      <c r="D4961" s="154">
        <v>2.0</v>
      </c>
      <c r="E4961" s="154" t="s">
        <v>1237</v>
      </c>
      <c r="F4961" s="154" t="s">
        <v>10678</v>
      </c>
      <c r="G4961" s="154">
        <v>4.2880186E7</v>
      </c>
      <c r="H4961" s="154" t="s">
        <v>10679</v>
      </c>
      <c r="I4961" s="154">
        <v>5.03536798E8</v>
      </c>
      <c r="J4961" s="156">
        <v>0.0</v>
      </c>
      <c r="K4961" s="154" t="s">
        <v>760</v>
      </c>
    </row>
    <row r="4962">
      <c r="A4962" s="154" t="s">
        <v>10680</v>
      </c>
      <c r="B4962" s="154" t="s">
        <v>10681</v>
      </c>
      <c r="C4962" s="155"/>
      <c r="D4962" s="154">
        <v>2.0</v>
      </c>
      <c r="E4962" s="154" t="s">
        <v>1237</v>
      </c>
      <c r="F4962" s="154" t="s">
        <v>10682</v>
      </c>
      <c r="G4962" s="156">
        <v>0.0</v>
      </c>
      <c r="H4962" s="156">
        <v>0.0</v>
      </c>
      <c r="I4962" s="154" t="s">
        <v>853</v>
      </c>
      <c r="J4962" s="156">
        <v>0.0</v>
      </c>
      <c r="K4962" s="154" t="s">
        <v>914</v>
      </c>
    </row>
    <row r="4963">
      <c r="A4963" s="154" t="s">
        <v>10680</v>
      </c>
      <c r="B4963" s="155"/>
      <c r="C4963" s="154" t="s">
        <v>10681</v>
      </c>
      <c r="D4963" s="155"/>
      <c r="E4963" s="155"/>
      <c r="F4963" s="154" t="s">
        <v>10682</v>
      </c>
      <c r="G4963" s="156">
        <v>0.0</v>
      </c>
      <c r="H4963" s="156">
        <v>0.0</v>
      </c>
      <c r="I4963" s="154" t="s">
        <v>853</v>
      </c>
      <c r="J4963" s="156">
        <v>0.0</v>
      </c>
      <c r="K4963" s="154" t="s">
        <v>914</v>
      </c>
    </row>
    <row r="4964">
      <c r="A4964" s="154" t="s">
        <v>10683</v>
      </c>
      <c r="B4964" s="155"/>
      <c r="C4964" s="154" t="s">
        <v>10684</v>
      </c>
      <c r="D4964" s="155"/>
      <c r="E4964" s="155"/>
      <c r="F4964" s="154" t="s">
        <v>10685</v>
      </c>
      <c r="G4964" s="156">
        <v>0.0</v>
      </c>
      <c r="H4964" s="156">
        <v>0.0</v>
      </c>
      <c r="I4964" s="154" t="s">
        <v>10686</v>
      </c>
      <c r="J4964" s="154" t="s">
        <v>10687</v>
      </c>
      <c r="K4964" s="154" t="s">
        <v>760</v>
      </c>
    </row>
    <row r="4965">
      <c r="A4965" s="154" t="s">
        <v>10683</v>
      </c>
      <c r="B4965" s="154" t="s">
        <v>10684</v>
      </c>
      <c r="C4965" s="155"/>
      <c r="D4965" s="154">
        <v>2.0</v>
      </c>
      <c r="E4965" s="154" t="s">
        <v>1237</v>
      </c>
      <c r="F4965" s="154" t="s">
        <v>10685</v>
      </c>
      <c r="G4965" s="156">
        <v>0.0</v>
      </c>
      <c r="H4965" s="156">
        <v>0.0</v>
      </c>
      <c r="I4965" s="154" t="s">
        <v>10686</v>
      </c>
      <c r="J4965" s="154" t="s">
        <v>10687</v>
      </c>
      <c r="K4965" s="154" t="s">
        <v>760</v>
      </c>
    </row>
    <row r="4966">
      <c r="A4966" s="154" t="s">
        <v>10688</v>
      </c>
      <c r="B4966" s="154" t="s">
        <v>10689</v>
      </c>
      <c r="C4966" s="155"/>
      <c r="D4966" s="154">
        <v>2.0</v>
      </c>
      <c r="E4966" s="154" t="s">
        <v>1237</v>
      </c>
      <c r="F4966" s="154" t="s">
        <v>1619</v>
      </c>
      <c r="G4966" s="154">
        <v>4.3903333E7</v>
      </c>
      <c r="H4966" s="154" t="s">
        <v>1620</v>
      </c>
      <c r="I4966" s="156">
        <v>0.0</v>
      </c>
      <c r="J4966" s="156">
        <v>0.0</v>
      </c>
      <c r="K4966" s="156">
        <v>0.0</v>
      </c>
    </row>
    <row r="4967">
      <c r="A4967" s="154" t="s">
        <v>10688</v>
      </c>
      <c r="B4967" s="155"/>
      <c r="C4967" s="154" t="s">
        <v>10689</v>
      </c>
      <c r="D4967" s="155"/>
      <c r="E4967" s="155"/>
      <c r="F4967" s="154" t="s">
        <v>1619</v>
      </c>
      <c r="G4967" s="154">
        <v>4.3903333E7</v>
      </c>
      <c r="H4967" s="154" t="s">
        <v>1620</v>
      </c>
      <c r="I4967" s="156">
        <v>0.0</v>
      </c>
      <c r="J4967" s="156">
        <v>0.0</v>
      </c>
      <c r="K4967" s="156">
        <v>0.0</v>
      </c>
    </row>
    <row r="4968">
      <c r="A4968" s="154" t="s">
        <v>10690</v>
      </c>
      <c r="B4968" s="154" t="s">
        <v>10691</v>
      </c>
      <c r="C4968" s="155"/>
      <c r="D4968" s="154">
        <v>2.0</v>
      </c>
      <c r="E4968" s="154" t="s">
        <v>1237</v>
      </c>
      <c r="F4968" s="154" t="s">
        <v>10692</v>
      </c>
      <c r="G4968" s="154">
        <v>4.5572115E7</v>
      </c>
      <c r="H4968" s="156">
        <v>0.0</v>
      </c>
      <c r="I4968" s="156">
        <v>0.0</v>
      </c>
      <c r="J4968" s="156">
        <v>0.0</v>
      </c>
      <c r="K4968" s="156">
        <v>0.0</v>
      </c>
    </row>
    <row r="4969">
      <c r="A4969" s="154" t="s">
        <v>10690</v>
      </c>
      <c r="B4969" s="155"/>
      <c r="C4969" s="154" t="s">
        <v>10691</v>
      </c>
      <c r="D4969" s="155"/>
      <c r="E4969" s="155"/>
      <c r="F4969" s="154" t="s">
        <v>10692</v>
      </c>
      <c r="G4969" s="154">
        <v>4.5572115E7</v>
      </c>
      <c r="H4969" s="156">
        <v>0.0</v>
      </c>
      <c r="I4969" s="156">
        <v>0.0</v>
      </c>
      <c r="J4969" s="156">
        <v>0.0</v>
      </c>
      <c r="K4969" s="156">
        <v>0.0</v>
      </c>
    </row>
    <row r="4970">
      <c r="A4970" s="154" t="s">
        <v>10693</v>
      </c>
      <c r="B4970" s="154" t="s">
        <v>10694</v>
      </c>
      <c r="C4970" s="155"/>
      <c r="D4970" s="154">
        <v>2.0</v>
      </c>
      <c r="E4970" s="154" t="s">
        <v>1237</v>
      </c>
      <c r="F4970" s="154" t="s">
        <v>10695</v>
      </c>
      <c r="G4970" s="156">
        <v>0.0</v>
      </c>
      <c r="H4970" s="156">
        <v>0.0</v>
      </c>
      <c r="I4970" s="154">
        <v>5.51855593E8</v>
      </c>
      <c r="J4970" s="156">
        <v>0.0</v>
      </c>
      <c r="K4970" s="154" t="s">
        <v>197</v>
      </c>
    </row>
    <row r="4971">
      <c r="A4971" s="154" t="s">
        <v>10693</v>
      </c>
      <c r="B4971" s="155"/>
      <c r="C4971" s="154" t="s">
        <v>10694</v>
      </c>
      <c r="D4971" s="155"/>
      <c r="E4971" s="155"/>
      <c r="F4971" s="154" t="s">
        <v>10695</v>
      </c>
      <c r="G4971" s="156">
        <v>0.0</v>
      </c>
      <c r="H4971" s="156">
        <v>0.0</v>
      </c>
      <c r="I4971" s="154">
        <v>5.51855593E8</v>
      </c>
      <c r="J4971" s="156">
        <v>0.0</v>
      </c>
      <c r="K4971" s="154" t="s">
        <v>197</v>
      </c>
    </row>
    <row r="4972">
      <c r="A4972" s="154" t="s">
        <v>10696</v>
      </c>
      <c r="B4972" s="154" t="s">
        <v>10697</v>
      </c>
      <c r="D4972" s="154">
        <v>2.0</v>
      </c>
      <c r="E4972" s="154" t="s">
        <v>897</v>
      </c>
      <c r="F4972" s="154" t="s">
        <v>10698</v>
      </c>
      <c r="G4972" s="156">
        <v>0.0</v>
      </c>
      <c r="H4972" s="154" t="s">
        <v>10699</v>
      </c>
      <c r="I4972" s="154" t="s">
        <v>10700</v>
      </c>
      <c r="J4972" s="156">
        <v>0.0</v>
      </c>
      <c r="K4972" s="154" t="s">
        <v>207</v>
      </c>
    </row>
    <row r="4973">
      <c r="A4973" s="154" t="s">
        <v>10696</v>
      </c>
      <c r="B4973" s="155"/>
      <c r="C4973" s="154" t="s">
        <v>10701</v>
      </c>
      <c r="D4973" s="155"/>
      <c r="E4973" s="155"/>
      <c r="F4973" s="154" t="s">
        <v>10702</v>
      </c>
      <c r="G4973" s="156">
        <v>0.0</v>
      </c>
      <c r="H4973" s="154" t="s">
        <v>10703</v>
      </c>
      <c r="I4973" s="154" t="s">
        <v>10700</v>
      </c>
      <c r="J4973" s="156">
        <v>0.0</v>
      </c>
      <c r="K4973" s="154" t="s">
        <v>10704</v>
      </c>
    </row>
    <row r="4974">
      <c r="A4974" s="154" t="s">
        <v>10705</v>
      </c>
      <c r="B4974" s="155"/>
      <c r="C4974" s="154" t="s">
        <v>10706</v>
      </c>
      <c r="D4974" s="155"/>
      <c r="E4974" s="155"/>
      <c r="F4974" s="154" t="s">
        <v>7543</v>
      </c>
      <c r="G4974" s="154" t="s">
        <v>7544</v>
      </c>
      <c r="H4974" s="154">
        <v>1.0</v>
      </c>
      <c r="I4974" s="154">
        <v>9.71506451887E11</v>
      </c>
      <c r="J4974" s="156">
        <v>0.0</v>
      </c>
      <c r="K4974" s="154" t="s">
        <v>207</v>
      </c>
    </row>
    <row r="4975">
      <c r="A4975" s="154" t="s">
        <v>10705</v>
      </c>
      <c r="B4975" s="154" t="s">
        <v>10707</v>
      </c>
      <c r="D4975" s="154">
        <v>2.0</v>
      </c>
      <c r="E4975" s="154" t="s">
        <v>897</v>
      </c>
      <c r="F4975" s="154" t="s">
        <v>7543</v>
      </c>
      <c r="G4975" s="154" t="s">
        <v>7544</v>
      </c>
      <c r="H4975" s="154">
        <v>1.0</v>
      </c>
      <c r="I4975" s="154">
        <v>9.71506451887E11</v>
      </c>
      <c r="J4975" s="156">
        <v>0.0</v>
      </c>
      <c r="K4975" s="154" t="s">
        <v>207</v>
      </c>
    </row>
    <row r="4976">
      <c r="A4976" s="154" t="s">
        <v>10708</v>
      </c>
      <c r="B4976" s="154" t="s">
        <v>10709</v>
      </c>
      <c r="D4976" s="154">
        <v>2.0</v>
      </c>
      <c r="E4976" s="154" t="s">
        <v>897</v>
      </c>
      <c r="F4976" s="154" t="s">
        <v>10710</v>
      </c>
      <c r="G4976" s="156">
        <v>0.0</v>
      </c>
      <c r="H4976" s="154" t="s">
        <v>10711</v>
      </c>
      <c r="I4976" s="154" t="s">
        <v>10712</v>
      </c>
      <c r="J4976" s="154" t="s">
        <v>10713</v>
      </c>
      <c r="K4976" s="154" t="s">
        <v>939</v>
      </c>
    </row>
    <row r="4977">
      <c r="A4977" s="154" t="s">
        <v>10708</v>
      </c>
      <c r="B4977" s="155"/>
      <c r="C4977" s="154" t="s">
        <v>10714</v>
      </c>
      <c r="D4977" s="155"/>
      <c r="E4977" s="155"/>
      <c r="F4977" s="154" t="s">
        <v>10710</v>
      </c>
      <c r="G4977" s="156">
        <v>0.0</v>
      </c>
      <c r="H4977" s="154" t="s">
        <v>10711</v>
      </c>
      <c r="I4977" s="154" t="s">
        <v>10712</v>
      </c>
      <c r="J4977" s="154" t="s">
        <v>10713</v>
      </c>
      <c r="K4977" s="154" t="s">
        <v>939</v>
      </c>
    </row>
    <row r="4978">
      <c r="A4978" s="154" t="s">
        <v>10715</v>
      </c>
      <c r="B4978" s="155"/>
      <c r="C4978" s="154" t="s">
        <v>10716</v>
      </c>
      <c r="D4978" s="155"/>
      <c r="E4978" s="155"/>
      <c r="F4978" s="154" t="s">
        <v>1619</v>
      </c>
      <c r="G4978" s="154">
        <v>4.3903333E7</v>
      </c>
      <c r="H4978" s="154" t="s">
        <v>1620</v>
      </c>
      <c r="I4978" s="156">
        <v>0.0</v>
      </c>
      <c r="J4978" s="156">
        <v>0.0</v>
      </c>
      <c r="K4978" s="156">
        <v>0.0</v>
      </c>
    </row>
    <row r="4979">
      <c r="A4979" s="154" t="s">
        <v>10715</v>
      </c>
      <c r="B4979" s="154" t="s">
        <v>10717</v>
      </c>
      <c r="D4979" s="154">
        <v>2.0</v>
      </c>
      <c r="E4979" s="154" t="s">
        <v>897</v>
      </c>
      <c r="F4979" s="154" t="s">
        <v>10718</v>
      </c>
      <c r="G4979" s="156">
        <v>0.0</v>
      </c>
      <c r="H4979" s="156">
        <v>0.0</v>
      </c>
      <c r="I4979" s="154" t="s">
        <v>10719</v>
      </c>
      <c r="J4979" s="154" t="s">
        <v>10720</v>
      </c>
      <c r="K4979" s="154" t="s">
        <v>259</v>
      </c>
    </row>
    <row r="4980">
      <c r="A4980" s="154" t="s">
        <v>10721</v>
      </c>
      <c r="B4980" s="155"/>
      <c r="C4980" s="154" t="s">
        <v>10722</v>
      </c>
      <c r="D4980" s="155"/>
      <c r="E4980" s="155"/>
      <c r="F4980" s="154" t="s">
        <v>7576</v>
      </c>
      <c r="G4980" s="154" t="s">
        <v>7577</v>
      </c>
      <c r="H4980" s="156">
        <v>0.0</v>
      </c>
      <c r="I4980" s="154" t="s">
        <v>7578</v>
      </c>
      <c r="J4980" s="154" t="s">
        <v>7577</v>
      </c>
      <c r="K4980" s="154" t="s">
        <v>361</v>
      </c>
    </row>
    <row r="4981">
      <c r="A4981" s="154" t="s">
        <v>10721</v>
      </c>
      <c r="B4981" s="154" t="s">
        <v>10723</v>
      </c>
      <c r="D4981" s="154">
        <v>2.0</v>
      </c>
      <c r="E4981" s="154" t="s">
        <v>897</v>
      </c>
      <c r="F4981" s="154" t="s">
        <v>7576</v>
      </c>
      <c r="G4981" s="154" t="s">
        <v>7577</v>
      </c>
      <c r="H4981" s="156">
        <v>0.0</v>
      </c>
      <c r="I4981" s="154" t="s">
        <v>7578</v>
      </c>
      <c r="J4981" s="154" t="s">
        <v>7577</v>
      </c>
      <c r="K4981" s="154" t="s">
        <v>361</v>
      </c>
    </row>
    <row r="4982">
      <c r="A4982" s="154" t="s">
        <v>10724</v>
      </c>
      <c r="B4982" s="154" t="s">
        <v>10725</v>
      </c>
      <c r="D4982" s="154">
        <v>2.0</v>
      </c>
      <c r="E4982" s="154" t="s">
        <v>897</v>
      </c>
      <c r="F4982" s="154" t="s">
        <v>3015</v>
      </c>
      <c r="G4982" s="154" t="s">
        <v>3016</v>
      </c>
      <c r="H4982" s="154" t="s">
        <v>3017</v>
      </c>
      <c r="I4982" s="154" t="s">
        <v>3018</v>
      </c>
      <c r="J4982" s="154" t="s">
        <v>3016</v>
      </c>
      <c r="K4982" s="154" t="s">
        <v>3019</v>
      </c>
    </row>
    <row r="4983">
      <c r="A4983" s="154" t="s">
        <v>10724</v>
      </c>
      <c r="B4983" s="155"/>
      <c r="C4983" s="154" t="s">
        <v>10726</v>
      </c>
      <c r="D4983" s="155"/>
      <c r="E4983" s="155"/>
      <c r="F4983" s="154" t="s">
        <v>3015</v>
      </c>
      <c r="G4983" s="154" t="s">
        <v>3016</v>
      </c>
      <c r="H4983" s="154" t="s">
        <v>3017</v>
      </c>
      <c r="I4983" s="154" t="s">
        <v>3018</v>
      </c>
      <c r="J4983" s="154" t="s">
        <v>3016</v>
      </c>
      <c r="K4983" s="154" t="s">
        <v>3019</v>
      </c>
    </row>
    <row r="4984">
      <c r="A4984" s="154" t="s">
        <v>10727</v>
      </c>
      <c r="B4984" s="155"/>
      <c r="C4984" s="154" t="s">
        <v>10728</v>
      </c>
      <c r="D4984" s="155"/>
      <c r="E4984" s="155"/>
      <c r="F4984" s="154" t="s">
        <v>3015</v>
      </c>
      <c r="G4984" s="154" t="s">
        <v>3016</v>
      </c>
      <c r="H4984" s="154" t="s">
        <v>3017</v>
      </c>
      <c r="I4984" s="154" t="s">
        <v>3018</v>
      </c>
      <c r="J4984" s="154" t="s">
        <v>3016</v>
      </c>
      <c r="K4984" s="154" t="s">
        <v>3019</v>
      </c>
    </row>
    <row r="4985">
      <c r="A4985" s="154" t="s">
        <v>10727</v>
      </c>
      <c r="B4985" s="154" t="s">
        <v>10729</v>
      </c>
      <c r="D4985" s="154">
        <v>2.0</v>
      </c>
      <c r="E4985" s="154" t="s">
        <v>897</v>
      </c>
      <c r="F4985" s="154" t="s">
        <v>3015</v>
      </c>
      <c r="G4985" s="154" t="s">
        <v>3016</v>
      </c>
      <c r="H4985" s="154" t="s">
        <v>3017</v>
      </c>
      <c r="I4985" s="154" t="s">
        <v>3018</v>
      </c>
      <c r="J4985" s="154" t="s">
        <v>3016</v>
      </c>
      <c r="K4985" s="154" t="s">
        <v>3019</v>
      </c>
    </row>
    <row r="4986">
      <c r="A4986" s="154" t="s">
        <v>10730</v>
      </c>
      <c r="B4986" s="154" t="s">
        <v>10731</v>
      </c>
      <c r="D4986" s="154">
        <v>2.0</v>
      </c>
      <c r="E4986" s="154" t="s">
        <v>897</v>
      </c>
      <c r="F4986" s="154" t="s">
        <v>3015</v>
      </c>
      <c r="G4986" s="154" t="s">
        <v>3016</v>
      </c>
      <c r="H4986" s="154" t="s">
        <v>3017</v>
      </c>
      <c r="I4986" s="154" t="s">
        <v>3018</v>
      </c>
      <c r="J4986" s="154" t="s">
        <v>3016</v>
      </c>
      <c r="K4986" s="154" t="s">
        <v>3019</v>
      </c>
    </row>
    <row r="4987">
      <c r="A4987" s="154" t="s">
        <v>10730</v>
      </c>
      <c r="B4987" s="155"/>
      <c r="C4987" s="154" t="s">
        <v>10732</v>
      </c>
      <c r="D4987" s="155"/>
      <c r="E4987" s="155"/>
      <c r="F4987" s="154" t="s">
        <v>3015</v>
      </c>
      <c r="G4987" s="154" t="s">
        <v>3016</v>
      </c>
      <c r="H4987" s="154" t="s">
        <v>3017</v>
      </c>
      <c r="I4987" s="154" t="s">
        <v>3018</v>
      </c>
      <c r="J4987" s="154" t="s">
        <v>3016</v>
      </c>
      <c r="K4987" s="154" t="s">
        <v>3019</v>
      </c>
    </row>
    <row r="4988">
      <c r="A4988" s="154" t="s">
        <v>10733</v>
      </c>
      <c r="B4988" s="154" t="s">
        <v>10734</v>
      </c>
      <c r="D4988" s="154">
        <v>2.0</v>
      </c>
      <c r="E4988" s="154" t="s">
        <v>897</v>
      </c>
      <c r="F4988" s="154" t="s">
        <v>3015</v>
      </c>
      <c r="G4988" s="154" t="s">
        <v>3016</v>
      </c>
      <c r="H4988" s="154" t="s">
        <v>3017</v>
      </c>
      <c r="I4988" s="154" t="s">
        <v>3018</v>
      </c>
      <c r="J4988" s="154" t="s">
        <v>3016</v>
      </c>
      <c r="K4988" s="154" t="s">
        <v>3019</v>
      </c>
    </row>
    <row r="4989">
      <c r="A4989" s="154" t="s">
        <v>10733</v>
      </c>
      <c r="B4989" s="155"/>
      <c r="C4989" s="154" t="s">
        <v>10735</v>
      </c>
      <c r="D4989" s="155"/>
      <c r="E4989" s="155"/>
      <c r="F4989" s="154" t="s">
        <v>3015</v>
      </c>
      <c r="G4989" s="154" t="s">
        <v>3016</v>
      </c>
      <c r="H4989" s="154" t="s">
        <v>3017</v>
      </c>
      <c r="I4989" s="154" t="s">
        <v>3018</v>
      </c>
      <c r="J4989" s="154" t="s">
        <v>3016</v>
      </c>
      <c r="K4989" s="154" t="s">
        <v>3019</v>
      </c>
    </row>
    <row r="4990">
      <c r="A4990" s="154" t="s">
        <v>10736</v>
      </c>
      <c r="B4990" s="154" t="s">
        <v>10737</v>
      </c>
      <c r="D4990" s="154">
        <v>2.0</v>
      </c>
      <c r="E4990" s="154" t="s">
        <v>897</v>
      </c>
      <c r="F4990" s="154" t="s">
        <v>10738</v>
      </c>
      <c r="G4990" s="156">
        <v>0.0</v>
      </c>
      <c r="H4990" s="156">
        <v>0.0</v>
      </c>
      <c r="I4990" s="154" t="s">
        <v>10739</v>
      </c>
      <c r="J4990" s="156">
        <v>0.0</v>
      </c>
      <c r="K4990" s="154" t="s">
        <v>301</v>
      </c>
    </row>
    <row r="4991">
      <c r="A4991" s="154" t="s">
        <v>10736</v>
      </c>
      <c r="B4991" s="155"/>
      <c r="C4991" s="154" t="s">
        <v>10740</v>
      </c>
      <c r="D4991" s="155"/>
      <c r="E4991" s="155"/>
      <c r="F4991" s="154" t="s">
        <v>10741</v>
      </c>
      <c r="G4991" s="154" t="s">
        <v>10742</v>
      </c>
      <c r="H4991" s="154" t="s">
        <v>10743</v>
      </c>
      <c r="I4991" s="154" t="s">
        <v>10744</v>
      </c>
      <c r="J4991" s="154" t="s">
        <v>10745</v>
      </c>
      <c r="K4991" s="154" t="s">
        <v>2581</v>
      </c>
    </row>
    <row r="4992">
      <c r="A4992" s="154" t="s">
        <v>10746</v>
      </c>
      <c r="B4992" s="154" t="s">
        <v>10747</v>
      </c>
      <c r="D4992" s="154">
        <v>2.0</v>
      </c>
      <c r="E4992" s="154" t="s">
        <v>897</v>
      </c>
      <c r="F4992" s="154" t="s">
        <v>1619</v>
      </c>
      <c r="G4992" s="154">
        <v>4.3903333E7</v>
      </c>
      <c r="H4992" s="154" t="s">
        <v>1620</v>
      </c>
      <c r="I4992" s="156">
        <v>0.0</v>
      </c>
      <c r="J4992" s="156">
        <v>0.0</v>
      </c>
      <c r="K4992" s="156">
        <v>0.0</v>
      </c>
    </row>
    <row r="4993">
      <c r="A4993" s="154" t="s">
        <v>10746</v>
      </c>
      <c r="B4993" s="155"/>
      <c r="C4993" s="154" t="s">
        <v>10748</v>
      </c>
      <c r="D4993" s="155"/>
      <c r="E4993" s="155"/>
      <c r="F4993" s="154" t="s">
        <v>10749</v>
      </c>
      <c r="G4993" s="156">
        <v>0.0</v>
      </c>
      <c r="H4993" s="156">
        <v>0.0</v>
      </c>
      <c r="I4993" s="154">
        <v>0.0</v>
      </c>
      <c r="J4993" s="156">
        <v>0.0</v>
      </c>
      <c r="K4993" s="154" t="s">
        <v>760</v>
      </c>
    </row>
    <row r="4994">
      <c r="A4994" s="154" t="s">
        <v>10750</v>
      </c>
      <c r="B4994" s="154" t="s">
        <v>10751</v>
      </c>
      <c r="D4994" s="154">
        <v>2.0</v>
      </c>
      <c r="E4994" s="154" t="s">
        <v>897</v>
      </c>
      <c r="F4994" s="154" t="s">
        <v>3015</v>
      </c>
      <c r="G4994" s="154" t="s">
        <v>3016</v>
      </c>
      <c r="H4994" s="154" t="s">
        <v>3017</v>
      </c>
      <c r="I4994" s="154" t="s">
        <v>3018</v>
      </c>
      <c r="J4994" s="154" t="s">
        <v>3016</v>
      </c>
      <c r="K4994" s="154" t="s">
        <v>3019</v>
      </c>
    </row>
    <row r="4995">
      <c r="A4995" s="154" t="s">
        <v>10750</v>
      </c>
      <c r="B4995" s="155"/>
      <c r="C4995" s="154" t="s">
        <v>10752</v>
      </c>
      <c r="D4995" s="155"/>
      <c r="E4995" s="155"/>
      <c r="F4995" s="154" t="s">
        <v>3015</v>
      </c>
      <c r="G4995" s="154" t="s">
        <v>3016</v>
      </c>
      <c r="H4995" s="154" t="s">
        <v>3017</v>
      </c>
      <c r="I4995" s="154" t="s">
        <v>3018</v>
      </c>
      <c r="J4995" s="154" t="s">
        <v>3016</v>
      </c>
      <c r="K4995" s="154" t="s">
        <v>3019</v>
      </c>
    </row>
    <row r="4996">
      <c r="A4996" s="154" t="s">
        <v>10753</v>
      </c>
      <c r="B4996" s="155"/>
      <c r="C4996" s="154" t="s">
        <v>10754</v>
      </c>
      <c r="D4996" s="155"/>
      <c r="E4996" s="155"/>
      <c r="F4996" s="154" t="s">
        <v>3015</v>
      </c>
      <c r="G4996" s="154" t="s">
        <v>3016</v>
      </c>
      <c r="H4996" s="154" t="s">
        <v>3017</v>
      </c>
      <c r="I4996" s="154" t="s">
        <v>3018</v>
      </c>
      <c r="J4996" s="154" t="s">
        <v>3016</v>
      </c>
      <c r="K4996" s="154" t="s">
        <v>3019</v>
      </c>
    </row>
    <row r="4997">
      <c r="A4997" s="154" t="s">
        <v>10753</v>
      </c>
      <c r="B4997" s="154" t="s">
        <v>10755</v>
      </c>
      <c r="D4997" s="154">
        <v>2.0</v>
      </c>
      <c r="E4997" s="154" t="s">
        <v>897</v>
      </c>
      <c r="F4997" s="154" t="s">
        <v>3015</v>
      </c>
      <c r="G4997" s="154" t="s">
        <v>3016</v>
      </c>
      <c r="H4997" s="154" t="s">
        <v>3017</v>
      </c>
      <c r="I4997" s="154" t="s">
        <v>3018</v>
      </c>
      <c r="J4997" s="154" t="s">
        <v>3016</v>
      </c>
      <c r="K4997" s="154" t="s">
        <v>3019</v>
      </c>
    </row>
    <row r="4998">
      <c r="A4998" s="154" t="s">
        <v>10756</v>
      </c>
      <c r="B4998" s="155"/>
      <c r="C4998" s="154" t="s">
        <v>10757</v>
      </c>
      <c r="D4998" s="155"/>
      <c r="E4998" s="155"/>
      <c r="F4998" s="154" t="s">
        <v>3015</v>
      </c>
      <c r="G4998" s="154" t="s">
        <v>3016</v>
      </c>
      <c r="H4998" s="154" t="s">
        <v>3017</v>
      </c>
      <c r="I4998" s="154" t="s">
        <v>3018</v>
      </c>
      <c r="J4998" s="154" t="s">
        <v>3016</v>
      </c>
      <c r="K4998" s="154" t="s">
        <v>3019</v>
      </c>
    </row>
    <row r="4999">
      <c r="A4999" s="154" t="s">
        <v>10756</v>
      </c>
      <c r="B4999" s="154" t="s">
        <v>10758</v>
      </c>
      <c r="D4999" s="154">
        <v>2.0</v>
      </c>
      <c r="E4999" s="154" t="s">
        <v>897</v>
      </c>
      <c r="F4999" s="154" t="s">
        <v>3015</v>
      </c>
      <c r="G4999" s="154" t="s">
        <v>3016</v>
      </c>
      <c r="H4999" s="154" t="s">
        <v>3017</v>
      </c>
      <c r="I4999" s="154" t="s">
        <v>3018</v>
      </c>
      <c r="J4999" s="154" t="s">
        <v>3016</v>
      </c>
      <c r="K4999" s="154" t="s">
        <v>3019</v>
      </c>
    </row>
    <row r="5000">
      <c r="A5000" s="154" t="s">
        <v>10759</v>
      </c>
      <c r="B5000" s="154" t="s">
        <v>10760</v>
      </c>
      <c r="D5000" s="154">
        <v>2.0</v>
      </c>
      <c r="E5000" s="154" t="s">
        <v>897</v>
      </c>
      <c r="F5000" s="154" t="s">
        <v>3015</v>
      </c>
      <c r="G5000" s="154" t="s">
        <v>3016</v>
      </c>
      <c r="H5000" s="154" t="s">
        <v>3017</v>
      </c>
      <c r="I5000" s="154" t="s">
        <v>3018</v>
      </c>
      <c r="J5000" s="154" t="s">
        <v>3016</v>
      </c>
      <c r="K5000" s="154" t="s">
        <v>3019</v>
      </c>
    </row>
    <row r="5001">
      <c r="A5001" s="154" t="s">
        <v>10759</v>
      </c>
      <c r="B5001" s="155"/>
      <c r="C5001" s="154" t="s">
        <v>10761</v>
      </c>
      <c r="D5001" s="155"/>
      <c r="E5001" s="155"/>
      <c r="F5001" s="154" t="s">
        <v>3015</v>
      </c>
      <c r="G5001" s="154" t="s">
        <v>3016</v>
      </c>
      <c r="H5001" s="154" t="s">
        <v>3017</v>
      </c>
      <c r="I5001" s="154" t="s">
        <v>3018</v>
      </c>
      <c r="J5001" s="154" t="s">
        <v>3016</v>
      </c>
      <c r="K5001" s="154" t="s">
        <v>3019</v>
      </c>
    </row>
    <row r="5002">
      <c r="A5002" s="154" t="s">
        <v>10762</v>
      </c>
      <c r="B5002" s="155"/>
      <c r="C5002" s="154" t="s">
        <v>10763</v>
      </c>
      <c r="D5002" s="155"/>
      <c r="E5002" s="155"/>
      <c r="F5002" s="154" t="s">
        <v>3015</v>
      </c>
      <c r="G5002" s="154" t="s">
        <v>3016</v>
      </c>
      <c r="H5002" s="154" t="s">
        <v>3017</v>
      </c>
      <c r="I5002" s="154" t="s">
        <v>3018</v>
      </c>
      <c r="J5002" s="154" t="s">
        <v>3016</v>
      </c>
      <c r="K5002" s="154" t="s">
        <v>3019</v>
      </c>
    </row>
    <row r="5003">
      <c r="A5003" s="154" t="s">
        <v>10762</v>
      </c>
      <c r="B5003" s="154" t="s">
        <v>10764</v>
      </c>
      <c r="D5003" s="154">
        <v>2.0</v>
      </c>
      <c r="E5003" s="154" t="s">
        <v>897</v>
      </c>
      <c r="F5003" s="154" t="s">
        <v>3015</v>
      </c>
      <c r="G5003" s="154" t="s">
        <v>3016</v>
      </c>
      <c r="H5003" s="154" t="s">
        <v>3017</v>
      </c>
      <c r="I5003" s="154" t="s">
        <v>3018</v>
      </c>
      <c r="J5003" s="154" t="s">
        <v>3016</v>
      </c>
      <c r="K5003" s="154" t="s">
        <v>3019</v>
      </c>
    </row>
    <row r="5004">
      <c r="A5004" s="154" t="s">
        <v>10765</v>
      </c>
      <c r="B5004" s="155"/>
      <c r="C5004" s="154" t="s">
        <v>10766</v>
      </c>
      <c r="D5004" s="155"/>
      <c r="E5004" s="155"/>
      <c r="F5004" s="154" t="s">
        <v>1157</v>
      </c>
      <c r="G5004" s="154" t="s">
        <v>1158</v>
      </c>
      <c r="H5004" s="154" t="s">
        <v>1159</v>
      </c>
      <c r="I5004" s="156">
        <v>0.0</v>
      </c>
      <c r="J5004" s="156">
        <v>0.0</v>
      </c>
      <c r="K5004" s="156">
        <v>0.0</v>
      </c>
    </row>
    <row r="5005">
      <c r="A5005" s="154" t="s">
        <v>10765</v>
      </c>
      <c r="B5005" s="154" t="s">
        <v>10767</v>
      </c>
      <c r="D5005" s="154">
        <v>2.0</v>
      </c>
      <c r="E5005" s="154" t="s">
        <v>897</v>
      </c>
      <c r="F5005" s="154" t="s">
        <v>1157</v>
      </c>
      <c r="G5005" s="154" t="s">
        <v>1158</v>
      </c>
      <c r="H5005" s="154" t="s">
        <v>1159</v>
      </c>
      <c r="I5005" s="156">
        <v>0.0</v>
      </c>
      <c r="J5005" s="156">
        <v>0.0</v>
      </c>
      <c r="K5005" s="156">
        <v>0.0</v>
      </c>
    </row>
    <row r="5006">
      <c r="A5006" s="154" t="s">
        <v>10768</v>
      </c>
      <c r="B5006" s="155"/>
      <c r="C5006" s="154" t="s">
        <v>10769</v>
      </c>
      <c r="D5006" s="155"/>
      <c r="E5006" s="155"/>
      <c r="F5006" s="154" t="s">
        <v>10770</v>
      </c>
      <c r="G5006" s="154" t="s">
        <v>10771</v>
      </c>
      <c r="H5006" s="154" t="s">
        <v>10772</v>
      </c>
      <c r="I5006" s="154" t="s">
        <v>10773</v>
      </c>
      <c r="J5006" s="154" t="s">
        <v>10771</v>
      </c>
      <c r="K5006" s="154" t="s">
        <v>259</v>
      </c>
    </row>
    <row r="5007">
      <c r="A5007" s="154" t="s">
        <v>10768</v>
      </c>
      <c r="B5007" s="154" t="s">
        <v>10774</v>
      </c>
      <c r="D5007" s="154">
        <v>2.0</v>
      </c>
      <c r="E5007" s="154" t="s">
        <v>897</v>
      </c>
      <c r="F5007" s="154" t="s">
        <v>10770</v>
      </c>
      <c r="G5007" s="154" t="s">
        <v>10771</v>
      </c>
      <c r="H5007" s="154" t="s">
        <v>10772</v>
      </c>
      <c r="I5007" s="154" t="s">
        <v>10773</v>
      </c>
      <c r="J5007" s="154" t="s">
        <v>10771</v>
      </c>
      <c r="K5007" s="154" t="s">
        <v>259</v>
      </c>
    </row>
    <row r="5008">
      <c r="A5008" s="154" t="s">
        <v>10775</v>
      </c>
      <c r="B5008" s="154" t="s">
        <v>10776</v>
      </c>
      <c r="D5008" s="154">
        <v>2.0</v>
      </c>
      <c r="E5008" s="154" t="s">
        <v>897</v>
      </c>
      <c r="F5008" s="154" t="s">
        <v>4829</v>
      </c>
      <c r="G5008" s="154" t="s">
        <v>10777</v>
      </c>
      <c r="H5008" s="156">
        <v>0.0</v>
      </c>
      <c r="I5008" s="154">
        <v>9.71506220342E11</v>
      </c>
      <c r="J5008" s="156">
        <v>0.0</v>
      </c>
      <c r="K5008" s="154" t="s">
        <v>223</v>
      </c>
    </row>
    <row r="5009">
      <c r="A5009" s="154" t="s">
        <v>10775</v>
      </c>
      <c r="B5009" s="155"/>
      <c r="C5009" s="154" t="s">
        <v>10778</v>
      </c>
      <c r="D5009" s="155"/>
      <c r="E5009" s="155"/>
      <c r="F5009" s="154" t="s">
        <v>1619</v>
      </c>
      <c r="G5009" s="154">
        <v>4.3903333E7</v>
      </c>
      <c r="H5009" s="154" t="s">
        <v>1620</v>
      </c>
      <c r="I5009" s="156">
        <v>0.0</v>
      </c>
      <c r="J5009" s="156">
        <v>0.0</v>
      </c>
      <c r="K5009" s="156">
        <v>0.0</v>
      </c>
    </row>
    <row r="5010">
      <c r="A5010" s="154" t="s">
        <v>10779</v>
      </c>
      <c r="B5010" s="154" t="s">
        <v>10780</v>
      </c>
      <c r="D5010" s="154">
        <v>2.0</v>
      </c>
      <c r="E5010" s="154" t="s">
        <v>897</v>
      </c>
      <c r="F5010" s="154" t="s">
        <v>7380</v>
      </c>
      <c r="G5010" s="156">
        <v>0.0</v>
      </c>
      <c r="H5010" s="154" t="s">
        <v>7381</v>
      </c>
      <c r="I5010" s="154" t="s">
        <v>7382</v>
      </c>
      <c r="J5010" s="154" t="s">
        <v>7383</v>
      </c>
      <c r="K5010" s="154" t="s">
        <v>1059</v>
      </c>
    </row>
    <row r="5011">
      <c r="A5011" s="154" t="s">
        <v>10779</v>
      </c>
      <c r="B5011" s="155"/>
      <c r="C5011" s="154" t="s">
        <v>10781</v>
      </c>
      <c r="D5011" s="155"/>
      <c r="E5011" s="155"/>
      <c r="F5011" s="154" t="s">
        <v>7380</v>
      </c>
      <c r="G5011" s="156">
        <v>0.0</v>
      </c>
      <c r="H5011" s="154" t="s">
        <v>7381</v>
      </c>
      <c r="I5011" s="154" t="s">
        <v>7382</v>
      </c>
      <c r="J5011" s="154" t="s">
        <v>7383</v>
      </c>
      <c r="K5011" s="154" t="s">
        <v>1059</v>
      </c>
    </row>
    <row r="5012">
      <c r="A5012" s="154" t="s">
        <v>10782</v>
      </c>
      <c r="B5012" s="155"/>
      <c r="C5012" s="154" t="s">
        <v>10783</v>
      </c>
      <c r="D5012" s="155"/>
      <c r="E5012" s="155"/>
      <c r="F5012" s="154" t="s">
        <v>10784</v>
      </c>
      <c r="G5012" s="156">
        <v>0.0</v>
      </c>
      <c r="H5012" s="154" t="s">
        <v>10785</v>
      </c>
      <c r="I5012" s="154" t="s">
        <v>10786</v>
      </c>
      <c r="J5012" s="154" t="s">
        <v>10787</v>
      </c>
      <c r="K5012" s="154" t="s">
        <v>760</v>
      </c>
    </row>
    <row r="5013">
      <c r="A5013" s="154" t="s">
        <v>10782</v>
      </c>
      <c r="B5013" s="154" t="s">
        <v>10788</v>
      </c>
      <c r="D5013" s="154">
        <v>2.0</v>
      </c>
      <c r="E5013" s="154" t="s">
        <v>897</v>
      </c>
      <c r="F5013" s="154" t="s">
        <v>10784</v>
      </c>
      <c r="G5013" s="156">
        <v>0.0</v>
      </c>
      <c r="H5013" s="154" t="s">
        <v>10785</v>
      </c>
      <c r="I5013" s="154" t="s">
        <v>10786</v>
      </c>
      <c r="J5013" s="154" t="s">
        <v>10787</v>
      </c>
      <c r="K5013" s="154" t="s">
        <v>760</v>
      </c>
    </row>
    <row r="5014">
      <c r="A5014" s="154" t="s">
        <v>10789</v>
      </c>
      <c r="B5014" s="154" t="s">
        <v>10790</v>
      </c>
      <c r="D5014" s="154">
        <v>2.0</v>
      </c>
      <c r="E5014" s="154" t="s">
        <v>897</v>
      </c>
      <c r="F5014" s="154" t="s">
        <v>1619</v>
      </c>
      <c r="G5014" s="154">
        <v>4.3903333E7</v>
      </c>
      <c r="H5014" s="154" t="s">
        <v>1620</v>
      </c>
      <c r="I5014" s="156">
        <v>0.0</v>
      </c>
      <c r="J5014" s="156">
        <v>0.0</v>
      </c>
      <c r="K5014" s="156">
        <v>0.0</v>
      </c>
    </row>
    <row r="5015">
      <c r="A5015" s="154" t="s">
        <v>10789</v>
      </c>
      <c r="B5015" s="155"/>
      <c r="C5015" s="154" t="s">
        <v>10791</v>
      </c>
      <c r="D5015" s="155"/>
      <c r="E5015" s="155"/>
      <c r="F5015" s="154" t="s">
        <v>1619</v>
      </c>
      <c r="G5015" s="154">
        <v>4.3903333E7</v>
      </c>
      <c r="H5015" s="154" t="s">
        <v>1620</v>
      </c>
      <c r="I5015" s="156">
        <v>0.0</v>
      </c>
      <c r="J5015" s="156">
        <v>0.0</v>
      </c>
      <c r="K5015" s="156">
        <v>0.0</v>
      </c>
    </row>
    <row r="5016">
      <c r="A5016" s="154" t="s">
        <v>10792</v>
      </c>
      <c r="B5016" s="154" t="s">
        <v>10793</v>
      </c>
      <c r="D5016" s="154">
        <v>2.0</v>
      </c>
      <c r="E5016" s="154" t="s">
        <v>897</v>
      </c>
      <c r="F5016" s="154" t="s">
        <v>9103</v>
      </c>
      <c r="G5016" s="154">
        <v>4.352041E7</v>
      </c>
      <c r="H5016" s="156">
        <v>0.0</v>
      </c>
      <c r="I5016" s="156">
        <v>0.0</v>
      </c>
      <c r="J5016" s="156">
        <v>0.0</v>
      </c>
      <c r="K5016" s="154" t="s">
        <v>3055</v>
      </c>
    </row>
    <row r="5017">
      <c r="A5017" s="154" t="s">
        <v>10792</v>
      </c>
      <c r="B5017" s="155"/>
      <c r="C5017" s="154" t="s">
        <v>10794</v>
      </c>
      <c r="D5017" s="155"/>
      <c r="E5017" s="155"/>
      <c r="F5017" s="154" t="s">
        <v>9098</v>
      </c>
      <c r="G5017" s="154">
        <v>0.0</v>
      </c>
      <c r="H5017" s="156">
        <v>0.0</v>
      </c>
      <c r="I5017" s="154" t="s">
        <v>9099</v>
      </c>
      <c r="J5017" s="156">
        <v>0.0</v>
      </c>
      <c r="K5017" s="154" t="s">
        <v>3055</v>
      </c>
    </row>
    <row r="5018">
      <c r="A5018" s="154" t="s">
        <v>10795</v>
      </c>
      <c r="B5018" s="154" t="s">
        <v>10796</v>
      </c>
      <c r="D5018" s="154">
        <v>2.0</v>
      </c>
      <c r="E5018" s="154" t="s">
        <v>897</v>
      </c>
      <c r="F5018" s="154" t="s">
        <v>9107</v>
      </c>
      <c r="G5018" s="156">
        <v>0.0</v>
      </c>
      <c r="H5018" s="156">
        <v>0.0</v>
      </c>
      <c r="I5018" s="154" t="s">
        <v>9108</v>
      </c>
      <c r="J5018" s="154" t="s">
        <v>9109</v>
      </c>
      <c r="K5018" s="154" t="s">
        <v>1874</v>
      </c>
    </row>
    <row r="5019">
      <c r="A5019" s="154" t="s">
        <v>10795</v>
      </c>
      <c r="B5019" s="155"/>
      <c r="C5019" s="154" t="s">
        <v>10797</v>
      </c>
      <c r="D5019" s="155"/>
      <c r="E5019" s="155"/>
      <c r="F5019" s="154" t="s">
        <v>9107</v>
      </c>
      <c r="G5019" s="156">
        <v>0.0</v>
      </c>
      <c r="H5019" s="156">
        <v>0.0</v>
      </c>
      <c r="I5019" s="154" t="s">
        <v>9108</v>
      </c>
      <c r="J5019" s="154" t="s">
        <v>9109</v>
      </c>
      <c r="K5019" s="154" t="s">
        <v>1874</v>
      </c>
    </row>
    <row r="5020">
      <c r="A5020" s="154" t="s">
        <v>10798</v>
      </c>
      <c r="B5020" s="154" t="s">
        <v>10799</v>
      </c>
      <c r="D5020" s="154">
        <v>2.0</v>
      </c>
      <c r="E5020" s="154" t="s">
        <v>897</v>
      </c>
      <c r="F5020" s="154" t="s">
        <v>10800</v>
      </c>
      <c r="G5020" s="156">
        <v>0.0</v>
      </c>
      <c r="H5020" s="156">
        <v>0.0</v>
      </c>
      <c r="I5020" s="154">
        <v>5.05595162E8</v>
      </c>
      <c r="J5020" s="156">
        <v>0.0</v>
      </c>
      <c r="K5020" s="154" t="s">
        <v>259</v>
      </c>
    </row>
    <row r="5021">
      <c r="A5021" s="154" t="s">
        <v>10798</v>
      </c>
      <c r="B5021" s="155"/>
      <c r="C5021" s="154" t="s">
        <v>10801</v>
      </c>
      <c r="D5021" s="155"/>
      <c r="E5021" s="155"/>
      <c r="F5021" s="154" t="s">
        <v>10800</v>
      </c>
      <c r="G5021" s="156">
        <v>0.0</v>
      </c>
      <c r="H5021" s="156">
        <v>0.0</v>
      </c>
      <c r="I5021" s="154">
        <v>5.05595162E8</v>
      </c>
      <c r="J5021" s="156">
        <v>0.0</v>
      </c>
      <c r="K5021" s="154" t="s">
        <v>259</v>
      </c>
    </row>
    <row r="5022">
      <c r="A5022" s="154" t="s">
        <v>10802</v>
      </c>
      <c r="B5022" s="154" t="s">
        <v>10803</v>
      </c>
      <c r="D5022" s="154">
        <v>2.0</v>
      </c>
      <c r="E5022" s="154" t="s">
        <v>897</v>
      </c>
      <c r="F5022" s="154" t="s">
        <v>10804</v>
      </c>
      <c r="G5022" s="156">
        <v>0.0</v>
      </c>
      <c r="H5022" s="154" t="s">
        <v>10805</v>
      </c>
      <c r="I5022" s="154" t="s">
        <v>10806</v>
      </c>
      <c r="J5022" s="156">
        <v>0.0</v>
      </c>
      <c r="K5022" s="154" t="s">
        <v>197</v>
      </c>
    </row>
    <row r="5023">
      <c r="A5023" s="154" t="s">
        <v>10802</v>
      </c>
      <c r="B5023" s="155"/>
      <c r="C5023" s="154" t="s">
        <v>10807</v>
      </c>
      <c r="D5023" s="155"/>
      <c r="E5023" s="155"/>
      <c r="F5023" s="154" t="s">
        <v>1619</v>
      </c>
      <c r="G5023" s="154">
        <v>4.3903333E7</v>
      </c>
      <c r="H5023" s="154" t="s">
        <v>1620</v>
      </c>
      <c r="I5023" s="156">
        <v>0.0</v>
      </c>
      <c r="J5023" s="156">
        <v>0.0</v>
      </c>
      <c r="K5023" s="156">
        <v>0.0</v>
      </c>
    </row>
    <row r="5024">
      <c r="A5024" s="154" t="s">
        <v>10808</v>
      </c>
      <c r="B5024" s="154" t="s">
        <v>10809</v>
      </c>
      <c r="D5024" s="154">
        <v>2.0</v>
      </c>
      <c r="E5024" s="154" t="s">
        <v>897</v>
      </c>
      <c r="F5024" s="154" t="s">
        <v>994</v>
      </c>
      <c r="G5024" s="154">
        <v>5.0979726E8</v>
      </c>
      <c r="H5024" s="154" t="s">
        <v>995</v>
      </c>
      <c r="I5024" s="156">
        <v>0.0</v>
      </c>
      <c r="J5024" s="156">
        <v>0.0</v>
      </c>
      <c r="K5024" s="156">
        <v>0.0</v>
      </c>
    </row>
    <row r="5025">
      <c r="A5025" s="154" t="s">
        <v>10808</v>
      </c>
      <c r="B5025" s="155"/>
      <c r="C5025" s="154" t="s">
        <v>10810</v>
      </c>
      <c r="D5025" s="155"/>
      <c r="E5025" s="155"/>
      <c r="F5025" s="154" t="s">
        <v>994</v>
      </c>
      <c r="G5025" s="154">
        <v>5.0979726E8</v>
      </c>
      <c r="H5025" s="154" t="s">
        <v>995</v>
      </c>
      <c r="I5025" s="156">
        <v>0.0</v>
      </c>
      <c r="J5025" s="156">
        <v>0.0</v>
      </c>
      <c r="K5025" s="156">
        <v>0.0</v>
      </c>
    </row>
    <row r="5026">
      <c r="A5026" s="154" t="s">
        <v>10811</v>
      </c>
      <c r="B5026" s="155"/>
      <c r="C5026" s="154" t="s">
        <v>10812</v>
      </c>
      <c r="D5026" s="155"/>
      <c r="E5026" s="155"/>
      <c r="F5026" s="154" t="s">
        <v>1270</v>
      </c>
      <c r="G5026" s="156">
        <v>0.0</v>
      </c>
      <c r="H5026" s="154" t="s">
        <v>1271</v>
      </c>
      <c r="I5026" s="154" t="s">
        <v>1272</v>
      </c>
      <c r="J5026" s="154" t="s">
        <v>1273</v>
      </c>
      <c r="K5026" s="154" t="s">
        <v>846</v>
      </c>
    </row>
    <row r="5027">
      <c r="A5027" s="154" t="s">
        <v>10811</v>
      </c>
      <c r="B5027" s="154" t="s">
        <v>10813</v>
      </c>
      <c r="D5027" s="154">
        <v>2.0</v>
      </c>
      <c r="E5027" s="154" t="s">
        <v>897</v>
      </c>
      <c r="F5027" s="154" t="s">
        <v>1270</v>
      </c>
      <c r="G5027" s="156">
        <v>0.0</v>
      </c>
      <c r="H5027" s="154" t="s">
        <v>1271</v>
      </c>
      <c r="I5027" s="154" t="s">
        <v>1272</v>
      </c>
      <c r="J5027" s="154" t="s">
        <v>1273</v>
      </c>
      <c r="K5027" s="154" t="s">
        <v>846</v>
      </c>
    </row>
    <row r="5028">
      <c r="A5028" s="154" t="s">
        <v>10814</v>
      </c>
      <c r="B5028" s="154" t="s">
        <v>10815</v>
      </c>
      <c r="D5028" s="154">
        <v>2.0</v>
      </c>
      <c r="E5028" s="154" t="s">
        <v>897</v>
      </c>
      <c r="F5028" s="154" t="s">
        <v>10816</v>
      </c>
      <c r="G5028" s="156">
        <v>0.0</v>
      </c>
      <c r="H5028" s="154" t="s">
        <v>10817</v>
      </c>
      <c r="I5028" s="154" t="s">
        <v>10818</v>
      </c>
      <c r="J5028" s="154" t="s">
        <v>10819</v>
      </c>
      <c r="K5028" s="154" t="s">
        <v>361</v>
      </c>
    </row>
    <row r="5029">
      <c r="A5029" s="154" t="s">
        <v>10814</v>
      </c>
      <c r="B5029" s="155"/>
      <c r="C5029" s="154" t="s">
        <v>10820</v>
      </c>
      <c r="D5029" s="155"/>
      <c r="E5029" s="155"/>
      <c r="F5029" s="154" t="s">
        <v>10816</v>
      </c>
      <c r="G5029" s="156">
        <v>0.0</v>
      </c>
      <c r="H5029" s="154" t="s">
        <v>10817</v>
      </c>
      <c r="I5029" s="154" t="s">
        <v>10818</v>
      </c>
      <c r="J5029" s="154" t="s">
        <v>10819</v>
      </c>
      <c r="K5029" s="154" t="s">
        <v>361</v>
      </c>
    </row>
    <row r="5030">
      <c r="A5030" s="154" t="s">
        <v>10821</v>
      </c>
      <c r="B5030" s="154" t="s">
        <v>10822</v>
      </c>
      <c r="D5030" s="154">
        <v>2.0</v>
      </c>
      <c r="E5030" s="154" t="s">
        <v>897</v>
      </c>
      <c r="F5030" s="154" t="s">
        <v>10823</v>
      </c>
      <c r="G5030" s="156">
        <v>0.0</v>
      </c>
      <c r="H5030" s="154" t="s">
        <v>10824</v>
      </c>
      <c r="I5030" s="154" t="s">
        <v>10825</v>
      </c>
      <c r="J5030" s="154" t="s">
        <v>10826</v>
      </c>
      <c r="K5030" s="154" t="s">
        <v>361</v>
      </c>
    </row>
    <row r="5031">
      <c r="A5031" s="154" t="s">
        <v>10821</v>
      </c>
      <c r="B5031" s="155"/>
      <c r="C5031" s="154" t="s">
        <v>10827</v>
      </c>
      <c r="D5031" s="155"/>
      <c r="E5031" s="155"/>
      <c r="F5031" s="154" t="s">
        <v>10823</v>
      </c>
      <c r="G5031" s="156">
        <v>0.0</v>
      </c>
      <c r="H5031" s="154" t="s">
        <v>10824</v>
      </c>
      <c r="I5031" s="154" t="s">
        <v>10825</v>
      </c>
      <c r="J5031" s="154" t="s">
        <v>10826</v>
      </c>
      <c r="K5031" s="154" t="s">
        <v>361</v>
      </c>
    </row>
    <row r="5032">
      <c r="A5032" s="154" t="s">
        <v>10828</v>
      </c>
      <c r="B5032" s="155"/>
      <c r="C5032" s="154" t="s">
        <v>10829</v>
      </c>
      <c r="D5032" s="155"/>
      <c r="E5032" s="155"/>
      <c r="F5032" s="154" t="s">
        <v>9206</v>
      </c>
      <c r="G5032" s="156">
        <v>0.0</v>
      </c>
      <c r="H5032" s="154" t="s">
        <v>9207</v>
      </c>
      <c r="I5032" s="154" t="s">
        <v>9208</v>
      </c>
      <c r="J5032" s="154" t="s">
        <v>9209</v>
      </c>
      <c r="K5032" s="154" t="s">
        <v>760</v>
      </c>
    </row>
    <row r="5033">
      <c r="A5033" s="154" t="s">
        <v>10828</v>
      </c>
      <c r="B5033" s="154" t="s">
        <v>10830</v>
      </c>
      <c r="D5033" s="154">
        <v>2.0</v>
      </c>
      <c r="E5033" s="154" t="s">
        <v>897</v>
      </c>
      <c r="F5033" s="154" t="s">
        <v>9206</v>
      </c>
      <c r="G5033" s="156">
        <v>0.0</v>
      </c>
      <c r="H5033" s="154" t="s">
        <v>9207</v>
      </c>
      <c r="I5033" s="154" t="s">
        <v>9208</v>
      </c>
      <c r="J5033" s="154" t="s">
        <v>9209</v>
      </c>
      <c r="K5033" s="154" t="s">
        <v>760</v>
      </c>
    </row>
    <row r="5034">
      <c r="A5034" s="154" t="s">
        <v>10831</v>
      </c>
      <c r="B5034" s="155"/>
      <c r="C5034" s="154" t="s">
        <v>10832</v>
      </c>
      <c r="D5034" s="155"/>
      <c r="E5034" s="155"/>
      <c r="F5034" s="154" t="s">
        <v>1619</v>
      </c>
      <c r="G5034" s="154">
        <v>4.3903333E7</v>
      </c>
      <c r="H5034" s="154" t="s">
        <v>1620</v>
      </c>
      <c r="I5034" s="156">
        <v>0.0</v>
      </c>
      <c r="J5034" s="156">
        <v>0.0</v>
      </c>
      <c r="K5034" s="156">
        <v>0.0</v>
      </c>
    </row>
    <row r="5035">
      <c r="A5035" s="154" t="s">
        <v>10831</v>
      </c>
      <c r="B5035" s="154" t="s">
        <v>10833</v>
      </c>
      <c r="D5035" s="154">
        <v>2.0</v>
      </c>
      <c r="E5035" s="154" t="s">
        <v>897</v>
      </c>
      <c r="F5035" s="154" t="s">
        <v>2430</v>
      </c>
      <c r="G5035" s="156">
        <v>0.0</v>
      </c>
      <c r="H5035" s="154" t="s">
        <v>2431</v>
      </c>
      <c r="I5035" s="154" t="s">
        <v>2432</v>
      </c>
      <c r="J5035" s="154" t="s">
        <v>809</v>
      </c>
      <c r="K5035" s="154" t="s">
        <v>1731</v>
      </c>
    </row>
    <row r="5036">
      <c r="A5036" s="154" t="s">
        <v>10834</v>
      </c>
      <c r="B5036" s="154" t="s">
        <v>10835</v>
      </c>
      <c r="D5036" s="154">
        <v>2.0</v>
      </c>
      <c r="E5036" s="154" t="s">
        <v>897</v>
      </c>
      <c r="F5036" s="154" t="s">
        <v>4874</v>
      </c>
      <c r="G5036" s="156">
        <v>0.0</v>
      </c>
      <c r="H5036" s="154" t="s">
        <v>4875</v>
      </c>
      <c r="I5036" s="154" t="s">
        <v>4876</v>
      </c>
      <c r="J5036" s="156">
        <v>0.0</v>
      </c>
      <c r="K5036" s="154" t="s">
        <v>846</v>
      </c>
    </row>
    <row r="5037">
      <c r="A5037" s="154" t="s">
        <v>10834</v>
      </c>
      <c r="B5037" s="155"/>
      <c r="C5037" s="154" t="s">
        <v>10836</v>
      </c>
      <c r="D5037" s="155"/>
      <c r="E5037" s="155"/>
      <c r="F5037" s="154" t="s">
        <v>4874</v>
      </c>
      <c r="G5037" s="156">
        <v>0.0</v>
      </c>
      <c r="H5037" s="154" t="s">
        <v>4875</v>
      </c>
      <c r="I5037" s="154" t="s">
        <v>4876</v>
      </c>
      <c r="J5037" s="156">
        <v>0.0</v>
      </c>
      <c r="K5037" s="154" t="s">
        <v>846</v>
      </c>
    </row>
    <row r="5038">
      <c r="A5038" s="154" t="s">
        <v>10837</v>
      </c>
      <c r="B5038" s="155"/>
      <c r="C5038" s="154" t="s">
        <v>10838</v>
      </c>
      <c r="D5038" s="155"/>
      <c r="E5038" s="155"/>
      <c r="F5038" s="154" t="s">
        <v>1619</v>
      </c>
      <c r="G5038" s="154">
        <v>4.3903333E7</v>
      </c>
      <c r="H5038" s="154" t="s">
        <v>1620</v>
      </c>
      <c r="I5038" s="156">
        <v>0.0</v>
      </c>
      <c r="J5038" s="156">
        <v>0.0</v>
      </c>
      <c r="K5038" s="156">
        <v>0.0</v>
      </c>
    </row>
    <row r="5039">
      <c r="A5039" s="154" t="s">
        <v>10837</v>
      </c>
      <c r="B5039" s="154" t="s">
        <v>10839</v>
      </c>
      <c r="D5039" s="154">
        <v>2.0</v>
      </c>
      <c r="E5039" s="154" t="s">
        <v>897</v>
      </c>
      <c r="F5039" s="154" t="s">
        <v>9237</v>
      </c>
      <c r="G5039" s="154">
        <v>4.0</v>
      </c>
      <c r="H5039" s="156">
        <v>0.0</v>
      </c>
      <c r="I5039" s="154">
        <v>5.079191E8</v>
      </c>
      <c r="J5039" s="156">
        <v>0.0</v>
      </c>
      <c r="K5039" s="154" t="s">
        <v>207</v>
      </c>
    </row>
    <row r="5040">
      <c r="A5040" s="154" t="s">
        <v>10840</v>
      </c>
      <c r="B5040" s="155"/>
      <c r="C5040" s="154" t="s">
        <v>10841</v>
      </c>
      <c r="D5040" s="155"/>
      <c r="E5040" s="155"/>
      <c r="F5040" s="154" t="s">
        <v>9098</v>
      </c>
      <c r="G5040" s="154">
        <v>0.0</v>
      </c>
      <c r="H5040" s="156">
        <v>0.0</v>
      </c>
      <c r="I5040" s="154" t="s">
        <v>9099</v>
      </c>
      <c r="J5040" s="156">
        <v>0.0</v>
      </c>
      <c r="K5040" s="154" t="s">
        <v>3055</v>
      </c>
    </row>
    <row r="5041">
      <c r="A5041" s="154" t="s">
        <v>10840</v>
      </c>
      <c r="B5041" s="154" t="s">
        <v>10842</v>
      </c>
      <c r="D5041" s="154">
        <v>2.0</v>
      </c>
      <c r="E5041" s="154" t="s">
        <v>897</v>
      </c>
      <c r="F5041" s="154" t="s">
        <v>9098</v>
      </c>
      <c r="G5041" s="154">
        <v>0.0</v>
      </c>
      <c r="H5041" s="156">
        <v>0.0</v>
      </c>
      <c r="I5041" s="154" t="s">
        <v>9099</v>
      </c>
      <c r="J5041" s="156">
        <v>0.0</v>
      </c>
      <c r="K5041" s="154" t="s">
        <v>3055</v>
      </c>
    </row>
    <row r="5042">
      <c r="A5042" s="154" t="s">
        <v>10843</v>
      </c>
      <c r="B5042" s="154" t="s">
        <v>10844</v>
      </c>
      <c r="D5042" s="154">
        <v>2.0</v>
      </c>
      <c r="E5042" s="154" t="s">
        <v>897</v>
      </c>
      <c r="F5042" s="154" t="s">
        <v>1619</v>
      </c>
      <c r="G5042" s="154">
        <v>4.3903333E7</v>
      </c>
      <c r="H5042" s="154" t="s">
        <v>1620</v>
      </c>
      <c r="I5042" s="156">
        <v>0.0</v>
      </c>
      <c r="J5042" s="156">
        <v>0.0</v>
      </c>
      <c r="K5042" s="156">
        <v>0.0</v>
      </c>
    </row>
    <row r="5043">
      <c r="A5043" s="154" t="s">
        <v>10843</v>
      </c>
      <c r="B5043" s="155"/>
      <c r="C5043" s="154" t="s">
        <v>10845</v>
      </c>
      <c r="D5043" s="155"/>
      <c r="E5043" s="155"/>
      <c r="F5043" s="154" t="s">
        <v>1619</v>
      </c>
      <c r="G5043" s="154">
        <v>4.3903333E7</v>
      </c>
      <c r="H5043" s="154" t="s">
        <v>1620</v>
      </c>
      <c r="I5043" s="156">
        <v>0.0</v>
      </c>
      <c r="J5043" s="156">
        <v>0.0</v>
      </c>
      <c r="K5043" s="156">
        <v>0.0</v>
      </c>
    </row>
    <row r="5044">
      <c r="A5044" s="154" t="s">
        <v>10846</v>
      </c>
      <c r="B5044" s="155"/>
      <c r="C5044" s="154" t="s">
        <v>10847</v>
      </c>
      <c r="D5044" s="155"/>
      <c r="E5044" s="155"/>
      <c r="F5044" s="154" t="s">
        <v>1619</v>
      </c>
      <c r="G5044" s="154">
        <v>4.3903333E7</v>
      </c>
      <c r="H5044" s="154" t="s">
        <v>1620</v>
      </c>
      <c r="I5044" s="156">
        <v>0.0</v>
      </c>
      <c r="J5044" s="156">
        <v>0.0</v>
      </c>
      <c r="K5044" s="156">
        <v>0.0</v>
      </c>
    </row>
    <row r="5045">
      <c r="A5045" s="154" t="s">
        <v>10846</v>
      </c>
      <c r="B5045" s="154" t="s">
        <v>10848</v>
      </c>
      <c r="D5045" s="154">
        <v>2.0</v>
      </c>
      <c r="E5045" s="154" t="s">
        <v>897</v>
      </c>
      <c r="F5045" s="154" t="s">
        <v>10849</v>
      </c>
      <c r="G5045" s="154" t="s">
        <v>10850</v>
      </c>
      <c r="H5045" s="156">
        <v>0.0</v>
      </c>
      <c r="I5045" s="154" t="s">
        <v>10851</v>
      </c>
      <c r="J5045" s="154" t="s">
        <v>10850</v>
      </c>
      <c r="K5045" s="154" t="s">
        <v>776</v>
      </c>
    </row>
    <row r="5046">
      <c r="A5046" s="154" t="s">
        <v>10852</v>
      </c>
      <c r="B5046" s="154" t="s">
        <v>10853</v>
      </c>
      <c r="D5046" s="154">
        <v>2.0</v>
      </c>
      <c r="E5046" s="154" t="s">
        <v>897</v>
      </c>
      <c r="F5046" s="154" t="s">
        <v>1619</v>
      </c>
      <c r="G5046" s="154">
        <v>4.3903333E7</v>
      </c>
      <c r="H5046" s="154" t="s">
        <v>1620</v>
      </c>
      <c r="I5046" s="156">
        <v>0.0</v>
      </c>
      <c r="J5046" s="156">
        <v>0.0</v>
      </c>
      <c r="K5046" s="156">
        <v>0.0</v>
      </c>
    </row>
    <row r="5047">
      <c r="A5047" s="154" t="s">
        <v>10852</v>
      </c>
      <c r="B5047" s="155"/>
      <c r="C5047" s="154" t="s">
        <v>10854</v>
      </c>
      <c r="D5047" s="155"/>
      <c r="E5047" s="155"/>
      <c r="F5047" s="154" t="s">
        <v>1619</v>
      </c>
      <c r="G5047" s="154">
        <v>4.3903333E7</v>
      </c>
      <c r="H5047" s="154" t="s">
        <v>1620</v>
      </c>
      <c r="I5047" s="156">
        <v>0.0</v>
      </c>
      <c r="J5047" s="156">
        <v>0.0</v>
      </c>
      <c r="K5047" s="156">
        <v>0.0</v>
      </c>
    </row>
    <row r="5048">
      <c r="A5048" s="154" t="s">
        <v>10855</v>
      </c>
      <c r="B5048" s="154" t="s">
        <v>10856</v>
      </c>
      <c r="D5048" s="154">
        <v>2.0</v>
      </c>
      <c r="E5048" s="154" t="s">
        <v>897</v>
      </c>
      <c r="F5048" s="154" t="s">
        <v>10857</v>
      </c>
      <c r="G5048" s="156">
        <v>0.0</v>
      </c>
      <c r="H5048" s="154" t="s">
        <v>2925</v>
      </c>
      <c r="I5048" s="154" t="s">
        <v>3423</v>
      </c>
      <c r="J5048" s="156">
        <v>0.0</v>
      </c>
      <c r="K5048" s="154" t="s">
        <v>259</v>
      </c>
    </row>
    <row r="5049">
      <c r="A5049" s="154" t="s">
        <v>10855</v>
      </c>
      <c r="B5049" s="155"/>
      <c r="C5049" s="154" t="s">
        <v>10858</v>
      </c>
      <c r="D5049" s="155"/>
      <c r="E5049" s="155"/>
      <c r="F5049" s="154" t="s">
        <v>1619</v>
      </c>
      <c r="G5049" s="154">
        <v>4.3903333E7</v>
      </c>
      <c r="H5049" s="154" t="s">
        <v>1620</v>
      </c>
      <c r="I5049" s="156">
        <v>0.0</v>
      </c>
      <c r="J5049" s="156">
        <v>0.0</v>
      </c>
      <c r="K5049" s="156">
        <v>0.0</v>
      </c>
    </row>
    <row r="5050">
      <c r="A5050" s="154" t="s">
        <v>10859</v>
      </c>
      <c r="B5050" s="154" t="s">
        <v>10860</v>
      </c>
      <c r="D5050" s="154">
        <v>2.0</v>
      </c>
      <c r="E5050" s="154" t="s">
        <v>897</v>
      </c>
      <c r="F5050" s="154" t="s">
        <v>9293</v>
      </c>
      <c r="G5050" s="156">
        <v>0.0</v>
      </c>
      <c r="H5050" s="154" t="s">
        <v>1185</v>
      </c>
      <c r="I5050" s="154" t="s">
        <v>9294</v>
      </c>
      <c r="J5050" s="154" t="s">
        <v>9295</v>
      </c>
      <c r="K5050" s="154" t="s">
        <v>776</v>
      </c>
    </row>
    <row r="5051">
      <c r="A5051" s="154" t="s">
        <v>10859</v>
      </c>
      <c r="B5051" s="155"/>
      <c r="C5051" s="154" t="s">
        <v>10861</v>
      </c>
      <c r="D5051" s="155"/>
      <c r="E5051" s="155"/>
      <c r="F5051" s="154" t="s">
        <v>9293</v>
      </c>
      <c r="G5051" s="156">
        <v>0.0</v>
      </c>
      <c r="H5051" s="154" t="s">
        <v>1185</v>
      </c>
      <c r="I5051" s="154" t="s">
        <v>9294</v>
      </c>
      <c r="J5051" s="154" t="s">
        <v>9295</v>
      </c>
      <c r="K5051" s="154" t="s">
        <v>776</v>
      </c>
    </row>
    <row r="5052">
      <c r="A5052" s="154" t="s">
        <v>10862</v>
      </c>
      <c r="B5052" s="154" t="s">
        <v>10863</v>
      </c>
      <c r="D5052" s="154">
        <v>2.0</v>
      </c>
      <c r="E5052" s="154" t="s">
        <v>897</v>
      </c>
      <c r="F5052" s="154" t="s">
        <v>9307</v>
      </c>
      <c r="G5052" s="156">
        <v>0.0</v>
      </c>
      <c r="H5052" s="156">
        <v>0.0</v>
      </c>
      <c r="I5052" s="154" t="s">
        <v>9308</v>
      </c>
      <c r="J5052" s="154" t="s">
        <v>9309</v>
      </c>
      <c r="K5052" s="154" t="s">
        <v>301</v>
      </c>
    </row>
    <row r="5053">
      <c r="A5053" s="154" t="s">
        <v>10862</v>
      </c>
      <c r="B5053" s="155"/>
      <c r="C5053" s="154" t="s">
        <v>10864</v>
      </c>
      <c r="D5053" s="155"/>
      <c r="E5053" s="155"/>
      <c r="F5053" s="154" t="s">
        <v>9307</v>
      </c>
      <c r="G5053" s="156">
        <v>0.0</v>
      </c>
      <c r="H5053" s="156">
        <v>0.0</v>
      </c>
      <c r="I5053" s="154" t="s">
        <v>9308</v>
      </c>
      <c r="J5053" s="154" t="s">
        <v>9309</v>
      </c>
      <c r="K5053" s="154" t="s">
        <v>301</v>
      </c>
    </row>
    <row r="5054">
      <c r="A5054" s="154" t="s">
        <v>10865</v>
      </c>
      <c r="B5054" s="155"/>
      <c r="C5054" s="154" t="s">
        <v>10866</v>
      </c>
      <c r="D5054" s="155"/>
      <c r="E5054" s="155"/>
      <c r="F5054" s="154" t="s">
        <v>1619</v>
      </c>
      <c r="G5054" s="154">
        <v>4.3903333E7</v>
      </c>
      <c r="H5054" s="154" t="s">
        <v>1620</v>
      </c>
      <c r="I5054" s="156">
        <v>0.0</v>
      </c>
      <c r="J5054" s="156">
        <v>0.0</v>
      </c>
      <c r="K5054" s="156">
        <v>0.0</v>
      </c>
    </row>
    <row r="5055">
      <c r="A5055" s="154" t="s">
        <v>10865</v>
      </c>
      <c r="B5055" s="154" t="s">
        <v>10867</v>
      </c>
      <c r="D5055" s="154">
        <v>2.0</v>
      </c>
      <c r="E5055" s="154" t="s">
        <v>897</v>
      </c>
      <c r="F5055" s="154" t="s">
        <v>1619</v>
      </c>
      <c r="G5055" s="154">
        <v>4.3903333E7</v>
      </c>
      <c r="H5055" s="154" t="s">
        <v>1620</v>
      </c>
      <c r="I5055" s="156">
        <v>0.0</v>
      </c>
      <c r="J5055" s="156">
        <v>0.0</v>
      </c>
      <c r="K5055" s="156">
        <v>0.0</v>
      </c>
    </row>
    <row r="5056">
      <c r="A5056" s="154" t="s">
        <v>10868</v>
      </c>
      <c r="B5056" s="155"/>
      <c r="C5056" s="154" t="s">
        <v>10869</v>
      </c>
      <c r="D5056" s="155"/>
      <c r="E5056" s="155"/>
      <c r="F5056" s="154" t="s">
        <v>10870</v>
      </c>
      <c r="G5056" s="154" t="s">
        <v>10871</v>
      </c>
      <c r="H5056" s="154" t="s">
        <v>10872</v>
      </c>
      <c r="I5056" s="154" t="s">
        <v>10873</v>
      </c>
      <c r="J5056" s="154" t="s">
        <v>809</v>
      </c>
      <c r="K5056" s="154" t="s">
        <v>223</v>
      </c>
    </row>
    <row r="5057">
      <c r="A5057" s="154" t="s">
        <v>10868</v>
      </c>
      <c r="B5057" s="154" t="s">
        <v>10874</v>
      </c>
      <c r="D5057" s="154">
        <v>2.0</v>
      </c>
      <c r="E5057" s="154" t="s">
        <v>897</v>
      </c>
      <c r="F5057" s="154" t="s">
        <v>10870</v>
      </c>
      <c r="G5057" s="154" t="s">
        <v>10871</v>
      </c>
      <c r="H5057" s="154" t="s">
        <v>10872</v>
      </c>
      <c r="I5057" s="154" t="s">
        <v>10873</v>
      </c>
      <c r="J5057" s="154" t="s">
        <v>809</v>
      </c>
      <c r="K5057" s="154" t="s">
        <v>223</v>
      </c>
    </row>
    <row r="5058">
      <c r="A5058" s="154" t="s">
        <v>10875</v>
      </c>
      <c r="B5058" s="155"/>
      <c r="C5058" s="154" t="s">
        <v>10876</v>
      </c>
      <c r="D5058" s="155"/>
      <c r="E5058" s="155"/>
      <c r="F5058" s="154" t="s">
        <v>9338</v>
      </c>
      <c r="G5058" s="156">
        <v>0.0</v>
      </c>
      <c r="H5058" s="154" t="s">
        <v>9339</v>
      </c>
      <c r="I5058" s="154" t="s">
        <v>9340</v>
      </c>
      <c r="J5058" s="154" t="s">
        <v>9341</v>
      </c>
      <c r="K5058" s="154" t="s">
        <v>760</v>
      </c>
    </row>
    <row r="5059">
      <c r="A5059" s="154" t="s">
        <v>10875</v>
      </c>
      <c r="B5059" s="154" t="s">
        <v>10877</v>
      </c>
      <c r="D5059" s="154">
        <v>2.0</v>
      </c>
      <c r="E5059" s="154" t="s">
        <v>897</v>
      </c>
      <c r="F5059" s="154" t="s">
        <v>9338</v>
      </c>
      <c r="G5059" s="156">
        <v>0.0</v>
      </c>
      <c r="H5059" s="154" t="s">
        <v>9339</v>
      </c>
      <c r="I5059" s="154" t="s">
        <v>9340</v>
      </c>
      <c r="J5059" s="154" t="s">
        <v>9341</v>
      </c>
      <c r="K5059" s="154" t="s">
        <v>760</v>
      </c>
    </row>
    <row r="5060">
      <c r="A5060" s="154" t="s">
        <v>10878</v>
      </c>
      <c r="B5060" s="154" t="s">
        <v>10879</v>
      </c>
      <c r="D5060" s="154">
        <v>2.0</v>
      </c>
      <c r="E5060" s="154" t="s">
        <v>897</v>
      </c>
      <c r="F5060" s="154" t="s">
        <v>6478</v>
      </c>
      <c r="G5060" s="154" t="s">
        <v>6479</v>
      </c>
      <c r="H5060" s="156">
        <v>0.0</v>
      </c>
      <c r="I5060" s="154">
        <v>9.71506502913E11</v>
      </c>
      <c r="J5060" s="156">
        <v>0.0</v>
      </c>
      <c r="K5060" s="154" t="s">
        <v>361</v>
      </c>
    </row>
    <row r="5061">
      <c r="A5061" s="154" t="s">
        <v>10878</v>
      </c>
      <c r="B5061" s="155"/>
      <c r="C5061" s="154" t="s">
        <v>10879</v>
      </c>
      <c r="D5061" s="155"/>
      <c r="E5061" s="155"/>
      <c r="F5061" s="154" t="s">
        <v>6478</v>
      </c>
      <c r="G5061" s="154" t="s">
        <v>6479</v>
      </c>
      <c r="H5061" s="156">
        <v>0.0</v>
      </c>
      <c r="I5061" s="154">
        <v>9.71506502913E11</v>
      </c>
      <c r="J5061" s="156">
        <v>0.0</v>
      </c>
      <c r="K5061" s="154" t="s">
        <v>361</v>
      </c>
    </row>
    <row r="5062">
      <c r="A5062" s="154" t="s">
        <v>10880</v>
      </c>
      <c r="B5062" s="155"/>
      <c r="C5062" s="154" t="s">
        <v>10881</v>
      </c>
      <c r="D5062" s="155"/>
      <c r="E5062" s="155"/>
      <c r="F5062" s="154" t="s">
        <v>10882</v>
      </c>
      <c r="G5062" s="154">
        <v>971.0</v>
      </c>
      <c r="H5062" s="156">
        <v>0.0</v>
      </c>
      <c r="I5062" s="154" t="s">
        <v>10883</v>
      </c>
      <c r="J5062" s="154" t="s">
        <v>10884</v>
      </c>
      <c r="K5062" s="154" t="s">
        <v>240</v>
      </c>
    </row>
    <row r="5063">
      <c r="A5063" s="154" t="s">
        <v>10880</v>
      </c>
      <c r="B5063" s="154" t="s">
        <v>10885</v>
      </c>
      <c r="D5063" s="154">
        <v>2.0</v>
      </c>
      <c r="E5063" s="154" t="s">
        <v>897</v>
      </c>
      <c r="F5063" s="154" t="s">
        <v>10882</v>
      </c>
      <c r="G5063" s="154">
        <v>971.0</v>
      </c>
      <c r="H5063" s="156">
        <v>0.0</v>
      </c>
      <c r="I5063" s="154" t="s">
        <v>10883</v>
      </c>
      <c r="J5063" s="154" t="s">
        <v>10884</v>
      </c>
      <c r="K5063" s="154" t="s">
        <v>240</v>
      </c>
    </row>
    <row r="5064">
      <c r="A5064" s="154" t="s">
        <v>10886</v>
      </c>
      <c r="B5064" s="154" t="s">
        <v>10887</v>
      </c>
      <c r="D5064" s="154">
        <v>2.0</v>
      </c>
      <c r="E5064" s="154" t="s">
        <v>897</v>
      </c>
      <c r="F5064" s="154" t="s">
        <v>10888</v>
      </c>
      <c r="G5064" s="156">
        <v>0.0</v>
      </c>
      <c r="H5064" s="156">
        <v>0.0</v>
      </c>
      <c r="I5064" s="154" t="s">
        <v>10889</v>
      </c>
      <c r="J5064" s="154" t="s">
        <v>10890</v>
      </c>
      <c r="K5064" s="154" t="s">
        <v>361</v>
      </c>
    </row>
    <row r="5065">
      <c r="A5065" s="154" t="s">
        <v>10886</v>
      </c>
      <c r="B5065" s="155"/>
      <c r="C5065" s="154" t="s">
        <v>10891</v>
      </c>
      <c r="D5065" s="155"/>
      <c r="E5065" s="155"/>
      <c r="F5065" s="154" t="s">
        <v>10888</v>
      </c>
      <c r="G5065" s="156">
        <v>0.0</v>
      </c>
      <c r="H5065" s="156">
        <v>0.0</v>
      </c>
      <c r="I5065" s="154" t="s">
        <v>10889</v>
      </c>
      <c r="J5065" s="154" t="s">
        <v>10890</v>
      </c>
      <c r="K5065" s="154" t="s">
        <v>361</v>
      </c>
    </row>
    <row r="5066">
      <c r="A5066" s="154" t="s">
        <v>10892</v>
      </c>
      <c r="B5066" s="155"/>
      <c r="C5066" s="154" t="s">
        <v>10893</v>
      </c>
      <c r="D5066" s="155"/>
      <c r="E5066" s="155"/>
      <c r="F5066" s="154" t="s">
        <v>792</v>
      </c>
      <c r="G5066" s="154" t="s">
        <v>793</v>
      </c>
      <c r="H5066" s="154" t="s">
        <v>794</v>
      </c>
      <c r="I5066" s="156">
        <v>0.0</v>
      </c>
      <c r="J5066" s="156">
        <v>0.0</v>
      </c>
      <c r="K5066" s="156">
        <v>0.0</v>
      </c>
    </row>
    <row r="5067">
      <c r="A5067" s="154" t="s">
        <v>10892</v>
      </c>
      <c r="B5067" s="154" t="s">
        <v>10894</v>
      </c>
      <c r="D5067" s="154">
        <v>2.0</v>
      </c>
      <c r="E5067" s="154" t="s">
        <v>897</v>
      </c>
      <c r="F5067" s="154" t="s">
        <v>792</v>
      </c>
      <c r="G5067" s="154" t="s">
        <v>793</v>
      </c>
      <c r="H5067" s="154" t="s">
        <v>794</v>
      </c>
      <c r="I5067" s="156">
        <v>0.0</v>
      </c>
      <c r="J5067" s="156">
        <v>0.0</v>
      </c>
      <c r="K5067" s="156">
        <v>0.0</v>
      </c>
    </row>
    <row r="5068">
      <c r="A5068" s="154" t="s">
        <v>10895</v>
      </c>
      <c r="B5068" s="155"/>
      <c r="C5068" s="154" t="s">
        <v>10896</v>
      </c>
      <c r="D5068" s="155"/>
      <c r="E5068" s="155"/>
      <c r="F5068" s="154" t="s">
        <v>9837</v>
      </c>
      <c r="G5068" s="156">
        <v>0.0</v>
      </c>
      <c r="H5068" s="156">
        <v>0.0</v>
      </c>
      <c r="I5068" s="154" t="s">
        <v>3356</v>
      </c>
      <c r="J5068" s="154" t="s">
        <v>9838</v>
      </c>
      <c r="K5068" s="154" t="s">
        <v>361</v>
      </c>
    </row>
    <row r="5069">
      <c r="A5069" s="154" t="s">
        <v>10895</v>
      </c>
      <c r="B5069" s="154" t="s">
        <v>10897</v>
      </c>
      <c r="D5069" s="154">
        <v>2.0</v>
      </c>
      <c r="E5069" s="154" t="s">
        <v>897</v>
      </c>
      <c r="F5069" s="154" t="s">
        <v>9837</v>
      </c>
      <c r="G5069" s="156">
        <v>0.0</v>
      </c>
      <c r="H5069" s="156">
        <v>0.0</v>
      </c>
      <c r="I5069" s="154" t="s">
        <v>3356</v>
      </c>
      <c r="J5069" s="154" t="s">
        <v>9838</v>
      </c>
      <c r="K5069" s="154" t="s">
        <v>361</v>
      </c>
    </row>
    <row r="5070">
      <c r="A5070" s="154" t="s">
        <v>10898</v>
      </c>
      <c r="B5070" s="155"/>
      <c r="C5070" s="154" t="s">
        <v>10899</v>
      </c>
      <c r="D5070" s="155"/>
      <c r="E5070" s="155"/>
      <c r="F5070" s="154" t="s">
        <v>9850</v>
      </c>
      <c r="G5070" s="156">
        <v>0.0</v>
      </c>
      <c r="H5070" s="156">
        <v>0.0</v>
      </c>
      <c r="I5070" s="154" t="s">
        <v>9851</v>
      </c>
      <c r="J5070" s="154" t="s">
        <v>9852</v>
      </c>
      <c r="K5070" s="154" t="s">
        <v>760</v>
      </c>
    </row>
    <row r="5071">
      <c r="A5071" s="154" t="s">
        <v>10898</v>
      </c>
      <c r="B5071" s="154" t="s">
        <v>10900</v>
      </c>
      <c r="D5071" s="154">
        <v>2.0</v>
      </c>
      <c r="E5071" s="154" t="s">
        <v>897</v>
      </c>
      <c r="F5071" s="154" t="s">
        <v>1619</v>
      </c>
      <c r="G5071" s="154">
        <v>4.3903333E7</v>
      </c>
      <c r="H5071" s="154" t="s">
        <v>1620</v>
      </c>
      <c r="I5071" s="156">
        <v>0.0</v>
      </c>
      <c r="J5071" s="156">
        <v>0.0</v>
      </c>
      <c r="K5071" s="156">
        <v>0.0</v>
      </c>
    </row>
    <row r="5072">
      <c r="A5072" s="154" t="s">
        <v>10901</v>
      </c>
      <c r="B5072" s="154" t="s">
        <v>10902</v>
      </c>
      <c r="D5072" s="154">
        <v>2.0</v>
      </c>
      <c r="E5072" s="154" t="s">
        <v>897</v>
      </c>
      <c r="F5072" s="154" t="s">
        <v>1619</v>
      </c>
      <c r="G5072" s="154">
        <v>4.3903333E7</v>
      </c>
      <c r="H5072" s="154" t="s">
        <v>1620</v>
      </c>
      <c r="I5072" s="156">
        <v>0.0</v>
      </c>
      <c r="J5072" s="156">
        <v>0.0</v>
      </c>
      <c r="K5072" s="156">
        <v>0.0</v>
      </c>
    </row>
    <row r="5073">
      <c r="A5073" s="154" t="s">
        <v>10901</v>
      </c>
      <c r="B5073" s="155"/>
      <c r="C5073" s="154" t="s">
        <v>10903</v>
      </c>
      <c r="D5073" s="155"/>
      <c r="E5073" s="155"/>
      <c r="F5073" s="154" t="s">
        <v>1619</v>
      </c>
      <c r="G5073" s="154">
        <v>4.3903333E7</v>
      </c>
      <c r="H5073" s="154" t="s">
        <v>1620</v>
      </c>
      <c r="I5073" s="156">
        <v>0.0</v>
      </c>
      <c r="J5073" s="156">
        <v>0.0</v>
      </c>
      <c r="K5073" s="156">
        <v>0.0</v>
      </c>
    </row>
    <row r="5074">
      <c r="A5074" s="154" t="s">
        <v>10904</v>
      </c>
      <c r="B5074" s="155"/>
      <c r="C5074" s="154" t="s">
        <v>10905</v>
      </c>
      <c r="D5074" s="155"/>
      <c r="E5074" s="155"/>
      <c r="F5074" s="154" t="s">
        <v>10906</v>
      </c>
      <c r="G5074" s="156">
        <v>0.0</v>
      </c>
      <c r="H5074" s="154" t="s">
        <v>10907</v>
      </c>
      <c r="I5074" s="154" t="s">
        <v>10908</v>
      </c>
      <c r="J5074" s="154" t="s">
        <v>10909</v>
      </c>
      <c r="K5074" s="154" t="s">
        <v>361</v>
      </c>
    </row>
    <row r="5075">
      <c r="A5075" s="154" t="s">
        <v>10904</v>
      </c>
      <c r="B5075" s="154" t="s">
        <v>10910</v>
      </c>
      <c r="D5075" s="154">
        <v>2.0</v>
      </c>
      <c r="E5075" s="154" t="s">
        <v>897</v>
      </c>
      <c r="F5075" s="154" t="s">
        <v>10906</v>
      </c>
      <c r="G5075" s="156">
        <v>0.0</v>
      </c>
      <c r="H5075" s="154" t="s">
        <v>10907</v>
      </c>
      <c r="I5075" s="154" t="s">
        <v>10908</v>
      </c>
      <c r="J5075" s="154" t="s">
        <v>10909</v>
      </c>
      <c r="K5075" s="154" t="s">
        <v>361</v>
      </c>
    </row>
    <row r="5076">
      <c r="A5076" s="154" t="s">
        <v>10911</v>
      </c>
      <c r="B5076" s="155"/>
      <c r="C5076" s="154" t="s">
        <v>10912</v>
      </c>
      <c r="D5076" s="155"/>
      <c r="E5076" s="155"/>
      <c r="F5076" s="154" t="s">
        <v>2947</v>
      </c>
      <c r="G5076" s="154">
        <v>4.0</v>
      </c>
      <c r="H5076" s="154" t="s">
        <v>2948</v>
      </c>
      <c r="I5076" s="156">
        <v>0.0</v>
      </c>
      <c r="J5076" s="156">
        <v>0.0</v>
      </c>
      <c r="K5076" s="156">
        <v>0.0</v>
      </c>
    </row>
    <row r="5077">
      <c r="A5077" s="154" t="s">
        <v>10911</v>
      </c>
      <c r="B5077" s="154" t="s">
        <v>10913</v>
      </c>
      <c r="D5077" s="154">
        <v>2.0</v>
      </c>
      <c r="E5077" s="154" t="s">
        <v>897</v>
      </c>
      <c r="F5077" s="154" t="s">
        <v>10914</v>
      </c>
      <c r="G5077" s="156">
        <v>0.0</v>
      </c>
      <c r="H5077" s="154" t="s">
        <v>10915</v>
      </c>
      <c r="I5077" s="154" t="s">
        <v>10916</v>
      </c>
      <c r="J5077" s="156">
        <v>0.0</v>
      </c>
      <c r="K5077" s="154" t="s">
        <v>197</v>
      </c>
    </row>
    <row r="5078">
      <c r="A5078" s="154" t="s">
        <v>10917</v>
      </c>
      <c r="B5078" s="154" t="s">
        <v>10918</v>
      </c>
      <c r="D5078" s="154">
        <v>2.0</v>
      </c>
      <c r="E5078" s="154" t="s">
        <v>897</v>
      </c>
      <c r="F5078" s="154" t="s">
        <v>1157</v>
      </c>
      <c r="G5078" s="154" t="s">
        <v>1158</v>
      </c>
      <c r="H5078" s="154" t="s">
        <v>1159</v>
      </c>
      <c r="I5078" s="156">
        <v>0.0</v>
      </c>
      <c r="J5078" s="156">
        <v>0.0</v>
      </c>
      <c r="K5078" s="156">
        <v>0.0</v>
      </c>
    </row>
    <row r="5079">
      <c r="A5079" s="154" t="s">
        <v>10917</v>
      </c>
      <c r="B5079" s="155"/>
      <c r="C5079" s="154" t="s">
        <v>10919</v>
      </c>
      <c r="D5079" s="155"/>
      <c r="E5079" s="155"/>
      <c r="F5079" s="154" t="s">
        <v>10920</v>
      </c>
      <c r="G5079" s="156">
        <v>0.0</v>
      </c>
      <c r="H5079" s="154" t="s">
        <v>851</v>
      </c>
      <c r="I5079" s="154" t="s">
        <v>10921</v>
      </c>
      <c r="J5079" s="154" t="s">
        <v>10922</v>
      </c>
      <c r="K5079" s="154" t="s">
        <v>206</v>
      </c>
    </row>
    <row r="5080">
      <c r="A5080" s="154" t="s">
        <v>10923</v>
      </c>
      <c r="B5080" s="154" t="s">
        <v>10924</v>
      </c>
      <c r="D5080" s="154">
        <v>2.0</v>
      </c>
      <c r="E5080" s="154" t="s">
        <v>897</v>
      </c>
      <c r="F5080" s="154" t="s">
        <v>5029</v>
      </c>
      <c r="G5080" s="154">
        <v>4.3498188E7</v>
      </c>
      <c r="H5080" s="154" t="s">
        <v>5030</v>
      </c>
      <c r="I5080" s="154">
        <v>5.02886688E8</v>
      </c>
      <c r="J5080" s="154" t="s">
        <v>5031</v>
      </c>
      <c r="K5080" s="154" t="s">
        <v>207</v>
      </c>
    </row>
    <row r="5081">
      <c r="A5081" s="154" t="s">
        <v>10923</v>
      </c>
      <c r="B5081" s="155"/>
      <c r="C5081" s="154" t="s">
        <v>10925</v>
      </c>
      <c r="D5081" s="155"/>
      <c r="E5081" s="155"/>
      <c r="F5081" s="154" t="s">
        <v>10926</v>
      </c>
      <c r="G5081" s="156">
        <v>0.0</v>
      </c>
      <c r="H5081" s="156">
        <v>0.0</v>
      </c>
      <c r="I5081" s="154" t="s">
        <v>10719</v>
      </c>
      <c r="J5081" s="154" t="s">
        <v>10720</v>
      </c>
      <c r="K5081" s="154" t="s">
        <v>301</v>
      </c>
    </row>
    <row r="5082">
      <c r="A5082" s="154" t="s">
        <v>10927</v>
      </c>
      <c r="B5082" s="154" t="s">
        <v>10928</v>
      </c>
      <c r="D5082" s="154">
        <v>2.0</v>
      </c>
      <c r="E5082" s="154" t="s">
        <v>897</v>
      </c>
      <c r="F5082" s="154" t="s">
        <v>1619</v>
      </c>
      <c r="G5082" s="154">
        <v>4.3903333E7</v>
      </c>
      <c r="H5082" s="154" t="s">
        <v>1620</v>
      </c>
      <c r="I5082" s="156">
        <v>0.0</v>
      </c>
      <c r="J5082" s="156">
        <v>0.0</v>
      </c>
      <c r="K5082" s="156">
        <v>0.0</v>
      </c>
    </row>
    <row r="5083">
      <c r="A5083" s="154" t="s">
        <v>10927</v>
      </c>
      <c r="B5083" s="155"/>
      <c r="C5083" s="154" t="s">
        <v>10929</v>
      </c>
      <c r="D5083" s="155"/>
      <c r="E5083" s="155"/>
      <c r="F5083" s="154" t="s">
        <v>10930</v>
      </c>
      <c r="G5083" s="154" t="s">
        <v>10931</v>
      </c>
      <c r="H5083" s="156">
        <v>0.0</v>
      </c>
      <c r="I5083" s="154" t="s">
        <v>10932</v>
      </c>
      <c r="J5083" s="156">
        <v>0.0</v>
      </c>
      <c r="K5083" s="154" t="s">
        <v>361</v>
      </c>
    </row>
    <row r="5084">
      <c r="A5084" s="154" t="s">
        <v>10933</v>
      </c>
      <c r="B5084" s="154" t="s">
        <v>10934</v>
      </c>
      <c r="D5084" s="154">
        <v>2.0</v>
      </c>
      <c r="E5084" s="154" t="s">
        <v>897</v>
      </c>
      <c r="F5084" s="154" t="s">
        <v>1349</v>
      </c>
      <c r="G5084" s="156">
        <v>0.0</v>
      </c>
      <c r="H5084" s="154" t="s">
        <v>1185</v>
      </c>
      <c r="I5084" s="154" t="s">
        <v>1350</v>
      </c>
      <c r="J5084" s="154" t="s">
        <v>1351</v>
      </c>
      <c r="K5084" s="154" t="s">
        <v>846</v>
      </c>
    </row>
    <row r="5085">
      <c r="A5085" s="154" t="s">
        <v>10933</v>
      </c>
      <c r="B5085" s="155"/>
      <c r="C5085" s="154" t="s">
        <v>10935</v>
      </c>
      <c r="D5085" s="155"/>
      <c r="E5085" s="155"/>
      <c r="F5085" s="154" t="s">
        <v>1619</v>
      </c>
      <c r="G5085" s="154">
        <v>4.3903333E7</v>
      </c>
      <c r="H5085" s="154" t="s">
        <v>1620</v>
      </c>
      <c r="I5085" s="156">
        <v>0.0</v>
      </c>
      <c r="J5085" s="156">
        <v>0.0</v>
      </c>
      <c r="K5085" s="156">
        <v>0.0</v>
      </c>
    </row>
    <row r="5086">
      <c r="A5086" s="154" t="s">
        <v>10936</v>
      </c>
      <c r="B5086" s="155"/>
      <c r="C5086" s="154" t="s">
        <v>10937</v>
      </c>
      <c r="D5086" s="155"/>
      <c r="E5086" s="155"/>
      <c r="F5086" s="154" t="s">
        <v>10938</v>
      </c>
      <c r="G5086" s="154">
        <v>971.0</v>
      </c>
      <c r="H5086" s="156">
        <v>0.0</v>
      </c>
      <c r="I5086" s="154" t="s">
        <v>10939</v>
      </c>
      <c r="J5086" s="154">
        <v>971.0</v>
      </c>
      <c r="K5086" s="154" t="s">
        <v>207</v>
      </c>
    </row>
    <row r="5087">
      <c r="A5087" s="154" t="s">
        <v>10936</v>
      </c>
      <c r="B5087" s="154" t="s">
        <v>10940</v>
      </c>
      <c r="D5087" s="154">
        <v>2.0</v>
      </c>
      <c r="E5087" s="154" t="s">
        <v>897</v>
      </c>
      <c r="F5087" s="154" t="s">
        <v>1619</v>
      </c>
      <c r="G5087" s="154">
        <v>4.3903333E7</v>
      </c>
      <c r="H5087" s="154" t="s">
        <v>1620</v>
      </c>
      <c r="I5087" s="156">
        <v>0.0</v>
      </c>
      <c r="J5087" s="156">
        <v>0.0</v>
      </c>
      <c r="K5087" s="156">
        <v>0.0</v>
      </c>
    </row>
    <row r="5088">
      <c r="A5088" s="154" t="s">
        <v>10941</v>
      </c>
      <c r="B5088" s="154" t="s">
        <v>10942</v>
      </c>
      <c r="D5088" s="154">
        <v>2.0</v>
      </c>
      <c r="E5088" s="154" t="s">
        <v>897</v>
      </c>
      <c r="F5088" s="154" t="s">
        <v>1619</v>
      </c>
      <c r="G5088" s="154">
        <v>4.3903333E7</v>
      </c>
      <c r="H5088" s="154" t="s">
        <v>1620</v>
      </c>
      <c r="I5088" s="156">
        <v>0.0</v>
      </c>
      <c r="J5088" s="156">
        <v>0.0</v>
      </c>
      <c r="K5088" s="156">
        <v>0.0</v>
      </c>
    </row>
    <row r="5089">
      <c r="A5089" s="154" t="s">
        <v>10941</v>
      </c>
      <c r="B5089" s="155"/>
      <c r="C5089" s="154" t="s">
        <v>10943</v>
      </c>
      <c r="D5089" s="155"/>
      <c r="E5089" s="155"/>
      <c r="F5089" s="154" t="s">
        <v>10938</v>
      </c>
      <c r="G5089" s="154">
        <v>971.0</v>
      </c>
      <c r="H5089" s="156">
        <v>0.0</v>
      </c>
      <c r="I5089" s="154" t="s">
        <v>10939</v>
      </c>
      <c r="J5089" s="154">
        <v>971.0</v>
      </c>
      <c r="K5089" s="154" t="s">
        <v>207</v>
      </c>
    </row>
    <row r="5090">
      <c r="A5090" s="154" t="s">
        <v>10944</v>
      </c>
      <c r="B5090" s="155"/>
      <c r="C5090" s="154" t="s">
        <v>10945</v>
      </c>
      <c r="D5090" s="155"/>
      <c r="E5090" s="155"/>
      <c r="F5090" s="154" t="s">
        <v>10946</v>
      </c>
      <c r="G5090" s="156">
        <v>0.0</v>
      </c>
      <c r="H5090" s="156">
        <v>0.0</v>
      </c>
      <c r="I5090" s="154" t="s">
        <v>853</v>
      </c>
      <c r="J5090" s="154" t="s">
        <v>809</v>
      </c>
      <c r="K5090" s="154" t="s">
        <v>361</v>
      </c>
    </row>
    <row r="5091">
      <c r="A5091" s="154" t="s">
        <v>10944</v>
      </c>
      <c r="B5091" s="154" t="s">
        <v>10947</v>
      </c>
      <c r="D5091" s="154">
        <v>2.0</v>
      </c>
      <c r="E5091" s="154" t="s">
        <v>897</v>
      </c>
      <c r="F5091" s="154" t="s">
        <v>10946</v>
      </c>
      <c r="G5091" s="156">
        <v>0.0</v>
      </c>
      <c r="H5091" s="156">
        <v>0.0</v>
      </c>
      <c r="I5091" s="154" t="s">
        <v>853</v>
      </c>
      <c r="J5091" s="154" t="s">
        <v>809</v>
      </c>
      <c r="K5091" s="154" t="s">
        <v>361</v>
      </c>
    </row>
    <row r="5092">
      <c r="A5092" s="154" t="s">
        <v>10948</v>
      </c>
      <c r="B5092" s="155"/>
      <c r="C5092" s="154" t="s">
        <v>10949</v>
      </c>
      <c r="D5092" s="155"/>
      <c r="E5092" s="155"/>
      <c r="F5092" s="154" t="s">
        <v>10950</v>
      </c>
      <c r="G5092" s="156">
        <v>0.0</v>
      </c>
      <c r="H5092" s="156">
        <v>0.0</v>
      </c>
      <c r="I5092" s="154" t="s">
        <v>10951</v>
      </c>
      <c r="J5092" s="154" t="s">
        <v>10952</v>
      </c>
      <c r="K5092" s="154" t="s">
        <v>361</v>
      </c>
    </row>
    <row r="5093">
      <c r="A5093" s="154" t="s">
        <v>10948</v>
      </c>
      <c r="B5093" s="154" t="s">
        <v>10953</v>
      </c>
      <c r="D5093" s="154">
        <v>2.0</v>
      </c>
      <c r="E5093" s="154" t="s">
        <v>897</v>
      </c>
      <c r="F5093" s="154" t="s">
        <v>10954</v>
      </c>
      <c r="G5093" s="156">
        <v>0.0</v>
      </c>
      <c r="H5093" s="156">
        <v>0.0</v>
      </c>
      <c r="I5093" s="154" t="s">
        <v>10951</v>
      </c>
      <c r="J5093" s="154" t="s">
        <v>10952</v>
      </c>
      <c r="K5093" s="154" t="s">
        <v>361</v>
      </c>
    </row>
    <row r="5094">
      <c r="A5094" s="154" t="s">
        <v>10955</v>
      </c>
      <c r="B5094" s="154" t="s">
        <v>10956</v>
      </c>
      <c r="D5094" s="154">
        <v>2.0</v>
      </c>
      <c r="E5094" s="154" t="s">
        <v>897</v>
      </c>
      <c r="F5094" s="154" t="s">
        <v>2047</v>
      </c>
      <c r="G5094" s="154" t="s">
        <v>2048</v>
      </c>
      <c r="H5094" s="154" t="s">
        <v>2049</v>
      </c>
      <c r="I5094" s="154" t="s">
        <v>2050</v>
      </c>
      <c r="J5094" s="156">
        <v>0.0</v>
      </c>
      <c r="K5094" s="154" t="s">
        <v>207</v>
      </c>
    </row>
    <row r="5095">
      <c r="A5095" s="154" t="s">
        <v>10955</v>
      </c>
      <c r="B5095" s="155"/>
      <c r="C5095" s="154" t="s">
        <v>10957</v>
      </c>
      <c r="D5095" s="155"/>
      <c r="E5095" s="155"/>
      <c r="F5095" s="154" t="s">
        <v>1619</v>
      </c>
      <c r="G5095" s="154">
        <v>4.3903333E7</v>
      </c>
      <c r="H5095" s="154" t="s">
        <v>1620</v>
      </c>
      <c r="I5095" s="156">
        <v>0.0</v>
      </c>
      <c r="J5095" s="156">
        <v>0.0</v>
      </c>
      <c r="K5095" s="156">
        <v>0.0</v>
      </c>
    </row>
    <row r="5096">
      <c r="A5096" s="154" t="s">
        <v>10958</v>
      </c>
      <c r="B5096" s="155"/>
      <c r="C5096" s="154" t="s">
        <v>10959</v>
      </c>
      <c r="D5096" s="155"/>
      <c r="E5096" s="155"/>
      <c r="F5096" s="154" t="s">
        <v>1619</v>
      </c>
      <c r="G5096" s="154">
        <v>4.3903333E7</v>
      </c>
      <c r="H5096" s="154" t="s">
        <v>1620</v>
      </c>
      <c r="I5096" s="156">
        <v>0.0</v>
      </c>
      <c r="J5096" s="156">
        <v>0.0</v>
      </c>
      <c r="K5096" s="156">
        <v>0.0</v>
      </c>
    </row>
    <row r="5097">
      <c r="A5097" s="154" t="s">
        <v>10958</v>
      </c>
      <c r="B5097" s="154" t="s">
        <v>10960</v>
      </c>
      <c r="D5097" s="154">
        <v>2.0</v>
      </c>
      <c r="E5097" s="154" t="s">
        <v>897</v>
      </c>
      <c r="F5097" s="154" t="s">
        <v>3001</v>
      </c>
      <c r="G5097" s="154">
        <v>7.261337E7</v>
      </c>
      <c r="H5097" s="156">
        <v>0.0</v>
      </c>
      <c r="I5097" s="154">
        <v>5.6261337E8</v>
      </c>
      <c r="J5097" s="156">
        <v>0.0</v>
      </c>
      <c r="K5097" s="154" t="s">
        <v>2195</v>
      </c>
    </row>
    <row r="5098">
      <c r="A5098" s="154" t="s">
        <v>10961</v>
      </c>
      <c r="B5098" s="154" t="s">
        <v>10962</v>
      </c>
      <c r="D5098" s="154">
        <v>2.0</v>
      </c>
      <c r="E5098" s="154" t="s">
        <v>897</v>
      </c>
      <c r="F5098" s="154" t="s">
        <v>10849</v>
      </c>
      <c r="G5098" s="154" t="s">
        <v>10850</v>
      </c>
      <c r="H5098" s="156">
        <v>0.0</v>
      </c>
      <c r="I5098" s="154" t="s">
        <v>10851</v>
      </c>
      <c r="J5098" s="154" t="s">
        <v>10850</v>
      </c>
      <c r="K5098" s="154" t="s">
        <v>776</v>
      </c>
    </row>
    <row r="5099">
      <c r="A5099" s="154" t="s">
        <v>10961</v>
      </c>
      <c r="B5099" s="155"/>
      <c r="C5099" s="154" t="s">
        <v>10963</v>
      </c>
      <c r="D5099" s="155"/>
      <c r="E5099" s="155"/>
      <c r="F5099" s="154" t="s">
        <v>10849</v>
      </c>
      <c r="G5099" s="154" t="s">
        <v>10850</v>
      </c>
      <c r="H5099" s="156">
        <v>0.0</v>
      </c>
      <c r="I5099" s="154" t="s">
        <v>10851</v>
      </c>
      <c r="J5099" s="154" t="s">
        <v>10850</v>
      </c>
      <c r="K5099" s="154" t="s">
        <v>776</v>
      </c>
    </row>
    <row r="5100">
      <c r="A5100" s="154" t="s">
        <v>10964</v>
      </c>
      <c r="B5100" s="154" t="s">
        <v>10965</v>
      </c>
      <c r="D5100" s="154">
        <v>2.0</v>
      </c>
      <c r="E5100" s="154" t="s">
        <v>897</v>
      </c>
      <c r="F5100" s="154" t="s">
        <v>10966</v>
      </c>
      <c r="G5100" s="156">
        <v>0.0</v>
      </c>
      <c r="H5100" s="154" t="s">
        <v>10967</v>
      </c>
      <c r="I5100" s="154" t="s">
        <v>10968</v>
      </c>
      <c r="J5100" s="154" t="s">
        <v>10969</v>
      </c>
      <c r="K5100" s="154" t="s">
        <v>1537</v>
      </c>
    </row>
    <row r="5101">
      <c r="A5101" s="154" t="s">
        <v>10964</v>
      </c>
      <c r="B5101" s="155"/>
      <c r="C5101" s="154" t="s">
        <v>10970</v>
      </c>
      <c r="D5101" s="155"/>
      <c r="E5101" s="155"/>
      <c r="F5101" s="154" t="s">
        <v>10966</v>
      </c>
      <c r="G5101" s="156">
        <v>0.0</v>
      </c>
      <c r="H5101" s="154" t="s">
        <v>10967</v>
      </c>
      <c r="I5101" s="154" t="s">
        <v>10968</v>
      </c>
      <c r="J5101" s="154" t="s">
        <v>10969</v>
      </c>
      <c r="K5101" s="154" t="s">
        <v>1537</v>
      </c>
    </row>
    <row r="5102">
      <c r="A5102" s="154" t="s">
        <v>10971</v>
      </c>
      <c r="B5102" s="154" t="s">
        <v>10972</v>
      </c>
      <c r="D5102" s="154">
        <v>2.0</v>
      </c>
      <c r="E5102" s="154" t="s">
        <v>897</v>
      </c>
      <c r="F5102" s="154" t="s">
        <v>10966</v>
      </c>
      <c r="G5102" s="156">
        <v>0.0</v>
      </c>
      <c r="H5102" s="154" t="s">
        <v>10967</v>
      </c>
      <c r="I5102" s="154" t="s">
        <v>10968</v>
      </c>
      <c r="J5102" s="154" t="s">
        <v>10969</v>
      </c>
      <c r="K5102" s="154" t="s">
        <v>1537</v>
      </c>
    </row>
    <row r="5103">
      <c r="A5103" s="154" t="s">
        <v>10971</v>
      </c>
      <c r="B5103" s="155"/>
      <c r="C5103" s="154" t="s">
        <v>10973</v>
      </c>
      <c r="D5103" s="155"/>
      <c r="E5103" s="155"/>
      <c r="F5103" s="154" t="s">
        <v>10966</v>
      </c>
      <c r="G5103" s="156">
        <v>0.0</v>
      </c>
      <c r="H5103" s="154" t="s">
        <v>10967</v>
      </c>
      <c r="I5103" s="154" t="s">
        <v>10968</v>
      </c>
      <c r="J5103" s="154" t="s">
        <v>10969</v>
      </c>
      <c r="K5103" s="154" t="s">
        <v>1537</v>
      </c>
    </row>
    <row r="5104">
      <c r="A5104" s="154" t="s">
        <v>10974</v>
      </c>
      <c r="B5104" s="154" t="s">
        <v>10975</v>
      </c>
      <c r="D5104" s="154">
        <v>2.0</v>
      </c>
      <c r="E5104" s="154" t="s">
        <v>897</v>
      </c>
      <c r="F5104" s="154" t="s">
        <v>10849</v>
      </c>
      <c r="G5104" s="154" t="s">
        <v>10850</v>
      </c>
      <c r="H5104" s="156">
        <v>0.0</v>
      </c>
      <c r="I5104" s="154" t="s">
        <v>10851</v>
      </c>
      <c r="J5104" s="154" t="s">
        <v>10850</v>
      </c>
      <c r="K5104" s="154" t="s">
        <v>776</v>
      </c>
    </row>
    <row r="5105">
      <c r="A5105" s="154" t="s">
        <v>10974</v>
      </c>
      <c r="B5105" s="155"/>
      <c r="C5105" s="154" t="s">
        <v>10976</v>
      </c>
      <c r="D5105" s="155"/>
      <c r="E5105" s="155"/>
      <c r="F5105" s="154" t="s">
        <v>10849</v>
      </c>
      <c r="G5105" s="154" t="s">
        <v>10850</v>
      </c>
      <c r="H5105" s="156">
        <v>0.0</v>
      </c>
      <c r="I5105" s="154" t="s">
        <v>10851</v>
      </c>
      <c r="J5105" s="154" t="s">
        <v>10850</v>
      </c>
      <c r="K5105" s="154" t="s">
        <v>776</v>
      </c>
    </row>
    <row r="5106">
      <c r="A5106" s="154" t="s">
        <v>10977</v>
      </c>
      <c r="B5106" s="154" t="s">
        <v>10978</v>
      </c>
      <c r="D5106" s="154">
        <v>2.0</v>
      </c>
      <c r="E5106" s="154" t="s">
        <v>897</v>
      </c>
      <c r="F5106" s="154" t="s">
        <v>10979</v>
      </c>
      <c r="G5106" s="154" t="s">
        <v>10980</v>
      </c>
      <c r="H5106" s="154" t="s">
        <v>10981</v>
      </c>
      <c r="I5106" s="154" t="s">
        <v>10982</v>
      </c>
      <c r="J5106" s="156">
        <v>0.0</v>
      </c>
      <c r="K5106" s="154" t="s">
        <v>798</v>
      </c>
    </row>
    <row r="5107">
      <c r="A5107" s="154" t="s">
        <v>10977</v>
      </c>
      <c r="B5107" s="155"/>
      <c r="C5107" s="154" t="s">
        <v>10983</v>
      </c>
      <c r="D5107" s="155"/>
      <c r="E5107" s="155"/>
      <c r="F5107" s="154" t="s">
        <v>10979</v>
      </c>
      <c r="G5107" s="154" t="s">
        <v>10980</v>
      </c>
      <c r="H5107" s="154" t="s">
        <v>10981</v>
      </c>
      <c r="I5107" s="154" t="s">
        <v>10982</v>
      </c>
      <c r="J5107" s="156">
        <v>0.0</v>
      </c>
      <c r="K5107" s="154" t="s">
        <v>798</v>
      </c>
    </row>
    <row r="5108">
      <c r="A5108" s="154" t="s">
        <v>10984</v>
      </c>
      <c r="B5108" s="155"/>
      <c r="C5108" s="154" t="s">
        <v>10985</v>
      </c>
      <c r="D5108" s="155"/>
      <c r="E5108" s="155"/>
      <c r="F5108" s="154" t="s">
        <v>1619</v>
      </c>
      <c r="G5108" s="154">
        <v>4.3903333E7</v>
      </c>
      <c r="H5108" s="154" t="s">
        <v>1620</v>
      </c>
      <c r="I5108" s="156">
        <v>0.0</v>
      </c>
      <c r="J5108" s="156">
        <v>0.0</v>
      </c>
      <c r="K5108" s="156">
        <v>0.0</v>
      </c>
    </row>
    <row r="5109">
      <c r="A5109" s="154" t="s">
        <v>10984</v>
      </c>
      <c r="B5109" s="154" t="s">
        <v>10986</v>
      </c>
      <c r="D5109" s="154">
        <v>2.0</v>
      </c>
      <c r="E5109" s="154" t="s">
        <v>897</v>
      </c>
      <c r="F5109" s="154" t="s">
        <v>9314</v>
      </c>
      <c r="G5109" s="154" t="s">
        <v>9315</v>
      </c>
      <c r="H5109" s="154" t="s">
        <v>9316</v>
      </c>
      <c r="I5109" s="154">
        <v>9.71506571363E11</v>
      </c>
      <c r="J5109" s="156">
        <v>0.0</v>
      </c>
      <c r="K5109" s="154" t="s">
        <v>206</v>
      </c>
    </row>
    <row r="5110">
      <c r="A5110" s="154" t="s">
        <v>10987</v>
      </c>
      <c r="B5110" s="155"/>
      <c r="C5110" s="154" t="s">
        <v>10988</v>
      </c>
      <c r="D5110" s="155"/>
      <c r="E5110" s="155"/>
      <c r="F5110" s="154" t="s">
        <v>1619</v>
      </c>
      <c r="G5110" s="154">
        <v>4.3903333E7</v>
      </c>
      <c r="H5110" s="154" t="s">
        <v>1620</v>
      </c>
      <c r="I5110" s="156">
        <v>0.0</v>
      </c>
      <c r="J5110" s="156">
        <v>0.0</v>
      </c>
      <c r="K5110" s="156">
        <v>0.0</v>
      </c>
    </row>
    <row r="5111">
      <c r="A5111" s="154" t="s">
        <v>10987</v>
      </c>
      <c r="B5111" s="154" t="s">
        <v>10989</v>
      </c>
      <c r="D5111" s="154">
        <v>2.0</v>
      </c>
      <c r="E5111" s="154" t="s">
        <v>897</v>
      </c>
      <c r="F5111" s="154" t="s">
        <v>1270</v>
      </c>
      <c r="G5111" s="156">
        <v>0.0</v>
      </c>
      <c r="H5111" s="154" t="s">
        <v>1271</v>
      </c>
      <c r="I5111" s="154" t="s">
        <v>1272</v>
      </c>
      <c r="J5111" s="154" t="s">
        <v>1273</v>
      </c>
      <c r="K5111" s="154" t="s">
        <v>846</v>
      </c>
    </row>
    <row r="5112">
      <c r="A5112" s="154" t="s">
        <v>10990</v>
      </c>
      <c r="B5112" s="155"/>
      <c r="C5112" s="154" t="s">
        <v>10991</v>
      </c>
      <c r="D5112" s="155"/>
      <c r="E5112" s="155"/>
      <c r="F5112" s="154" t="s">
        <v>1619</v>
      </c>
      <c r="G5112" s="154">
        <v>4.3903333E7</v>
      </c>
      <c r="H5112" s="154" t="s">
        <v>1620</v>
      </c>
      <c r="I5112" s="156">
        <v>0.0</v>
      </c>
      <c r="J5112" s="156">
        <v>0.0</v>
      </c>
      <c r="K5112" s="156">
        <v>0.0</v>
      </c>
    </row>
    <row r="5113">
      <c r="A5113" s="154" t="s">
        <v>10990</v>
      </c>
      <c r="B5113" s="154" t="s">
        <v>10992</v>
      </c>
      <c r="D5113" s="154">
        <v>2.0</v>
      </c>
      <c r="E5113" s="154" t="s">
        <v>897</v>
      </c>
      <c r="F5113" s="154" t="s">
        <v>1270</v>
      </c>
      <c r="G5113" s="156">
        <v>0.0</v>
      </c>
      <c r="H5113" s="154" t="s">
        <v>1271</v>
      </c>
      <c r="I5113" s="154" t="s">
        <v>1272</v>
      </c>
      <c r="J5113" s="154" t="s">
        <v>1273</v>
      </c>
      <c r="K5113" s="154" t="s">
        <v>846</v>
      </c>
    </row>
    <row r="5114">
      <c r="A5114" s="154" t="s">
        <v>10993</v>
      </c>
      <c r="B5114" s="155"/>
      <c r="C5114" s="154" t="s">
        <v>10994</v>
      </c>
      <c r="D5114" s="155"/>
      <c r="E5114" s="155"/>
      <c r="F5114" s="154" t="s">
        <v>10078</v>
      </c>
      <c r="G5114" s="154">
        <v>5.04952597E8</v>
      </c>
      <c r="H5114" s="156">
        <v>0.0</v>
      </c>
      <c r="I5114" s="154">
        <v>5.04952597E8</v>
      </c>
      <c r="J5114" s="156">
        <v>0.0</v>
      </c>
      <c r="K5114" s="154" t="s">
        <v>939</v>
      </c>
    </row>
    <row r="5115">
      <c r="A5115" s="154" t="s">
        <v>10993</v>
      </c>
      <c r="B5115" s="154" t="s">
        <v>10995</v>
      </c>
      <c r="D5115" s="154">
        <v>2.0</v>
      </c>
      <c r="E5115" s="154" t="s">
        <v>897</v>
      </c>
      <c r="F5115" s="154" t="s">
        <v>10078</v>
      </c>
      <c r="G5115" s="154">
        <v>5.04952597E8</v>
      </c>
      <c r="H5115" s="156">
        <v>0.0</v>
      </c>
      <c r="I5115" s="154">
        <v>5.04952597E8</v>
      </c>
      <c r="J5115" s="156">
        <v>0.0</v>
      </c>
      <c r="K5115" s="154" t="s">
        <v>939</v>
      </c>
    </row>
    <row r="5116">
      <c r="A5116" s="154" t="s">
        <v>10996</v>
      </c>
      <c r="B5116" s="154" t="s">
        <v>10997</v>
      </c>
      <c r="D5116" s="154">
        <v>2.0</v>
      </c>
      <c r="E5116" s="154" t="s">
        <v>897</v>
      </c>
      <c r="F5116" s="154" t="s">
        <v>1270</v>
      </c>
      <c r="G5116" s="156">
        <v>0.0</v>
      </c>
      <c r="H5116" s="154" t="s">
        <v>1271</v>
      </c>
      <c r="I5116" s="154" t="s">
        <v>1272</v>
      </c>
      <c r="J5116" s="154" t="s">
        <v>1273</v>
      </c>
      <c r="K5116" s="154" t="s">
        <v>846</v>
      </c>
    </row>
    <row r="5117">
      <c r="A5117" s="154" t="s">
        <v>10996</v>
      </c>
      <c r="B5117" s="155"/>
      <c r="C5117" s="154" t="s">
        <v>10998</v>
      </c>
      <c r="D5117" s="155"/>
      <c r="E5117" s="155"/>
      <c r="F5117" s="154" t="s">
        <v>1619</v>
      </c>
      <c r="G5117" s="154">
        <v>4.3903333E7</v>
      </c>
      <c r="H5117" s="154" t="s">
        <v>1620</v>
      </c>
      <c r="I5117" s="156">
        <v>0.0</v>
      </c>
      <c r="J5117" s="156">
        <v>0.0</v>
      </c>
      <c r="K5117" s="156">
        <v>0.0</v>
      </c>
    </row>
    <row r="5118">
      <c r="A5118" s="154" t="s">
        <v>10999</v>
      </c>
      <c r="B5118" s="154" t="s">
        <v>11000</v>
      </c>
      <c r="D5118" s="154">
        <v>2.0</v>
      </c>
      <c r="E5118" s="154" t="s">
        <v>897</v>
      </c>
      <c r="F5118" s="154" t="s">
        <v>2360</v>
      </c>
      <c r="G5118" s="154" t="s">
        <v>2361</v>
      </c>
      <c r="H5118" s="156">
        <v>0.0</v>
      </c>
      <c r="I5118" s="154">
        <v>9.71504626233E11</v>
      </c>
      <c r="J5118" s="156">
        <v>0.0</v>
      </c>
      <c r="K5118" s="154" t="s">
        <v>846</v>
      </c>
    </row>
    <row r="5119">
      <c r="A5119" s="154" t="s">
        <v>10999</v>
      </c>
      <c r="B5119" s="155"/>
      <c r="C5119" s="154" t="s">
        <v>11001</v>
      </c>
      <c r="D5119" s="155"/>
      <c r="E5119" s="155"/>
      <c r="F5119" s="154" t="s">
        <v>2360</v>
      </c>
      <c r="G5119" s="154" t="s">
        <v>2361</v>
      </c>
      <c r="H5119" s="156">
        <v>0.0</v>
      </c>
      <c r="I5119" s="154">
        <v>9.71504626233E11</v>
      </c>
      <c r="J5119" s="156">
        <v>0.0</v>
      </c>
      <c r="K5119" s="154" t="s">
        <v>846</v>
      </c>
    </row>
    <row r="5120">
      <c r="A5120" s="154" t="s">
        <v>11002</v>
      </c>
      <c r="B5120" s="155"/>
      <c r="C5120" s="154" t="s">
        <v>11003</v>
      </c>
      <c r="D5120" s="155"/>
      <c r="E5120" s="155"/>
      <c r="F5120" s="154" t="s">
        <v>10914</v>
      </c>
      <c r="G5120" s="156">
        <v>0.0</v>
      </c>
      <c r="H5120" s="154" t="s">
        <v>10915</v>
      </c>
      <c r="I5120" s="154" t="s">
        <v>10916</v>
      </c>
      <c r="J5120" s="156">
        <v>0.0</v>
      </c>
      <c r="K5120" s="154" t="s">
        <v>197</v>
      </c>
    </row>
    <row r="5121">
      <c r="A5121" s="154" t="s">
        <v>11002</v>
      </c>
      <c r="B5121" s="154" t="s">
        <v>11004</v>
      </c>
      <c r="D5121" s="154">
        <v>2.0</v>
      </c>
      <c r="E5121" s="154" t="s">
        <v>897</v>
      </c>
      <c r="F5121" s="154" t="s">
        <v>10914</v>
      </c>
      <c r="G5121" s="156">
        <v>0.0</v>
      </c>
      <c r="H5121" s="154" t="s">
        <v>10915</v>
      </c>
      <c r="I5121" s="154" t="s">
        <v>10916</v>
      </c>
      <c r="J5121" s="156">
        <v>0.0</v>
      </c>
      <c r="K5121" s="154" t="s">
        <v>197</v>
      </c>
    </row>
    <row r="5122">
      <c r="A5122" s="154" t="s">
        <v>11005</v>
      </c>
      <c r="B5122" s="154" t="s">
        <v>11006</v>
      </c>
      <c r="D5122" s="154">
        <v>2.0</v>
      </c>
      <c r="E5122" s="154" t="s">
        <v>897</v>
      </c>
      <c r="F5122" s="154" t="s">
        <v>5029</v>
      </c>
      <c r="G5122" s="154">
        <v>4.3498188E7</v>
      </c>
      <c r="H5122" s="154" t="s">
        <v>5030</v>
      </c>
      <c r="I5122" s="154">
        <v>5.02886688E8</v>
      </c>
      <c r="J5122" s="154" t="s">
        <v>5031</v>
      </c>
      <c r="K5122" s="154" t="s">
        <v>207</v>
      </c>
    </row>
    <row r="5123">
      <c r="A5123" s="154" t="s">
        <v>11005</v>
      </c>
      <c r="B5123" s="155"/>
      <c r="C5123" s="154" t="s">
        <v>11007</v>
      </c>
      <c r="D5123" s="155"/>
      <c r="E5123" s="155"/>
      <c r="F5123" s="154" t="s">
        <v>5029</v>
      </c>
      <c r="G5123" s="154">
        <v>4.3498188E7</v>
      </c>
      <c r="H5123" s="154" t="s">
        <v>5030</v>
      </c>
      <c r="I5123" s="154">
        <v>5.02886688E8</v>
      </c>
      <c r="J5123" s="154" t="s">
        <v>5031</v>
      </c>
      <c r="K5123" s="154" t="s">
        <v>207</v>
      </c>
    </row>
    <row r="5124">
      <c r="A5124" s="154" t="s">
        <v>11008</v>
      </c>
      <c r="B5124" s="155"/>
      <c r="C5124" s="154" t="s">
        <v>11009</v>
      </c>
      <c r="D5124" s="155"/>
      <c r="E5124" s="155"/>
      <c r="F5124" s="154" t="s">
        <v>1352</v>
      </c>
      <c r="G5124" s="154" t="s">
        <v>1353</v>
      </c>
      <c r="H5124" s="154" t="s">
        <v>1354</v>
      </c>
      <c r="I5124" s="154" t="s">
        <v>1355</v>
      </c>
      <c r="J5124" s="154" t="s">
        <v>1356</v>
      </c>
      <c r="K5124" s="154" t="s">
        <v>846</v>
      </c>
    </row>
    <row r="5125">
      <c r="A5125" s="154" t="s">
        <v>11008</v>
      </c>
      <c r="B5125" s="154" t="s">
        <v>11010</v>
      </c>
      <c r="D5125" s="154">
        <v>2.0</v>
      </c>
      <c r="E5125" s="154" t="s">
        <v>897</v>
      </c>
      <c r="F5125" s="154" t="s">
        <v>1349</v>
      </c>
      <c r="G5125" s="156">
        <v>0.0</v>
      </c>
      <c r="H5125" s="154" t="s">
        <v>1185</v>
      </c>
      <c r="I5125" s="154" t="s">
        <v>1350</v>
      </c>
      <c r="J5125" s="154" t="s">
        <v>1351</v>
      </c>
      <c r="K5125" s="154" t="s">
        <v>846</v>
      </c>
    </row>
    <row r="5126">
      <c r="A5126" s="154" t="s">
        <v>11011</v>
      </c>
      <c r="B5126" s="155"/>
      <c r="C5126" s="154" t="s">
        <v>11012</v>
      </c>
      <c r="D5126" s="155"/>
      <c r="E5126" s="155"/>
      <c r="F5126" s="154" t="s">
        <v>1619</v>
      </c>
      <c r="G5126" s="154">
        <v>4.3903333E7</v>
      </c>
      <c r="H5126" s="154" t="s">
        <v>1620</v>
      </c>
      <c r="I5126" s="156">
        <v>0.0</v>
      </c>
      <c r="J5126" s="156">
        <v>0.0</v>
      </c>
      <c r="K5126" s="156">
        <v>0.0</v>
      </c>
    </row>
    <row r="5127">
      <c r="A5127" s="154" t="s">
        <v>11011</v>
      </c>
      <c r="B5127" s="154" t="s">
        <v>11013</v>
      </c>
      <c r="D5127" s="154">
        <v>2.0</v>
      </c>
      <c r="E5127" s="154" t="s">
        <v>897</v>
      </c>
      <c r="F5127" s="154" t="s">
        <v>11014</v>
      </c>
      <c r="G5127" s="156">
        <v>0.0</v>
      </c>
      <c r="H5127" s="154" t="s">
        <v>11015</v>
      </c>
      <c r="I5127" s="154" t="s">
        <v>11016</v>
      </c>
      <c r="J5127" s="154" t="s">
        <v>809</v>
      </c>
      <c r="K5127" s="154" t="s">
        <v>361</v>
      </c>
    </row>
    <row r="5128">
      <c r="A5128" s="154" t="s">
        <v>11017</v>
      </c>
      <c r="B5128" s="154" t="s">
        <v>11018</v>
      </c>
      <c r="C5128" s="155"/>
      <c r="D5128" s="154">
        <v>2.0</v>
      </c>
      <c r="E5128" s="154" t="s">
        <v>897</v>
      </c>
      <c r="F5128" s="154" t="s">
        <v>2047</v>
      </c>
      <c r="G5128" s="154" t="s">
        <v>2048</v>
      </c>
      <c r="H5128" s="154" t="s">
        <v>2049</v>
      </c>
      <c r="I5128" s="154" t="s">
        <v>2050</v>
      </c>
      <c r="J5128" s="156">
        <v>0.0</v>
      </c>
      <c r="K5128" s="154" t="s">
        <v>207</v>
      </c>
    </row>
    <row r="5129">
      <c r="A5129" s="154" t="s">
        <v>11017</v>
      </c>
      <c r="B5129" s="155"/>
      <c r="C5129" s="154" t="s">
        <v>11018</v>
      </c>
      <c r="D5129" s="155"/>
      <c r="E5129" s="155"/>
      <c r="F5129" s="154" t="s">
        <v>2047</v>
      </c>
      <c r="G5129" s="154" t="s">
        <v>2048</v>
      </c>
      <c r="H5129" s="154" t="s">
        <v>2049</v>
      </c>
      <c r="I5129" s="154" t="s">
        <v>2050</v>
      </c>
      <c r="J5129" s="156">
        <v>0.0</v>
      </c>
      <c r="K5129" s="154" t="s">
        <v>207</v>
      </c>
    </row>
    <row r="5130">
      <c r="A5130" s="154" t="s">
        <v>11019</v>
      </c>
      <c r="B5130" s="155"/>
      <c r="C5130" s="154" t="s">
        <v>11020</v>
      </c>
      <c r="D5130" s="155"/>
      <c r="E5130" s="155"/>
      <c r="F5130" s="154" t="s">
        <v>1619</v>
      </c>
      <c r="G5130" s="154">
        <v>4.3903333E7</v>
      </c>
      <c r="H5130" s="154" t="s">
        <v>1620</v>
      </c>
      <c r="I5130" s="156">
        <v>0.0</v>
      </c>
      <c r="J5130" s="156">
        <v>0.0</v>
      </c>
      <c r="K5130" s="156">
        <v>0.0</v>
      </c>
    </row>
    <row r="5131">
      <c r="A5131" s="154" t="s">
        <v>11019</v>
      </c>
      <c r="B5131" s="154" t="s">
        <v>11021</v>
      </c>
      <c r="D5131" s="154">
        <v>2.0</v>
      </c>
      <c r="E5131" s="154" t="s">
        <v>897</v>
      </c>
      <c r="F5131" s="154" t="s">
        <v>2968</v>
      </c>
      <c r="G5131" s="156">
        <v>0.0</v>
      </c>
      <c r="H5131" s="154" t="s">
        <v>1437</v>
      </c>
      <c r="I5131" s="154" t="s">
        <v>2969</v>
      </c>
      <c r="J5131" s="156">
        <v>0.0</v>
      </c>
      <c r="K5131" s="154" t="s">
        <v>1426</v>
      </c>
    </row>
    <row r="5132">
      <c r="A5132" s="154" t="s">
        <v>11022</v>
      </c>
      <c r="B5132" s="155"/>
      <c r="C5132" s="154" t="s">
        <v>11023</v>
      </c>
      <c r="D5132" s="155"/>
      <c r="E5132" s="155"/>
      <c r="F5132" s="154" t="s">
        <v>11024</v>
      </c>
      <c r="G5132" s="154" t="s">
        <v>11025</v>
      </c>
      <c r="H5132" s="154" t="s">
        <v>11026</v>
      </c>
      <c r="I5132" s="154" t="s">
        <v>11027</v>
      </c>
      <c r="J5132" s="154" t="s">
        <v>11028</v>
      </c>
      <c r="K5132" s="154" t="s">
        <v>361</v>
      </c>
    </row>
    <row r="5133">
      <c r="A5133" s="154" t="s">
        <v>11022</v>
      </c>
      <c r="B5133" s="154" t="s">
        <v>11029</v>
      </c>
      <c r="D5133" s="154">
        <v>2.0</v>
      </c>
      <c r="E5133" s="154" t="s">
        <v>897</v>
      </c>
      <c r="F5133" s="154" t="s">
        <v>1619</v>
      </c>
      <c r="G5133" s="154">
        <v>4.3903333E7</v>
      </c>
      <c r="H5133" s="154" t="s">
        <v>1620</v>
      </c>
      <c r="I5133" s="156">
        <v>0.0</v>
      </c>
      <c r="J5133" s="156">
        <v>0.0</v>
      </c>
      <c r="K5133" s="156">
        <v>0.0</v>
      </c>
    </row>
    <row r="5134">
      <c r="A5134" s="154" t="s">
        <v>11030</v>
      </c>
      <c r="B5134" s="154" t="s">
        <v>11031</v>
      </c>
      <c r="D5134" s="154">
        <v>2.0</v>
      </c>
      <c r="E5134" s="154" t="s">
        <v>897</v>
      </c>
      <c r="F5134" s="154" t="s">
        <v>3492</v>
      </c>
      <c r="G5134" s="156">
        <v>0.0</v>
      </c>
      <c r="H5134" s="154" t="s">
        <v>3493</v>
      </c>
      <c r="I5134" s="154" t="s">
        <v>3494</v>
      </c>
      <c r="J5134" s="156">
        <v>0.0</v>
      </c>
      <c r="K5134" s="154" t="s">
        <v>914</v>
      </c>
    </row>
    <row r="5135">
      <c r="A5135" s="154" t="s">
        <v>11030</v>
      </c>
      <c r="B5135" s="155"/>
      <c r="C5135" s="154" t="s">
        <v>11032</v>
      </c>
      <c r="D5135" s="155"/>
      <c r="E5135" s="155"/>
      <c r="F5135" s="154" t="s">
        <v>3492</v>
      </c>
      <c r="G5135" s="156">
        <v>0.0</v>
      </c>
      <c r="H5135" s="154" t="s">
        <v>3493</v>
      </c>
      <c r="I5135" s="154" t="s">
        <v>3494</v>
      </c>
      <c r="J5135" s="156">
        <v>0.0</v>
      </c>
      <c r="K5135" s="154" t="s">
        <v>914</v>
      </c>
    </row>
    <row r="5136">
      <c r="A5136" s="154" t="s">
        <v>11033</v>
      </c>
      <c r="B5136" s="155"/>
      <c r="C5136" s="154" t="s">
        <v>11034</v>
      </c>
      <c r="D5136" s="155"/>
      <c r="E5136" s="155"/>
      <c r="F5136" s="154" t="s">
        <v>11035</v>
      </c>
      <c r="G5136" s="154">
        <v>4.3351885E7</v>
      </c>
      <c r="H5136" s="156">
        <v>0.0</v>
      </c>
      <c r="I5136" s="154">
        <v>9.71506587517E11</v>
      </c>
      <c r="J5136" s="156">
        <v>0.0</v>
      </c>
      <c r="K5136" s="154" t="s">
        <v>361</v>
      </c>
    </row>
    <row r="5137">
      <c r="A5137" s="154" t="s">
        <v>11033</v>
      </c>
      <c r="B5137" s="154" t="s">
        <v>11036</v>
      </c>
      <c r="D5137" s="154">
        <v>2.0</v>
      </c>
      <c r="E5137" s="154" t="s">
        <v>897</v>
      </c>
      <c r="F5137" s="154" t="s">
        <v>11035</v>
      </c>
      <c r="G5137" s="154">
        <v>4.3351885E7</v>
      </c>
      <c r="H5137" s="156">
        <v>0.0</v>
      </c>
      <c r="I5137" s="154">
        <v>9.71506587517E11</v>
      </c>
      <c r="J5137" s="156">
        <v>0.0</v>
      </c>
      <c r="K5137" s="154" t="s">
        <v>361</v>
      </c>
    </row>
    <row r="5138">
      <c r="A5138" s="154" t="s">
        <v>11037</v>
      </c>
      <c r="B5138" s="154" t="s">
        <v>11038</v>
      </c>
      <c r="D5138" s="154">
        <v>2.0</v>
      </c>
      <c r="E5138" s="154" t="s">
        <v>897</v>
      </c>
      <c r="F5138" s="154" t="s">
        <v>11039</v>
      </c>
      <c r="G5138" s="156">
        <v>0.0</v>
      </c>
      <c r="H5138" s="156">
        <v>0.0</v>
      </c>
      <c r="I5138" s="154" t="s">
        <v>11040</v>
      </c>
      <c r="J5138" s="154" t="s">
        <v>11041</v>
      </c>
      <c r="K5138" s="154" t="s">
        <v>914</v>
      </c>
    </row>
    <row r="5139">
      <c r="A5139" s="154" t="s">
        <v>11037</v>
      </c>
      <c r="B5139" s="155"/>
      <c r="C5139" s="154" t="s">
        <v>11042</v>
      </c>
      <c r="D5139" s="155"/>
      <c r="E5139" s="155"/>
      <c r="F5139" s="154" t="s">
        <v>1619</v>
      </c>
      <c r="G5139" s="154">
        <v>4.3903333E7</v>
      </c>
      <c r="H5139" s="154" t="s">
        <v>1620</v>
      </c>
      <c r="I5139" s="156">
        <v>0.0</v>
      </c>
      <c r="J5139" s="156">
        <v>0.0</v>
      </c>
      <c r="K5139" s="156">
        <v>0.0</v>
      </c>
    </row>
    <row r="5140">
      <c r="A5140" s="154" t="s">
        <v>11043</v>
      </c>
      <c r="B5140" s="154" t="s">
        <v>11044</v>
      </c>
      <c r="D5140" s="154">
        <v>2.0</v>
      </c>
      <c r="E5140" s="154" t="s">
        <v>897</v>
      </c>
      <c r="F5140" s="154" t="s">
        <v>1619</v>
      </c>
      <c r="G5140" s="154">
        <v>4.3903333E7</v>
      </c>
      <c r="H5140" s="154" t="s">
        <v>1620</v>
      </c>
      <c r="I5140" s="156">
        <v>0.0</v>
      </c>
      <c r="J5140" s="156">
        <v>0.0</v>
      </c>
      <c r="K5140" s="156">
        <v>0.0</v>
      </c>
    </row>
    <row r="5141">
      <c r="A5141" s="154" t="s">
        <v>11043</v>
      </c>
      <c r="B5141" s="155"/>
      <c r="C5141" s="154" t="s">
        <v>11045</v>
      </c>
      <c r="D5141" s="155"/>
      <c r="E5141" s="155"/>
      <c r="F5141" s="154" t="s">
        <v>1619</v>
      </c>
      <c r="G5141" s="154">
        <v>4.3903333E7</v>
      </c>
      <c r="H5141" s="154" t="s">
        <v>1620</v>
      </c>
      <c r="I5141" s="156">
        <v>0.0</v>
      </c>
      <c r="J5141" s="156">
        <v>0.0</v>
      </c>
      <c r="K5141" s="156">
        <v>0.0</v>
      </c>
    </row>
    <row r="5142">
      <c r="A5142" s="154" t="s">
        <v>11046</v>
      </c>
      <c r="B5142" s="154" t="s">
        <v>11047</v>
      </c>
      <c r="D5142" s="154">
        <v>2.0</v>
      </c>
      <c r="E5142" s="154" t="s">
        <v>897</v>
      </c>
      <c r="F5142" s="154" t="s">
        <v>11048</v>
      </c>
      <c r="G5142" s="156">
        <v>0.0</v>
      </c>
      <c r="H5142" s="154" t="s">
        <v>3858</v>
      </c>
      <c r="I5142" s="154" t="s">
        <v>11049</v>
      </c>
      <c r="J5142" s="156">
        <v>0.0</v>
      </c>
      <c r="K5142" s="154" t="s">
        <v>361</v>
      </c>
    </row>
    <row r="5143">
      <c r="A5143" s="154" t="s">
        <v>11046</v>
      </c>
      <c r="B5143" s="155"/>
      <c r="C5143" s="154" t="s">
        <v>11050</v>
      </c>
      <c r="D5143" s="155"/>
      <c r="E5143" s="155"/>
      <c r="F5143" s="154" t="s">
        <v>11048</v>
      </c>
      <c r="G5143" s="156">
        <v>0.0</v>
      </c>
      <c r="H5143" s="154" t="s">
        <v>3858</v>
      </c>
      <c r="I5143" s="154" t="s">
        <v>11049</v>
      </c>
      <c r="J5143" s="156">
        <v>0.0</v>
      </c>
      <c r="K5143" s="154" t="s">
        <v>361</v>
      </c>
    </row>
    <row r="5144">
      <c r="A5144" s="154" t="s">
        <v>11051</v>
      </c>
      <c r="B5144" s="154" t="s">
        <v>11052</v>
      </c>
      <c r="D5144" s="154">
        <v>2.0</v>
      </c>
      <c r="E5144" s="154" t="s">
        <v>897</v>
      </c>
      <c r="F5144" s="154" t="s">
        <v>11053</v>
      </c>
      <c r="G5144" s="156">
        <v>0.0</v>
      </c>
      <c r="H5144" s="154" t="s">
        <v>11054</v>
      </c>
      <c r="I5144" s="155" t="str">
        <f>+971 50 7155805</f>
        <v>#ERROR!</v>
      </c>
      <c r="J5144" s="156">
        <v>0.0</v>
      </c>
      <c r="K5144" s="154" t="s">
        <v>9847</v>
      </c>
    </row>
    <row r="5145">
      <c r="A5145" s="154" t="s">
        <v>11051</v>
      </c>
      <c r="B5145" s="155"/>
      <c r="C5145" s="154" t="s">
        <v>11055</v>
      </c>
      <c r="D5145" s="155"/>
      <c r="E5145" s="155"/>
      <c r="F5145" s="154" t="s">
        <v>11053</v>
      </c>
      <c r="G5145" s="156">
        <v>0.0</v>
      </c>
      <c r="H5145" s="154" t="s">
        <v>11054</v>
      </c>
      <c r="I5145" s="155" t="str">
        <f>+971 50 7155805</f>
        <v>#ERROR!</v>
      </c>
      <c r="J5145" s="156">
        <v>0.0</v>
      </c>
      <c r="K5145" s="154" t="s">
        <v>9847</v>
      </c>
    </row>
    <row r="5146">
      <c r="A5146" s="154" t="s">
        <v>11056</v>
      </c>
      <c r="B5146" s="154" t="s">
        <v>11057</v>
      </c>
      <c r="D5146" s="154">
        <v>2.0</v>
      </c>
      <c r="E5146" s="154" t="s">
        <v>897</v>
      </c>
      <c r="F5146" s="154" t="s">
        <v>5982</v>
      </c>
      <c r="G5146" s="156">
        <v>0.0</v>
      </c>
      <c r="H5146" s="154" t="s">
        <v>5983</v>
      </c>
      <c r="I5146" s="154" t="s">
        <v>5984</v>
      </c>
      <c r="J5146" s="154" t="s">
        <v>5985</v>
      </c>
      <c r="K5146" s="154" t="s">
        <v>361</v>
      </c>
    </row>
    <row r="5147">
      <c r="A5147" s="154" t="s">
        <v>11056</v>
      </c>
      <c r="B5147" s="155"/>
      <c r="C5147" s="154" t="s">
        <v>11058</v>
      </c>
      <c r="D5147" s="155"/>
      <c r="E5147" s="155"/>
      <c r="F5147" s="154" t="s">
        <v>1619</v>
      </c>
      <c r="G5147" s="154">
        <v>4.3903333E7</v>
      </c>
      <c r="H5147" s="154" t="s">
        <v>1620</v>
      </c>
      <c r="I5147" s="156">
        <v>0.0</v>
      </c>
      <c r="J5147" s="156">
        <v>0.0</v>
      </c>
      <c r="K5147" s="156">
        <v>0.0</v>
      </c>
    </row>
    <row r="5148">
      <c r="A5148" s="154" t="s">
        <v>11059</v>
      </c>
      <c r="B5148" s="154" t="s">
        <v>11060</v>
      </c>
      <c r="D5148" s="154">
        <v>2.0</v>
      </c>
      <c r="E5148" s="154" t="s">
        <v>897</v>
      </c>
      <c r="F5148" s="154" t="s">
        <v>2844</v>
      </c>
      <c r="G5148" s="156">
        <v>0.0</v>
      </c>
      <c r="H5148" s="156">
        <v>0.0</v>
      </c>
      <c r="I5148" s="154" t="s">
        <v>2845</v>
      </c>
      <c r="J5148" s="154" t="s">
        <v>2846</v>
      </c>
      <c r="K5148" s="154" t="s">
        <v>207</v>
      </c>
    </row>
    <row r="5149">
      <c r="A5149" s="154" t="s">
        <v>11059</v>
      </c>
      <c r="B5149" s="155"/>
      <c r="C5149" s="154" t="s">
        <v>11061</v>
      </c>
      <c r="D5149" s="155"/>
      <c r="E5149" s="155"/>
      <c r="F5149" s="154" t="s">
        <v>1619</v>
      </c>
      <c r="G5149" s="154">
        <v>4.3903333E7</v>
      </c>
      <c r="H5149" s="154" t="s">
        <v>1620</v>
      </c>
      <c r="I5149" s="156">
        <v>0.0</v>
      </c>
      <c r="J5149" s="156">
        <v>0.0</v>
      </c>
      <c r="K5149" s="156">
        <v>0.0</v>
      </c>
    </row>
    <row r="5150">
      <c r="A5150" s="154" t="s">
        <v>11062</v>
      </c>
      <c r="B5150" s="154" t="s">
        <v>11063</v>
      </c>
      <c r="D5150" s="154">
        <v>2.0</v>
      </c>
      <c r="E5150" s="154" t="s">
        <v>761</v>
      </c>
      <c r="F5150" s="154" t="s">
        <v>3478</v>
      </c>
      <c r="G5150" s="156">
        <v>0.0</v>
      </c>
      <c r="H5150" s="156">
        <v>0.0</v>
      </c>
      <c r="I5150" s="154" t="s">
        <v>3479</v>
      </c>
      <c r="J5150" s="154" t="s">
        <v>1651</v>
      </c>
      <c r="K5150" s="154" t="s">
        <v>1059</v>
      </c>
    </row>
    <row r="5151">
      <c r="A5151" s="154" t="s">
        <v>11062</v>
      </c>
      <c r="B5151" s="155"/>
      <c r="C5151" s="154" t="s">
        <v>11063</v>
      </c>
      <c r="D5151" s="155"/>
      <c r="E5151" s="155"/>
      <c r="F5151" s="154" t="s">
        <v>3478</v>
      </c>
      <c r="G5151" s="156">
        <v>0.0</v>
      </c>
      <c r="H5151" s="156">
        <v>0.0</v>
      </c>
      <c r="I5151" s="154" t="s">
        <v>3479</v>
      </c>
      <c r="J5151" s="154" t="s">
        <v>1651</v>
      </c>
      <c r="K5151" s="154" t="s">
        <v>1059</v>
      </c>
    </row>
    <row r="5152">
      <c r="A5152" s="154" t="s">
        <v>11064</v>
      </c>
      <c r="B5152" s="155"/>
      <c r="C5152" s="154" t="s">
        <v>11065</v>
      </c>
      <c r="D5152" s="155"/>
      <c r="E5152" s="155"/>
      <c r="F5152" s="154" t="s">
        <v>11066</v>
      </c>
      <c r="G5152" s="156">
        <v>0.0</v>
      </c>
      <c r="H5152" s="156">
        <v>0.0</v>
      </c>
      <c r="I5152" s="154">
        <v>5.0457392E8</v>
      </c>
      <c r="J5152" s="156">
        <v>0.0</v>
      </c>
      <c r="K5152" s="154" t="s">
        <v>311</v>
      </c>
    </row>
    <row r="5153">
      <c r="A5153" s="154" t="s">
        <v>11064</v>
      </c>
      <c r="B5153" s="154" t="s">
        <v>11065</v>
      </c>
      <c r="D5153" s="154">
        <v>2.0</v>
      </c>
      <c r="E5153" s="154" t="s">
        <v>761</v>
      </c>
      <c r="F5153" s="154" t="s">
        <v>11067</v>
      </c>
      <c r="G5153" s="156">
        <v>0.0</v>
      </c>
      <c r="H5153" s="156">
        <v>0.0</v>
      </c>
      <c r="I5153" s="154">
        <v>5.0457392E8</v>
      </c>
      <c r="J5153" s="156">
        <v>0.0</v>
      </c>
      <c r="K5153" s="154" t="s">
        <v>311</v>
      </c>
    </row>
    <row r="5154">
      <c r="A5154" s="154" t="s">
        <v>11068</v>
      </c>
      <c r="B5154" s="155"/>
      <c r="C5154" s="154" t="s">
        <v>11069</v>
      </c>
      <c r="D5154" s="155"/>
      <c r="E5154" s="155"/>
      <c r="F5154" s="154" t="s">
        <v>11070</v>
      </c>
      <c r="G5154" s="154" t="s">
        <v>7700</v>
      </c>
      <c r="H5154" s="154" t="s">
        <v>11071</v>
      </c>
      <c r="I5154" s="154" t="s">
        <v>11072</v>
      </c>
      <c r="J5154" s="156">
        <v>0.0</v>
      </c>
      <c r="K5154" s="154" t="s">
        <v>2498</v>
      </c>
    </row>
    <row r="5155">
      <c r="A5155" s="154" t="s">
        <v>11068</v>
      </c>
      <c r="B5155" s="154" t="s">
        <v>11069</v>
      </c>
      <c r="D5155" s="154">
        <v>2.0</v>
      </c>
      <c r="E5155" s="154" t="s">
        <v>761</v>
      </c>
      <c r="F5155" s="154" t="s">
        <v>11070</v>
      </c>
      <c r="G5155" s="154" t="s">
        <v>7700</v>
      </c>
      <c r="H5155" s="154" t="s">
        <v>11071</v>
      </c>
      <c r="I5155" s="154" t="s">
        <v>11072</v>
      </c>
      <c r="J5155" s="156">
        <v>0.0</v>
      </c>
      <c r="K5155" s="154" t="s">
        <v>2498</v>
      </c>
    </row>
    <row r="5156">
      <c r="A5156" s="154" t="s">
        <v>11073</v>
      </c>
      <c r="B5156" s="154" t="s">
        <v>11074</v>
      </c>
      <c r="D5156" s="154">
        <v>2.0</v>
      </c>
      <c r="E5156" s="154" t="s">
        <v>761</v>
      </c>
      <c r="F5156" s="154" t="s">
        <v>11075</v>
      </c>
      <c r="G5156" s="154">
        <v>5.0655394E8</v>
      </c>
      <c r="H5156" s="156">
        <v>0.0</v>
      </c>
      <c r="I5156" s="154">
        <v>9.7150628394E11</v>
      </c>
      <c r="J5156" s="156">
        <v>0.0</v>
      </c>
      <c r="K5156" s="154" t="s">
        <v>361</v>
      </c>
    </row>
    <row r="5157">
      <c r="A5157" s="154" t="s">
        <v>11073</v>
      </c>
      <c r="B5157" s="155"/>
      <c r="C5157" s="154" t="s">
        <v>11074</v>
      </c>
      <c r="D5157" s="155"/>
      <c r="E5157" s="155"/>
      <c r="F5157" s="154" t="s">
        <v>11075</v>
      </c>
      <c r="G5157" s="154">
        <v>5.0655394E8</v>
      </c>
      <c r="H5157" s="156">
        <v>0.0</v>
      </c>
      <c r="I5157" s="154">
        <v>9.7150628394E11</v>
      </c>
      <c r="J5157" s="156">
        <v>0.0</v>
      </c>
      <c r="K5157" s="154" t="s">
        <v>361</v>
      </c>
    </row>
    <row r="5158">
      <c r="A5158" s="154" t="s">
        <v>11076</v>
      </c>
      <c r="B5158" s="154" t="s">
        <v>11077</v>
      </c>
      <c r="D5158" s="154">
        <v>2.0</v>
      </c>
      <c r="E5158" s="154" t="s">
        <v>761</v>
      </c>
      <c r="F5158" s="154" t="s">
        <v>11078</v>
      </c>
      <c r="G5158" s="156">
        <v>0.0</v>
      </c>
      <c r="H5158" s="156">
        <v>0.0</v>
      </c>
      <c r="I5158" s="154" t="s">
        <v>11079</v>
      </c>
      <c r="J5158" s="154" t="s">
        <v>11080</v>
      </c>
      <c r="K5158" s="154" t="s">
        <v>259</v>
      </c>
    </row>
    <row r="5159">
      <c r="A5159" s="154" t="s">
        <v>11076</v>
      </c>
      <c r="B5159" s="155"/>
      <c r="C5159" s="154" t="s">
        <v>11077</v>
      </c>
      <c r="D5159" s="155"/>
      <c r="E5159" s="155"/>
      <c r="F5159" s="154" t="s">
        <v>11078</v>
      </c>
      <c r="G5159" s="156">
        <v>0.0</v>
      </c>
      <c r="H5159" s="156">
        <v>0.0</v>
      </c>
      <c r="I5159" s="154" t="s">
        <v>11079</v>
      </c>
      <c r="J5159" s="154" t="s">
        <v>11080</v>
      </c>
      <c r="K5159" s="154" t="s">
        <v>259</v>
      </c>
    </row>
    <row r="5160">
      <c r="A5160" s="154" t="s">
        <v>11081</v>
      </c>
      <c r="B5160" s="155"/>
      <c r="C5160" s="154" t="s">
        <v>11082</v>
      </c>
      <c r="D5160" s="155"/>
      <c r="E5160" s="155"/>
      <c r="F5160" s="154" t="s">
        <v>11083</v>
      </c>
      <c r="G5160" s="154" t="s">
        <v>11084</v>
      </c>
      <c r="H5160" s="156">
        <v>0.0</v>
      </c>
      <c r="I5160" s="154">
        <v>5.05533748E8</v>
      </c>
      <c r="J5160" s="156">
        <v>0.0</v>
      </c>
      <c r="K5160" s="154" t="s">
        <v>361</v>
      </c>
    </row>
    <row r="5161">
      <c r="A5161" s="154" t="s">
        <v>11081</v>
      </c>
      <c r="B5161" s="154" t="s">
        <v>11082</v>
      </c>
      <c r="D5161" s="154">
        <v>2.0</v>
      </c>
      <c r="E5161" s="154" t="s">
        <v>761</v>
      </c>
      <c r="F5161" s="154" t="s">
        <v>11083</v>
      </c>
      <c r="G5161" s="154" t="s">
        <v>11084</v>
      </c>
      <c r="H5161" s="156">
        <v>0.0</v>
      </c>
      <c r="I5161" s="154">
        <v>5.05533748E8</v>
      </c>
      <c r="J5161" s="156">
        <v>0.0</v>
      </c>
      <c r="K5161" s="154" t="s">
        <v>361</v>
      </c>
    </row>
    <row r="5162">
      <c r="A5162" s="154" t="s">
        <v>11085</v>
      </c>
      <c r="B5162" s="154" t="s">
        <v>11086</v>
      </c>
      <c r="D5162" s="154">
        <v>2.0</v>
      </c>
      <c r="E5162" s="154" t="s">
        <v>761</v>
      </c>
      <c r="F5162" s="154" t="s">
        <v>11087</v>
      </c>
      <c r="G5162" s="154">
        <v>0.0</v>
      </c>
      <c r="H5162" s="156">
        <v>0.0</v>
      </c>
      <c r="I5162" s="154">
        <v>0.0</v>
      </c>
      <c r="J5162" s="156">
        <v>0.0</v>
      </c>
      <c r="K5162" s="154" t="s">
        <v>760</v>
      </c>
    </row>
    <row r="5163">
      <c r="A5163" s="154" t="s">
        <v>11085</v>
      </c>
      <c r="B5163" s="155"/>
      <c r="C5163" s="154" t="s">
        <v>11086</v>
      </c>
      <c r="D5163" s="155"/>
      <c r="E5163" s="155"/>
      <c r="F5163" s="154" t="s">
        <v>11087</v>
      </c>
      <c r="G5163" s="154">
        <v>0.0</v>
      </c>
      <c r="H5163" s="156">
        <v>0.0</v>
      </c>
      <c r="I5163" s="154">
        <v>0.0</v>
      </c>
      <c r="J5163" s="156">
        <v>0.0</v>
      </c>
      <c r="K5163" s="154" t="s">
        <v>760</v>
      </c>
    </row>
    <row r="5164">
      <c r="A5164" s="154" t="s">
        <v>11088</v>
      </c>
      <c r="B5164" s="154" t="s">
        <v>11089</v>
      </c>
      <c r="D5164" s="154">
        <v>2.0</v>
      </c>
      <c r="E5164" s="154" t="s">
        <v>761</v>
      </c>
      <c r="F5164" s="154" t="s">
        <v>11090</v>
      </c>
      <c r="G5164" s="154">
        <v>4.8812222E7</v>
      </c>
      <c r="H5164" s="156">
        <v>0.0</v>
      </c>
      <c r="I5164" s="154">
        <v>5.56008853E8</v>
      </c>
      <c r="J5164" s="156">
        <v>0.0</v>
      </c>
      <c r="K5164" s="154" t="s">
        <v>206</v>
      </c>
    </row>
    <row r="5165">
      <c r="A5165" s="154" t="s">
        <v>11088</v>
      </c>
      <c r="B5165" s="155"/>
      <c r="C5165" s="154" t="s">
        <v>11089</v>
      </c>
      <c r="D5165" s="155"/>
      <c r="E5165" s="155"/>
      <c r="F5165" s="154" t="s">
        <v>11090</v>
      </c>
      <c r="G5165" s="154">
        <v>4.8812222E7</v>
      </c>
      <c r="H5165" s="156">
        <v>0.0</v>
      </c>
      <c r="I5165" s="154">
        <v>5.56008853E8</v>
      </c>
      <c r="J5165" s="156">
        <v>0.0</v>
      </c>
      <c r="K5165" s="154" t="s">
        <v>206</v>
      </c>
    </row>
    <row r="5166">
      <c r="A5166" s="154" t="s">
        <v>11091</v>
      </c>
      <c r="B5166" s="154" t="s">
        <v>11092</v>
      </c>
      <c r="D5166" s="154">
        <v>2.0</v>
      </c>
      <c r="E5166" s="154" t="s">
        <v>761</v>
      </c>
      <c r="F5166" s="154" t="s">
        <v>11093</v>
      </c>
      <c r="G5166" s="156">
        <v>0.0</v>
      </c>
      <c r="H5166" s="156">
        <v>0.0</v>
      </c>
      <c r="I5166" s="154" t="s">
        <v>11094</v>
      </c>
      <c r="J5166" s="154" t="s">
        <v>11095</v>
      </c>
      <c r="K5166" s="154" t="s">
        <v>1408</v>
      </c>
    </row>
    <row r="5167">
      <c r="A5167" s="154" t="s">
        <v>11091</v>
      </c>
      <c r="B5167" s="155"/>
      <c r="C5167" s="154" t="s">
        <v>11092</v>
      </c>
      <c r="D5167" s="155"/>
      <c r="E5167" s="155"/>
      <c r="F5167" s="154" t="s">
        <v>11093</v>
      </c>
      <c r="G5167" s="156">
        <v>0.0</v>
      </c>
      <c r="H5167" s="156">
        <v>0.0</v>
      </c>
      <c r="I5167" s="154" t="s">
        <v>11094</v>
      </c>
      <c r="J5167" s="154" t="s">
        <v>11095</v>
      </c>
      <c r="K5167" s="154" t="s">
        <v>1408</v>
      </c>
    </row>
    <row r="5168">
      <c r="A5168" s="154" t="s">
        <v>11096</v>
      </c>
      <c r="B5168" s="155"/>
      <c r="C5168" s="154" t="s">
        <v>11097</v>
      </c>
      <c r="D5168" s="155"/>
      <c r="E5168" s="155"/>
      <c r="F5168" s="154" t="s">
        <v>11098</v>
      </c>
      <c r="G5168" s="154">
        <v>4.3387899E7</v>
      </c>
      <c r="H5168" s="156">
        <v>0.0</v>
      </c>
      <c r="I5168" s="154">
        <v>9.71504520702E11</v>
      </c>
      <c r="J5168" s="156">
        <v>0.0</v>
      </c>
      <c r="K5168" s="154" t="s">
        <v>939</v>
      </c>
    </row>
    <row r="5169">
      <c r="A5169" s="154" t="s">
        <v>11096</v>
      </c>
      <c r="B5169" s="154" t="s">
        <v>11097</v>
      </c>
      <c r="D5169" s="154">
        <v>2.0</v>
      </c>
      <c r="E5169" s="154" t="s">
        <v>761</v>
      </c>
      <c r="F5169" s="154" t="s">
        <v>11098</v>
      </c>
      <c r="G5169" s="154">
        <v>4.3387899E7</v>
      </c>
      <c r="H5169" s="156">
        <v>0.0</v>
      </c>
      <c r="I5169" s="154">
        <v>9.71504520702E11</v>
      </c>
      <c r="J5169" s="156">
        <v>0.0</v>
      </c>
      <c r="K5169" s="154" t="s">
        <v>939</v>
      </c>
    </row>
    <row r="5170">
      <c r="A5170" s="154" t="s">
        <v>11099</v>
      </c>
      <c r="B5170" s="154" t="s">
        <v>11100</v>
      </c>
      <c r="D5170" s="154">
        <v>2.0</v>
      </c>
      <c r="E5170" s="154" t="s">
        <v>761</v>
      </c>
      <c r="F5170" s="154" t="s">
        <v>11101</v>
      </c>
      <c r="G5170" s="156">
        <v>0.0</v>
      </c>
      <c r="H5170" s="154" t="s">
        <v>11102</v>
      </c>
      <c r="I5170" s="154" t="s">
        <v>11103</v>
      </c>
      <c r="J5170" s="154" t="s">
        <v>11104</v>
      </c>
      <c r="K5170" s="154" t="s">
        <v>207</v>
      </c>
    </row>
    <row r="5171">
      <c r="A5171" s="154" t="s">
        <v>11099</v>
      </c>
      <c r="B5171" s="155"/>
      <c r="C5171" s="154" t="s">
        <v>11100</v>
      </c>
      <c r="D5171" s="155"/>
      <c r="E5171" s="155"/>
      <c r="F5171" s="154" t="s">
        <v>11101</v>
      </c>
      <c r="G5171" s="156">
        <v>0.0</v>
      </c>
      <c r="H5171" s="154" t="s">
        <v>11102</v>
      </c>
      <c r="I5171" s="154" t="s">
        <v>11103</v>
      </c>
      <c r="J5171" s="154" t="s">
        <v>11104</v>
      </c>
      <c r="K5171" s="154" t="s">
        <v>207</v>
      </c>
    </row>
    <row r="5172">
      <c r="A5172" s="154" t="s">
        <v>11105</v>
      </c>
      <c r="B5172" s="154" t="s">
        <v>11106</v>
      </c>
      <c r="D5172" s="154">
        <v>2.0</v>
      </c>
      <c r="E5172" s="154" t="s">
        <v>761</v>
      </c>
      <c r="F5172" s="154" t="s">
        <v>792</v>
      </c>
      <c r="G5172" s="154" t="s">
        <v>793</v>
      </c>
      <c r="H5172" s="154" t="s">
        <v>794</v>
      </c>
      <c r="I5172" s="156">
        <v>0.0</v>
      </c>
      <c r="J5172" s="156">
        <v>0.0</v>
      </c>
      <c r="K5172" s="156">
        <v>0.0</v>
      </c>
    </row>
    <row r="5173">
      <c r="A5173" s="154" t="s">
        <v>11105</v>
      </c>
      <c r="B5173" s="155"/>
      <c r="C5173" s="154" t="s">
        <v>11106</v>
      </c>
      <c r="D5173" s="155"/>
      <c r="E5173" s="155"/>
      <c r="F5173" s="154" t="s">
        <v>792</v>
      </c>
      <c r="G5173" s="154" t="s">
        <v>793</v>
      </c>
      <c r="H5173" s="154" t="s">
        <v>794</v>
      </c>
      <c r="I5173" s="156">
        <v>0.0</v>
      </c>
      <c r="J5173" s="156">
        <v>0.0</v>
      </c>
      <c r="K5173" s="156">
        <v>0.0</v>
      </c>
    </row>
    <row r="5174">
      <c r="A5174" s="154" t="s">
        <v>11107</v>
      </c>
      <c r="B5174" s="155"/>
      <c r="C5174" s="154" t="s">
        <v>11108</v>
      </c>
      <c r="D5174" s="155"/>
      <c r="E5174" s="155"/>
      <c r="F5174" s="154" t="s">
        <v>11101</v>
      </c>
      <c r="G5174" s="156">
        <v>0.0</v>
      </c>
      <c r="H5174" s="154" t="s">
        <v>11102</v>
      </c>
      <c r="I5174" s="154" t="s">
        <v>11103</v>
      </c>
      <c r="J5174" s="154" t="s">
        <v>11104</v>
      </c>
      <c r="K5174" s="154" t="s">
        <v>207</v>
      </c>
    </row>
    <row r="5175">
      <c r="A5175" s="154" t="s">
        <v>11107</v>
      </c>
      <c r="B5175" s="154" t="s">
        <v>11108</v>
      </c>
      <c r="D5175" s="154">
        <v>2.0</v>
      </c>
      <c r="E5175" s="154" t="s">
        <v>761</v>
      </c>
      <c r="F5175" s="154" t="s">
        <v>11101</v>
      </c>
      <c r="G5175" s="156">
        <v>0.0</v>
      </c>
      <c r="H5175" s="154" t="s">
        <v>11102</v>
      </c>
      <c r="I5175" s="154" t="s">
        <v>11103</v>
      </c>
      <c r="J5175" s="154" t="s">
        <v>11104</v>
      </c>
      <c r="K5175" s="154" t="s">
        <v>207</v>
      </c>
    </row>
    <row r="5176">
      <c r="A5176" s="154" t="s">
        <v>11109</v>
      </c>
      <c r="B5176" s="154" t="s">
        <v>11110</v>
      </c>
      <c r="D5176" s="154">
        <v>2.0</v>
      </c>
      <c r="E5176" s="154" t="s">
        <v>761</v>
      </c>
      <c r="F5176" s="154" t="s">
        <v>11101</v>
      </c>
      <c r="G5176" s="156">
        <v>0.0</v>
      </c>
      <c r="H5176" s="154" t="s">
        <v>11102</v>
      </c>
      <c r="I5176" s="154" t="s">
        <v>11103</v>
      </c>
      <c r="J5176" s="154" t="s">
        <v>11104</v>
      </c>
      <c r="K5176" s="154" t="s">
        <v>207</v>
      </c>
    </row>
    <row r="5177">
      <c r="A5177" s="154" t="s">
        <v>11109</v>
      </c>
      <c r="B5177" s="155"/>
      <c r="C5177" s="154" t="s">
        <v>11110</v>
      </c>
      <c r="D5177" s="155"/>
      <c r="E5177" s="155"/>
      <c r="F5177" s="154" t="s">
        <v>11101</v>
      </c>
      <c r="G5177" s="156">
        <v>0.0</v>
      </c>
      <c r="H5177" s="154" t="s">
        <v>11102</v>
      </c>
      <c r="I5177" s="154" t="s">
        <v>11103</v>
      </c>
      <c r="J5177" s="154" t="s">
        <v>11104</v>
      </c>
      <c r="K5177" s="154" t="s">
        <v>207</v>
      </c>
    </row>
    <row r="5178">
      <c r="A5178" s="154" t="s">
        <v>11111</v>
      </c>
      <c r="B5178" s="155"/>
      <c r="C5178" s="154" t="s">
        <v>11112</v>
      </c>
      <c r="D5178" s="155"/>
      <c r="E5178" s="155"/>
      <c r="F5178" s="154" t="s">
        <v>11113</v>
      </c>
      <c r="G5178" s="155" t="str">
        <f>+971 4 5571313</f>
        <v>#ERROR!</v>
      </c>
      <c r="H5178" s="154" t="s">
        <v>11114</v>
      </c>
      <c r="I5178" s="156">
        <v>0.0</v>
      </c>
      <c r="J5178" s="156">
        <v>0.0</v>
      </c>
      <c r="K5178" s="156">
        <v>0.0</v>
      </c>
    </row>
    <row r="5179">
      <c r="A5179" s="154" t="s">
        <v>11111</v>
      </c>
      <c r="B5179" s="154" t="s">
        <v>11112</v>
      </c>
      <c r="D5179" s="154">
        <v>2.0</v>
      </c>
      <c r="E5179" s="154" t="s">
        <v>761</v>
      </c>
      <c r="F5179" s="154" t="s">
        <v>11113</v>
      </c>
      <c r="G5179" s="155" t="str">
        <f>+971 4 5571313</f>
        <v>#ERROR!</v>
      </c>
      <c r="H5179" s="154" t="s">
        <v>11114</v>
      </c>
      <c r="I5179" s="156">
        <v>0.0</v>
      </c>
      <c r="J5179" s="156">
        <v>0.0</v>
      </c>
      <c r="K5179" s="156">
        <v>0.0</v>
      </c>
    </row>
    <row r="5180">
      <c r="A5180" s="154" t="s">
        <v>11115</v>
      </c>
      <c r="B5180" s="154" t="s">
        <v>11116</v>
      </c>
      <c r="D5180" s="154">
        <v>2.0</v>
      </c>
      <c r="E5180" s="154" t="s">
        <v>761</v>
      </c>
      <c r="F5180" s="154" t="s">
        <v>11101</v>
      </c>
      <c r="G5180" s="156">
        <v>0.0</v>
      </c>
      <c r="H5180" s="154" t="s">
        <v>11102</v>
      </c>
      <c r="I5180" s="154" t="s">
        <v>11103</v>
      </c>
      <c r="J5180" s="154" t="s">
        <v>11104</v>
      </c>
      <c r="K5180" s="154" t="s">
        <v>207</v>
      </c>
    </row>
    <row r="5181">
      <c r="A5181" s="154" t="s">
        <v>11115</v>
      </c>
      <c r="B5181" s="155"/>
      <c r="C5181" s="154" t="s">
        <v>11116</v>
      </c>
      <c r="D5181" s="155"/>
      <c r="E5181" s="155"/>
      <c r="F5181" s="154" t="s">
        <v>11101</v>
      </c>
      <c r="G5181" s="156">
        <v>0.0</v>
      </c>
      <c r="H5181" s="154" t="s">
        <v>11102</v>
      </c>
      <c r="I5181" s="154" t="s">
        <v>11103</v>
      </c>
      <c r="J5181" s="154" t="s">
        <v>11104</v>
      </c>
      <c r="K5181" s="154" t="s">
        <v>207</v>
      </c>
    </row>
    <row r="5182">
      <c r="A5182" s="154" t="s">
        <v>11117</v>
      </c>
      <c r="B5182" s="154" t="s">
        <v>11118</v>
      </c>
      <c r="D5182" s="154">
        <v>2.0</v>
      </c>
      <c r="E5182" s="154" t="s">
        <v>761</v>
      </c>
      <c r="F5182" s="154" t="s">
        <v>11119</v>
      </c>
      <c r="G5182" s="154">
        <v>4.2984199E7</v>
      </c>
      <c r="H5182" s="156">
        <v>0.0</v>
      </c>
      <c r="I5182" s="154">
        <v>5.03549209E8</v>
      </c>
      <c r="J5182" s="156">
        <v>0.0</v>
      </c>
      <c r="K5182" s="154" t="s">
        <v>361</v>
      </c>
    </row>
    <row r="5183">
      <c r="A5183" s="154" t="s">
        <v>11117</v>
      </c>
      <c r="B5183" s="155"/>
      <c r="C5183" s="154" t="s">
        <v>11118</v>
      </c>
      <c r="D5183" s="155"/>
      <c r="E5183" s="155"/>
      <c r="F5183" s="154" t="s">
        <v>11119</v>
      </c>
      <c r="G5183" s="154">
        <v>4.2984199E7</v>
      </c>
      <c r="H5183" s="156">
        <v>0.0</v>
      </c>
      <c r="I5183" s="154">
        <v>5.03549209E8</v>
      </c>
      <c r="J5183" s="156">
        <v>0.0</v>
      </c>
      <c r="K5183" s="154" t="s">
        <v>361</v>
      </c>
    </row>
    <row r="5184">
      <c r="A5184" s="154" t="s">
        <v>11120</v>
      </c>
      <c r="B5184" s="154" t="s">
        <v>11121</v>
      </c>
      <c r="D5184" s="154">
        <v>2.0</v>
      </c>
      <c r="E5184" s="154" t="s">
        <v>761</v>
      </c>
      <c r="F5184" s="154" t="s">
        <v>11122</v>
      </c>
      <c r="G5184" s="154" t="s">
        <v>11123</v>
      </c>
      <c r="H5184" s="156">
        <v>0.0</v>
      </c>
      <c r="I5184" s="154">
        <v>5.06599808E8</v>
      </c>
      <c r="J5184" s="156">
        <v>0.0</v>
      </c>
      <c r="K5184" s="154" t="s">
        <v>1059</v>
      </c>
    </row>
    <row r="5185">
      <c r="A5185" s="154" t="s">
        <v>11120</v>
      </c>
      <c r="B5185" s="155"/>
      <c r="C5185" s="154" t="s">
        <v>11121</v>
      </c>
      <c r="D5185" s="155"/>
      <c r="E5185" s="155"/>
      <c r="F5185" s="154" t="s">
        <v>11122</v>
      </c>
      <c r="G5185" s="154" t="s">
        <v>11123</v>
      </c>
      <c r="H5185" s="156">
        <v>0.0</v>
      </c>
      <c r="I5185" s="154">
        <v>5.06599808E8</v>
      </c>
      <c r="J5185" s="156">
        <v>0.0</v>
      </c>
      <c r="K5185" s="154" t="s">
        <v>1059</v>
      </c>
    </row>
    <row r="5186">
      <c r="A5186" s="154" t="s">
        <v>11124</v>
      </c>
      <c r="B5186" s="154" t="s">
        <v>11125</v>
      </c>
      <c r="D5186" s="154">
        <v>2.0</v>
      </c>
      <c r="E5186" s="154" t="s">
        <v>761</v>
      </c>
      <c r="F5186" s="154" t="s">
        <v>11126</v>
      </c>
      <c r="G5186" s="156">
        <v>0.0</v>
      </c>
      <c r="H5186" s="154" t="s">
        <v>10054</v>
      </c>
      <c r="I5186" s="154" t="s">
        <v>11127</v>
      </c>
      <c r="J5186" s="156">
        <v>0.0</v>
      </c>
      <c r="K5186" s="154" t="s">
        <v>361</v>
      </c>
    </row>
    <row r="5187">
      <c r="A5187" s="154" t="s">
        <v>11124</v>
      </c>
      <c r="B5187" s="155"/>
      <c r="C5187" s="154" t="s">
        <v>11125</v>
      </c>
      <c r="D5187" s="155"/>
      <c r="E5187" s="155"/>
      <c r="F5187" s="154" t="s">
        <v>11126</v>
      </c>
      <c r="G5187" s="156">
        <v>0.0</v>
      </c>
      <c r="H5187" s="154" t="s">
        <v>10054</v>
      </c>
      <c r="I5187" s="154" t="s">
        <v>11127</v>
      </c>
      <c r="J5187" s="156">
        <v>0.0</v>
      </c>
      <c r="K5187" s="154" t="s">
        <v>361</v>
      </c>
    </row>
    <row r="5188">
      <c r="A5188" s="154" t="s">
        <v>11128</v>
      </c>
      <c r="B5188" s="155"/>
      <c r="C5188" s="154" t="s">
        <v>11129</v>
      </c>
      <c r="D5188" s="155"/>
      <c r="E5188" s="155"/>
      <c r="F5188" s="154" t="s">
        <v>3260</v>
      </c>
      <c r="G5188" s="154" t="s">
        <v>3261</v>
      </c>
      <c r="H5188" s="154" t="s">
        <v>3262</v>
      </c>
      <c r="I5188" s="154" t="s">
        <v>3263</v>
      </c>
      <c r="J5188" s="156">
        <v>0.0</v>
      </c>
      <c r="K5188" s="154" t="s">
        <v>361</v>
      </c>
    </row>
    <row r="5189">
      <c r="A5189" s="154" t="s">
        <v>11128</v>
      </c>
      <c r="B5189" s="154" t="s">
        <v>11129</v>
      </c>
      <c r="D5189" s="154">
        <v>2.0</v>
      </c>
      <c r="E5189" s="154" t="s">
        <v>761</v>
      </c>
      <c r="F5189" s="154" t="s">
        <v>3260</v>
      </c>
      <c r="G5189" s="154" t="s">
        <v>3261</v>
      </c>
      <c r="H5189" s="154" t="s">
        <v>3262</v>
      </c>
      <c r="I5189" s="154" t="s">
        <v>3263</v>
      </c>
      <c r="J5189" s="156">
        <v>0.0</v>
      </c>
      <c r="K5189" s="154" t="s">
        <v>361</v>
      </c>
    </row>
    <row r="5190">
      <c r="A5190" s="154" t="s">
        <v>11130</v>
      </c>
      <c r="B5190" s="154" t="s">
        <v>11131</v>
      </c>
      <c r="D5190" s="154">
        <v>2.0</v>
      </c>
      <c r="E5190" s="154" t="s">
        <v>761</v>
      </c>
      <c r="F5190" s="154" t="s">
        <v>792</v>
      </c>
      <c r="G5190" s="154" t="s">
        <v>793</v>
      </c>
      <c r="H5190" s="154" t="s">
        <v>794</v>
      </c>
      <c r="I5190" s="156">
        <v>0.0</v>
      </c>
      <c r="J5190" s="156">
        <v>0.0</v>
      </c>
      <c r="K5190" s="156">
        <v>0.0</v>
      </c>
    </row>
    <row r="5191">
      <c r="A5191" s="154" t="s">
        <v>11130</v>
      </c>
      <c r="B5191" s="155"/>
      <c r="C5191" s="154" t="s">
        <v>11131</v>
      </c>
      <c r="D5191" s="155"/>
      <c r="E5191" s="155"/>
      <c r="F5191" s="154" t="s">
        <v>792</v>
      </c>
      <c r="G5191" s="154" t="s">
        <v>793</v>
      </c>
      <c r="H5191" s="154" t="s">
        <v>794</v>
      </c>
      <c r="I5191" s="156">
        <v>0.0</v>
      </c>
      <c r="J5191" s="156">
        <v>0.0</v>
      </c>
      <c r="K5191" s="156">
        <v>0.0</v>
      </c>
    </row>
    <row r="5192">
      <c r="A5192" s="154" t="s">
        <v>11132</v>
      </c>
      <c r="B5192" s="154" t="s">
        <v>11133</v>
      </c>
      <c r="D5192" s="154">
        <v>2.0</v>
      </c>
      <c r="E5192" s="154" t="s">
        <v>761</v>
      </c>
      <c r="F5192" s="154" t="s">
        <v>11134</v>
      </c>
      <c r="G5192" s="154">
        <v>4.8812222E7</v>
      </c>
      <c r="H5192" s="156">
        <v>0.0</v>
      </c>
      <c r="I5192" s="156">
        <v>0.0</v>
      </c>
      <c r="J5192" s="156">
        <v>0.0</v>
      </c>
      <c r="K5192" s="154" t="s">
        <v>361</v>
      </c>
    </row>
    <row r="5193">
      <c r="A5193" s="154" t="s">
        <v>11132</v>
      </c>
      <c r="B5193" s="155"/>
      <c r="C5193" s="154" t="s">
        <v>11133</v>
      </c>
      <c r="D5193" s="155"/>
      <c r="E5193" s="155"/>
      <c r="F5193" s="154" t="s">
        <v>11134</v>
      </c>
      <c r="G5193" s="154">
        <v>4.8812222E7</v>
      </c>
      <c r="H5193" s="156">
        <v>0.0</v>
      </c>
      <c r="I5193" s="156">
        <v>0.0</v>
      </c>
      <c r="J5193" s="156">
        <v>0.0</v>
      </c>
      <c r="K5193" s="154" t="s">
        <v>361</v>
      </c>
    </row>
    <row r="5194">
      <c r="A5194" s="154" t="s">
        <v>11135</v>
      </c>
      <c r="B5194" s="155"/>
      <c r="C5194" s="154" t="s">
        <v>11136</v>
      </c>
      <c r="D5194" s="155"/>
      <c r="E5194" s="155"/>
      <c r="F5194" s="154" t="s">
        <v>3266</v>
      </c>
      <c r="G5194" s="154">
        <v>2278556.0</v>
      </c>
      <c r="H5194" s="156">
        <v>0.0</v>
      </c>
      <c r="I5194" s="154">
        <v>5.02578088E8</v>
      </c>
      <c r="J5194" s="156">
        <v>0.0</v>
      </c>
      <c r="K5194" s="154" t="s">
        <v>939</v>
      </c>
    </row>
    <row r="5195">
      <c r="A5195" s="154" t="s">
        <v>11135</v>
      </c>
      <c r="B5195" s="154" t="s">
        <v>11136</v>
      </c>
      <c r="D5195" s="154">
        <v>2.0</v>
      </c>
      <c r="E5195" s="154" t="s">
        <v>761</v>
      </c>
      <c r="F5195" s="154" t="s">
        <v>3266</v>
      </c>
      <c r="G5195" s="154">
        <v>2278556.0</v>
      </c>
      <c r="H5195" s="156">
        <v>0.0</v>
      </c>
      <c r="I5195" s="154">
        <v>5.02578088E8</v>
      </c>
      <c r="J5195" s="156">
        <v>0.0</v>
      </c>
      <c r="K5195" s="154" t="s">
        <v>939</v>
      </c>
    </row>
    <row r="5196">
      <c r="A5196" s="154" t="s">
        <v>11137</v>
      </c>
      <c r="B5196" s="155"/>
      <c r="C5196" s="154" t="s">
        <v>11138</v>
      </c>
      <c r="D5196" s="155"/>
      <c r="E5196" s="155"/>
      <c r="F5196" s="154" t="s">
        <v>8243</v>
      </c>
      <c r="G5196" s="154">
        <v>9.671224146E9</v>
      </c>
      <c r="H5196" s="156">
        <v>0.0</v>
      </c>
      <c r="I5196" s="154">
        <v>9.6773374E11</v>
      </c>
      <c r="J5196" s="156">
        <v>0.0</v>
      </c>
      <c r="K5196" s="154" t="s">
        <v>197</v>
      </c>
    </row>
    <row r="5197">
      <c r="A5197" s="154" t="s">
        <v>11137</v>
      </c>
      <c r="B5197" s="154" t="s">
        <v>11138</v>
      </c>
      <c r="C5197" s="155"/>
      <c r="D5197" s="154">
        <v>2.0</v>
      </c>
      <c r="E5197" s="154" t="s">
        <v>897</v>
      </c>
      <c r="F5197" s="154" t="s">
        <v>8243</v>
      </c>
      <c r="G5197" s="154">
        <v>9.671224146E9</v>
      </c>
      <c r="H5197" s="156">
        <v>0.0</v>
      </c>
      <c r="I5197" s="154">
        <v>9.6773374E11</v>
      </c>
      <c r="J5197" s="156">
        <v>0.0</v>
      </c>
      <c r="K5197" s="154" t="s">
        <v>197</v>
      </c>
    </row>
    <row r="5198">
      <c r="A5198" s="154" t="s">
        <v>11139</v>
      </c>
      <c r="B5198" s="155"/>
      <c r="C5198" s="154" t="s">
        <v>11140</v>
      </c>
      <c r="D5198" s="155"/>
      <c r="E5198" s="155"/>
      <c r="F5198" s="154" t="s">
        <v>11141</v>
      </c>
      <c r="G5198" s="156">
        <v>0.0</v>
      </c>
      <c r="H5198" s="156">
        <v>0.0</v>
      </c>
      <c r="I5198" s="154">
        <v>9.71506539646E11</v>
      </c>
      <c r="J5198" s="156">
        <v>0.0</v>
      </c>
      <c r="K5198" s="154" t="s">
        <v>361</v>
      </c>
    </row>
    <row r="5199">
      <c r="A5199" s="154" t="s">
        <v>11139</v>
      </c>
      <c r="B5199" s="154" t="s">
        <v>11140</v>
      </c>
      <c r="C5199" s="155"/>
      <c r="D5199" s="154">
        <v>2.0</v>
      </c>
      <c r="E5199" s="154" t="s">
        <v>897</v>
      </c>
      <c r="F5199" s="154" t="s">
        <v>792</v>
      </c>
      <c r="G5199" s="154" t="s">
        <v>793</v>
      </c>
      <c r="H5199" s="154" t="s">
        <v>794</v>
      </c>
      <c r="I5199" s="156">
        <v>0.0</v>
      </c>
      <c r="J5199" s="156">
        <v>0.0</v>
      </c>
      <c r="K5199" s="156">
        <v>0.0</v>
      </c>
    </row>
    <row r="5200">
      <c r="A5200" s="154" t="s">
        <v>11142</v>
      </c>
      <c r="B5200" s="154" t="s">
        <v>11143</v>
      </c>
      <c r="C5200" s="155"/>
      <c r="D5200" s="154">
        <v>2.0</v>
      </c>
      <c r="E5200" s="154" t="s">
        <v>897</v>
      </c>
      <c r="F5200" s="154" t="s">
        <v>11144</v>
      </c>
      <c r="G5200" s="154">
        <v>4.3496565E7</v>
      </c>
      <c r="H5200" s="156">
        <v>0.0</v>
      </c>
      <c r="I5200" s="154">
        <v>9.71506457282E11</v>
      </c>
      <c r="J5200" s="156">
        <v>0.0</v>
      </c>
      <c r="K5200" s="154" t="s">
        <v>361</v>
      </c>
    </row>
    <row r="5201">
      <c r="A5201" s="154" t="s">
        <v>11142</v>
      </c>
      <c r="B5201" s="155"/>
      <c r="C5201" s="154" t="s">
        <v>11143</v>
      </c>
      <c r="D5201" s="155"/>
      <c r="E5201" s="155"/>
      <c r="F5201" s="154" t="s">
        <v>11145</v>
      </c>
      <c r="G5201" s="156">
        <v>0.0</v>
      </c>
      <c r="H5201" s="154" t="s">
        <v>11146</v>
      </c>
      <c r="I5201" s="154" t="s">
        <v>11147</v>
      </c>
      <c r="J5201" s="156">
        <v>0.0</v>
      </c>
      <c r="K5201" s="154" t="s">
        <v>361</v>
      </c>
    </row>
    <row r="5202">
      <c r="A5202" s="154" t="s">
        <v>11148</v>
      </c>
      <c r="B5202" s="154" t="s">
        <v>11149</v>
      </c>
      <c r="C5202" s="155"/>
      <c r="D5202" s="154">
        <v>2.0</v>
      </c>
      <c r="E5202" s="154" t="s">
        <v>897</v>
      </c>
      <c r="F5202" s="154" t="s">
        <v>11150</v>
      </c>
      <c r="G5202" s="156">
        <v>0.0</v>
      </c>
      <c r="H5202" s="154" t="s">
        <v>4686</v>
      </c>
      <c r="I5202" s="154" t="s">
        <v>11151</v>
      </c>
      <c r="J5202" s="154" t="s">
        <v>11152</v>
      </c>
      <c r="K5202" s="154" t="s">
        <v>361</v>
      </c>
    </row>
    <row r="5203">
      <c r="A5203" s="154" t="s">
        <v>11148</v>
      </c>
      <c r="B5203" s="155"/>
      <c r="C5203" s="154" t="s">
        <v>11149</v>
      </c>
      <c r="D5203" s="155"/>
      <c r="E5203" s="155"/>
      <c r="F5203" s="154" t="s">
        <v>11153</v>
      </c>
      <c r="G5203" s="156">
        <v>0.0</v>
      </c>
      <c r="H5203" s="154" t="s">
        <v>11154</v>
      </c>
      <c r="I5203" s="154" t="s">
        <v>11155</v>
      </c>
      <c r="J5203" s="156">
        <v>0.0</v>
      </c>
      <c r="K5203" s="154" t="s">
        <v>361</v>
      </c>
    </row>
    <row r="5204">
      <c r="A5204" s="154" t="s">
        <v>11156</v>
      </c>
      <c r="B5204" s="154" t="s">
        <v>11157</v>
      </c>
      <c r="C5204" s="155"/>
      <c r="D5204" s="154">
        <v>2.0</v>
      </c>
      <c r="E5204" s="154" t="s">
        <v>897</v>
      </c>
      <c r="F5204" s="154" t="s">
        <v>11158</v>
      </c>
      <c r="G5204" s="156">
        <v>0.0</v>
      </c>
      <c r="H5204" s="154" t="s">
        <v>11159</v>
      </c>
      <c r="I5204" s="155">
        <f>+971555433092</f>
        <v>971555433092</v>
      </c>
      <c r="J5204" s="156">
        <v>0.0</v>
      </c>
      <c r="K5204" s="154" t="s">
        <v>361</v>
      </c>
    </row>
    <row r="5205">
      <c r="A5205" s="154" t="s">
        <v>11156</v>
      </c>
      <c r="B5205" s="155"/>
      <c r="C5205" s="154" t="s">
        <v>11157</v>
      </c>
      <c r="D5205" s="155"/>
      <c r="E5205" s="155"/>
      <c r="F5205" s="154" t="s">
        <v>11160</v>
      </c>
      <c r="G5205" s="154">
        <v>9.71043341291E11</v>
      </c>
      <c r="H5205" s="156">
        <v>0.0</v>
      </c>
      <c r="I5205" s="154">
        <v>5.04621201E8</v>
      </c>
      <c r="J5205" s="156">
        <v>0.0</v>
      </c>
      <c r="K5205" s="154" t="s">
        <v>1059</v>
      </c>
    </row>
    <row r="5206">
      <c r="A5206" s="154" t="s">
        <v>11161</v>
      </c>
      <c r="B5206" s="154" t="s">
        <v>11162</v>
      </c>
      <c r="C5206" s="155"/>
      <c r="D5206" s="154">
        <v>2.0</v>
      </c>
      <c r="E5206" s="154" t="s">
        <v>897</v>
      </c>
      <c r="F5206" s="154" t="s">
        <v>11163</v>
      </c>
      <c r="G5206" s="156">
        <v>0.0</v>
      </c>
      <c r="H5206" s="154" t="s">
        <v>3913</v>
      </c>
      <c r="I5206" s="154" t="s">
        <v>11164</v>
      </c>
      <c r="J5206" s="154" t="s">
        <v>809</v>
      </c>
      <c r="K5206" s="154" t="s">
        <v>776</v>
      </c>
    </row>
    <row r="5207">
      <c r="A5207" s="154" t="s">
        <v>11161</v>
      </c>
      <c r="B5207" s="155"/>
      <c r="C5207" s="154" t="s">
        <v>11162</v>
      </c>
      <c r="D5207" s="155"/>
      <c r="E5207" s="155"/>
      <c r="F5207" s="154" t="s">
        <v>11163</v>
      </c>
      <c r="G5207" s="156">
        <v>0.0</v>
      </c>
      <c r="H5207" s="154" t="s">
        <v>3913</v>
      </c>
      <c r="I5207" s="154" t="s">
        <v>11164</v>
      </c>
      <c r="J5207" s="154" t="s">
        <v>809</v>
      </c>
      <c r="K5207" s="154" t="s">
        <v>776</v>
      </c>
    </row>
    <row r="5208">
      <c r="A5208" s="154" t="s">
        <v>11165</v>
      </c>
      <c r="B5208" s="154" t="s">
        <v>11166</v>
      </c>
      <c r="C5208" s="155"/>
      <c r="D5208" s="154">
        <v>2.0</v>
      </c>
      <c r="E5208" s="154" t="s">
        <v>897</v>
      </c>
      <c r="F5208" s="154" t="s">
        <v>11167</v>
      </c>
      <c r="G5208" s="154">
        <v>4.3349943E7</v>
      </c>
      <c r="H5208" s="156">
        <v>0.0</v>
      </c>
      <c r="I5208" s="154">
        <v>9.71505648229E11</v>
      </c>
      <c r="J5208" s="156">
        <v>0.0</v>
      </c>
      <c r="K5208" s="154" t="s">
        <v>361</v>
      </c>
    </row>
    <row r="5209">
      <c r="A5209" s="154" t="s">
        <v>11165</v>
      </c>
      <c r="B5209" s="155"/>
      <c r="C5209" s="154" t="s">
        <v>11166</v>
      </c>
      <c r="D5209" s="155"/>
      <c r="E5209" s="155"/>
      <c r="F5209" s="154" t="s">
        <v>11168</v>
      </c>
      <c r="G5209" s="154">
        <v>1.0</v>
      </c>
      <c r="H5209" s="156">
        <v>0.0</v>
      </c>
      <c r="I5209" s="154">
        <v>9.7150719821E11</v>
      </c>
      <c r="J5209" s="156">
        <v>0.0</v>
      </c>
      <c r="K5209" s="154" t="s">
        <v>361</v>
      </c>
    </row>
    <row r="5210">
      <c r="A5210" s="154" t="s">
        <v>11169</v>
      </c>
      <c r="B5210" s="154" t="s">
        <v>11170</v>
      </c>
      <c r="C5210" s="155"/>
      <c r="D5210" s="154">
        <v>2.0</v>
      </c>
      <c r="E5210" s="154" t="s">
        <v>897</v>
      </c>
      <c r="F5210" s="154" t="s">
        <v>11171</v>
      </c>
      <c r="G5210" s="156">
        <v>0.0</v>
      </c>
      <c r="H5210" s="156">
        <v>0.0</v>
      </c>
      <c r="I5210" s="154" t="s">
        <v>5166</v>
      </c>
      <c r="J5210" s="156">
        <v>0.0</v>
      </c>
      <c r="K5210" s="154" t="s">
        <v>1408</v>
      </c>
    </row>
    <row r="5211">
      <c r="A5211" s="154" t="s">
        <v>11169</v>
      </c>
      <c r="B5211" s="155"/>
      <c r="C5211" s="154" t="s">
        <v>11170</v>
      </c>
      <c r="D5211" s="155"/>
      <c r="E5211" s="155"/>
      <c r="F5211" s="154" t="s">
        <v>11171</v>
      </c>
      <c r="G5211" s="156">
        <v>0.0</v>
      </c>
      <c r="H5211" s="156">
        <v>0.0</v>
      </c>
      <c r="I5211" s="154" t="s">
        <v>5166</v>
      </c>
      <c r="J5211" s="156">
        <v>0.0</v>
      </c>
      <c r="K5211" s="154" t="s">
        <v>1408</v>
      </c>
    </row>
    <row r="5212">
      <c r="A5212" s="154" t="s">
        <v>11172</v>
      </c>
      <c r="B5212" s="155"/>
      <c r="C5212" s="154" t="s">
        <v>11173</v>
      </c>
      <c r="D5212" s="155"/>
      <c r="E5212" s="155"/>
      <c r="F5212" s="154" t="s">
        <v>2646</v>
      </c>
      <c r="G5212" s="156">
        <v>0.0</v>
      </c>
      <c r="H5212" s="154" t="s">
        <v>2647</v>
      </c>
      <c r="I5212" s="154">
        <v>5.06226425E8</v>
      </c>
      <c r="J5212" s="154" t="s">
        <v>2648</v>
      </c>
      <c r="K5212" s="154" t="s">
        <v>361</v>
      </c>
    </row>
    <row r="5213">
      <c r="A5213" s="154" t="s">
        <v>11172</v>
      </c>
      <c r="B5213" s="154" t="s">
        <v>11173</v>
      </c>
      <c r="C5213" s="155"/>
      <c r="D5213" s="154">
        <v>2.0</v>
      </c>
      <c r="E5213" s="154" t="s">
        <v>897</v>
      </c>
      <c r="F5213" s="154" t="s">
        <v>2646</v>
      </c>
      <c r="G5213" s="156">
        <v>0.0</v>
      </c>
      <c r="H5213" s="154" t="s">
        <v>2647</v>
      </c>
      <c r="I5213" s="154">
        <v>5.06226425E8</v>
      </c>
      <c r="J5213" s="154" t="s">
        <v>2648</v>
      </c>
      <c r="K5213" s="154" t="s">
        <v>361</v>
      </c>
    </row>
    <row r="5214">
      <c r="A5214" s="154" t="s">
        <v>11174</v>
      </c>
      <c r="B5214" s="154" t="s">
        <v>11175</v>
      </c>
      <c r="C5214" s="155"/>
      <c r="D5214" s="154">
        <v>2.0</v>
      </c>
      <c r="E5214" s="154" t="s">
        <v>897</v>
      </c>
      <c r="F5214" s="154" t="s">
        <v>11176</v>
      </c>
      <c r="G5214" s="156">
        <v>0.0</v>
      </c>
      <c r="H5214" s="156">
        <v>0.0</v>
      </c>
      <c r="I5214" s="154">
        <v>9.71504549129E11</v>
      </c>
      <c r="J5214" s="156">
        <v>0.0</v>
      </c>
      <c r="K5214" s="154" t="s">
        <v>1059</v>
      </c>
    </row>
    <row r="5215">
      <c r="A5215" s="154" t="s">
        <v>11174</v>
      </c>
      <c r="B5215" s="155"/>
      <c r="C5215" s="154" t="s">
        <v>11175</v>
      </c>
      <c r="D5215" s="155"/>
      <c r="E5215" s="155"/>
      <c r="F5215" s="154" t="s">
        <v>792</v>
      </c>
      <c r="G5215" s="154" t="s">
        <v>793</v>
      </c>
      <c r="H5215" s="154" t="s">
        <v>794</v>
      </c>
      <c r="I5215" s="156">
        <v>0.0</v>
      </c>
      <c r="J5215" s="156">
        <v>0.0</v>
      </c>
      <c r="K5215" s="156">
        <v>0.0</v>
      </c>
    </row>
    <row r="5216">
      <c r="A5216" s="154" t="s">
        <v>11177</v>
      </c>
      <c r="B5216" s="155"/>
      <c r="C5216" s="154" t="s">
        <v>11178</v>
      </c>
      <c r="D5216" s="155"/>
      <c r="E5216" s="155"/>
      <c r="F5216" s="154" t="s">
        <v>2606</v>
      </c>
      <c r="G5216" s="154" t="s">
        <v>11179</v>
      </c>
      <c r="H5216" s="156">
        <v>0.0</v>
      </c>
      <c r="I5216" s="154">
        <v>9.71506410375E11</v>
      </c>
      <c r="J5216" s="156">
        <v>0.0</v>
      </c>
      <c r="K5216" s="154" t="s">
        <v>760</v>
      </c>
    </row>
    <row r="5217">
      <c r="A5217" s="154" t="s">
        <v>11177</v>
      </c>
      <c r="B5217" s="154" t="s">
        <v>11178</v>
      </c>
      <c r="C5217" s="155"/>
      <c r="D5217" s="154">
        <v>2.0</v>
      </c>
      <c r="E5217" s="154" t="s">
        <v>897</v>
      </c>
      <c r="F5217" s="154" t="s">
        <v>2606</v>
      </c>
      <c r="G5217" s="154" t="s">
        <v>11179</v>
      </c>
      <c r="H5217" s="156">
        <v>0.0</v>
      </c>
      <c r="I5217" s="154">
        <v>9.71506410375E11</v>
      </c>
      <c r="J5217" s="156">
        <v>0.0</v>
      </c>
      <c r="K5217" s="154" t="s">
        <v>760</v>
      </c>
    </row>
    <row r="5218">
      <c r="A5218" s="154" t="s">
        <v>11180</v>
      </c>
      <c r="B5218" s="154" t="s">
        <v>11181</v>
      </c>
      <c r="C5218" s="155"/>
      <c r="D5218" s="154">
        <v>2.0</v>
      </c>
      <c r="E5218" s="154" t="s">
        <v>897</v>
      </c>
      <c r="F5218" s="154" t="s">
        <v>7640</v>
      </c>
      <c r="G5218" s="156">
        <v>0.0</v>
      </c>
      <c r="H5218" s="156">
        <v>0.0</v>
      </c>
      <c r="I5218" s="154" t="s">
        <v>7641</v>
      </c>
      <c r="J5218" s="156">
        <v>0.0</v>
      </c>
      <c r="K5218" s="154" t="s">
        <v>914</v>
      </c>
    </row>
    <row r="5219">
      <c r="A5219" s="154" t="s">
        <v>11180</v>
      </c>
      <c r="B5219" s="155"/>
      <c r="C5219" s="154" t="s">
        <v>11181</v>
      </c>
      <c r="D5219" s="155"/>
      <c r="E5219" s="155"/>
      <c r="F5219" s="154" t="s">
        <v>7640</v>
      </c>
      <c r="G5219" s="156">
        <v>0.0</v>
      </c>
      <c r="H5219" s="156">
        <v>0.0</v>
      </c>
      <c r="I5219" s="154" t="s">
        <v>7641</v>
      </c>
      <c r="J5219" s="156">
        <v>0.0</v>
      </c>
      <c r="K5219" s="154" t="s">
        <v>914</v>
      </c>
    </row>
    <row r="5220">
      <c r="A5220" s="154" t="s">
        <v>11182</v>
      </c>
      <c r="B5220" s="155"/>
      <c r="C5220" s="154" t="s">
        <v>11183</v>
      </c>
      <c r="D5220" s="155"/>
      <c r="E5220" s="155"/>
      <c r="F5220" s="154" t="s">
        <v>11184</v>
      </c>
      <c r="G5220" s="154">
        <v>4.3385567E7</v>
      </c>
      <c r="H5220" s="156">
        <v>0.0</v>
      </c>
      <c r="I5220" s="154">
        <v>5.0450594E8</v>
      </c>
      <c r="J5220" s="156">
        <v>0.0</v>
      </c>
      <c r="K5220" s="154" t="s">
        <v>240</v>
      </c>
    </row>
    <row r="5221">
      <c r="A5221" s="154" t="s">
        <v>11182</v>
      </c>
      <c r="B5221" s="154" t="s">
        <v>11183</v>
      </c>
      <c r="C5221" s="155"/>
      <c r="D5221" s="154">
        <v>2.0</v>
      </c>
      <c r="E5221" s="154" t="s">
        <v>897</v>
      </c>
      <c r="F5221" s="154" t="s">
        <v>11184</v>
      </c>
      <c r="G5221" s="154">
        <v>4.3385567E7</v>
      </c>
      <c r="H5221" s="156">
        <v>0.0</v>
      </c>
      <c r="I5221" s="154">
        <v>5.0450594E8</v>
      </c>
      <c r="J5221" s="156">
        <v>0.0</v>
      </c>
      <c r="K5221" s="154" t="s">
        <v>240</v>
      </c>
    </row>
    <row r="5222">
      <c r="A5222" s="154" t="s">
        <v>11185</v>
      </c>
      <c r="B5222" s="155"/>
      <c r="C5222" s="154" t="s">
        <v>11186</v>
      </c>
      <c r="D5222" s="155"/>
      <c r="E5222" s="155"/>
      <c r="F5222" s="154" t="s">
        <v>11187</v>
      </c>
      <c r="G5222" s="156">
        <v>0.0</v>
      </c>
      <c r="H5222" s="156">
        <v>0.0</v>
      </c>
      <c r="I5222" s="154" t="s">
        <v>11188</v>
      </c>
      <c r="J5222" s="154" t="s">
        <v>11189</v>
      </c>
      <c r="K5222" s="154" t="s">
        <v>259</v>
      </c>
    </row>
    <row r="5223">
      <c r="A5223" s="154" t="s">
        <v>11185</v>
      </c>
      <c r="B5223" s="154" t="s">
        <v>11190</v>
      </c>
      <c r="D5223" s="154">
        <v>2.0</v>
      </c>
      <c r="E5223" s="154" t="s">
        <v>897</v>
      </c>
      <c r="F5223" s="154" t="s">
        <v>11187</v>
      </c>
      <c r="G5223" s="156">
        <v>0.0</v>
      </c>
      <c r="H5223" s="156">
        <v>0.0</v>
      </c>
      <c r="I5223" s="154" t="s">
        <v>11188</v>
      </c>
      <c r="J5223" s="154" t="s">
        <v>11189</v>
      </c>
      <c r="K5223" s="154" t="s">
        <v>259</v>
      </c>
    </row>
    <row r="5224">
      <c r="A5224" s="154" t="s">
        <v>11191</v>
      </c>
      <c r="B5224" s="155"/>
      <c r="C5224" s="155"/>
      <c r="D5224" s="154">
        <v>2.0</v>
      </c>
      <c r="E5224" s="154" t="s">
        <v>897</v>
      </c>
      <c r="F5224" s="154" t="s">
        <v>2844</v>
      </c>
      <c r="G5224" s="156">
        <v>0.0</v>
      </c>
      <c r="H5224" s="156">
        <v>0.0</v>
      </c>
      <c r="I5224" s="154" t="s">
        <v>2845</v>
      </c>
      <c r="J5224" s="154" t="s">
        <v>2846</v>
      </c>
      <c r="K5224" s="154" t="s">
        <v>207</v>
      </c>
    </row>
    <row r="5225">
      <c r="A5225" s="154" t="s">
        <v>11191</v>
      </c>
      <c r="B5225" s="155"/>
      <c r="C5225" s="154" t="s">
        <v>11192</v>
      </c>
      <c r="D5225" s="155"/>
      <c r="E5225" s="155"/>
      <c r="F5225" s="154" t="s">
        <v>2844</v>
      </c>
      <c r="G5225" s="156">
        <v>0.0</v>
      </c>
      <c r="H5225" s="156">
        <v>0.0</v>
      </c>
      <c r="I5225" s="154" t="s">
        <v>2845</v>
      </c>
      <c r="J5225" s="154" t="s">
        <v>2846</v>
      </c>
      <c r="K5225" s="154" t="s">
        <v>207</v>
      </c>
    </row>
    <row r="5226">
      <c r="A5226" s="154" t="s">
        <v>11193</v>
      </c>
      <c r="B5226" s="155"/>
      <c r="C5226" s="154" t="s">
        <v>11194</v>
      </c>
      <c r="D5226" s="155"/>
      <c r="E5226" s="155"/>
      <c r="F5226" s="154" t="s">
        <v>11195</v>
      </c>
      <c r="G5226" s="154">
        <v>5.03537554E8</v>
      </c>
      <c r="H5226" s="156">
        <v>0.0</v>
      </c>
      <c r="I5226" s="154">
        <v>5.03537554E8</v>
      </c>
      <c r="J5226" s="156">
        <v>0.0</v>
      </c>
      <c r="K5226" s="154" t="s">
        <v>776</v>
      </c>
    </row>
    <row r="5227">
      <c r="A5227" s="154" t="s">
        <v>11193</v>
      </c>
      <c r="B5227" s="154" t="s">
        <v>11194</v>
      </c>
      <c r="D5227" s="154">
        <v>2.0</v>
      </c>
      <c r="E5227" s="154" t="s">
        <v>761</v>
      </c>
      <c r="F5227" s="154" t="s">
        <v>1619</v>
      </c>
      <c r="G5227" s="154">
        <v>4.3903333E7</v>
      </c>
      <c r="H5227" s="154" t="s">
        <v>1620</v>
      </c>
      <c r="I5227" s="156">
        <v>0.0</v>
      </c>
      <c r="J5227" s="156">
        <v>0.0</v>
      </c>
      <c r="K5227" s="156">
        <v>0.0</v>
      </c>
    </row>
    <row r="5228">
      <c r="A5228" s="154" t="s">
        <v>11196</v>
      </c>
      <c r="B5228" s="155"/>
      <c r="C5228" s="154" t="s">
        <v>11197</v>
      </c>
      <c r="D5228" s="155"/>
      <c r="E5228" s="155"/>
      <c r="F5228" s="154" t="s">
        <v>11198</v>
      </c>
      <c r="G5228" s="156">
        <v>0.0</v>
      </c>
      <c r="H5228" s="156">
        <v>0.0</v>
      </c>
      <c r="I5228" s="154" t="s">
        <v>11199</v>
      </c>
      <c r="J5228" s="154" t="s">
        <v>11200</v>
      </c>
      <c r="K5228" s="154" t="s">
        <v>361</v>
      </c>
    </row>
    <row r="5229">
      <c r="A5229" s="154" t="s">
        <v>11196</v>
      </c>
      <c r="B5229" s="154" t="s">
        <v>11197</v>
      </c>
      <c r="D5229" s="154">
        <v>2.0</v>
      </c>
      <c r="E5229" s="154" t="s">
        <v>761</v>
      </c>
      <c r="F5229" s="154" t="s">
        <v>11198</v>
      </c>
      <c r="G5229" s="156">
        <v>0.0</v>
      </c>
      <c r="H5229" s="156">
        <v>0.0</v>
      </c>
      <c r="I5229" s="154" t="s">
        <v>11199</v>
      </c>
      <c r="J5229" s="154" t="s">
        <v>11200</v>
      </c>
      <c r="K5229" s="154" t="s">
        <v>361</v>
      </c>
    </row>
    <row r="5230">
      <c r="A5230" s="154" t="s">
        <v>11201</v>
      </c>
      <c r="B5230" s="155"/>
      <c r="C5230" s="155"/>
      <c r="D5230" s="154">
        <v>2.0</v>
      </c>
      <c r="E5230" s="154" t="s">
        <v>897</v>
      </c>
      <c r="F5230" s="154" t="s">
        <v>11202</v>
      </c>
      <c r="G5230" s="156">
        <v>0.0</v>
      </c>
      <c r="H5230" s="156">
        <v>0.0</v>
      </c>
      <c r="I5230" s="154" t="s">
        <v>11203</v>
      </c>
      <c r="J5230" s="154" t="s">
        <v>11204</v>
      </c>
      <c r="K5230" s="154" t="s">
        <v>361</v>
      </c>
    </row>
    <row r="5231">
      <c r="A5231" s="154" t="s">
        <v>11201</v>
      </c>
      <c r="B5231" s="155"/>
      <c r="C5231" s="154" t="s">
        <v>11205</v>
      </c>
      <c r="D5231" s="155"/>
      <c r="E5231" s="155"/>
      <c r="F5231" s="154" t="s">
        <v>11202</v>
      </c>
      <c r="G5231" s="156">
        <v>0.0</v>
      </c>
      <c r="H5231" s="156">
        <v>0.0</v>
      </c>
      <c r="I5231" s="154" t="s">
        <v>11203</v>
      </c>
      <c r="J5231" s="154" t="s">
        <v>11204</v>
      </c>
      <c r="K5231" s="154" t="s">
        <v>361</v>
      </c>
    </row>
    <row r="5232">
      <c r="A5232" s="154" t="s">
        <v>11206</v>
      </c>
      <c r="B5232" s="155"/>
      <c r="C5232" s="155"/>
      <c r="D5232" s="154">
        <v>2.0</v>
      </c>
      <c r="E5232" s="154" t="s">
        <v>897</v>
      </c>
      <c r="F5232" s="154" t="s">
        <v>6216</v>
      </c>
      <c r="G5232" s="154" t="s">
        <v>6214</v>
      </c>
      <c r="H5232" s="156">
        <v>0.0</v>
      </c>
      <c r="I5232" s="154" t="s">
        <v>6215</v>
      </c>
      <c r="J5232" s="154" t="s">
        <v>6214</v>
      </c>
      <c r="K5232" s="154" t="s">
        <v>776</v>
      </c>
    </row>
    <row r="5233">
      <c r="A5233" s="154" t="s">
        <v>11206</v>
      </c>
      <c r="B5233" s="155"/>
      <c r="C5233" s="154" t="s">
        <v>11207</v>
      </c>
      <c r="D5233" s="155"/>
      <c r="E5233" s="155"/>
      <c r="F5233" s="154" t="s">
        <v>1619</v>
      </c>
      <c r="G5233" s="154">
        <v>4.3903333E7</v>
      </c>
      <c r="H5233" s="154" t="s">
        <v>1620</v>
      </c>
      <c r="I5233" s="156">
        <v>0.0</v>
      </c>
      <c r="J5233" s="156">
        <v>0.0</v>
      </c>
      <c r="K5233" s="156">
        <v>0.0</v>
      </c>
    </row>
    <row r="5234">
      <c r="A5234" s="154" t="s">
        <v>11208</v>
      </c>
      <c r="B5234" s="155"/>
      <c r="C5234" s="154" t="s">
        <v>11209</v>
      </c>
      <c r="D5234" s="155"/>
      <c r="E5234" s="155"/>
      <c r="F5234" s="154" t="s">
        <v>6216</v>
      </c>
      <c r="G5234" s="154" t="s">
        <v>6214</v>
      </c>
      <c r="H5234" s="156">
        <v>0.0</v>
      </c>
      <c r="I5234" s="154" t="s">
        <v>6215</v>
      </c>
      <c r="J5234" s="154" t="s">
        <v>6214</v>
      </c>
      <c r="K5234" s="154" t="s">
        <v>776</v>
      </c>
      <c r="L5234" s="88" t="s">
        <v>11210</v>
      </c>
    </row>
    <row r="5235">
      <c r="A5235" s="154" t="s">
        <v>11208</v>
      </c>
      <c r="B5235" s="155"/>
      <c r="C5235" s="155"/>
      <c r="D5235" s="154">
        <v>2.0</v>
      </c>
      <c r="E5235" s="154" t="s">
        <v>897</v>
      </c>
      <c r="F5235" s="154" t="s">
        <v>6216</v>
      </c>
      <c r="G5235" s="154" t="s">
        <v>6214</v>
      </c>
      <c r="H5235" s="156">
        <v>0.0</v>
      </c>
      <c r="I5235" s="154" t="s">
        <v>6215</v>
      </c>
      <c r="J5235" s="154" t="s">
        <v>6214</v>
      </c>
      <c r="K5235" s="154" t="s">
        <v>776</v>
      </c>
    </row>
    <row r="5236">
      <c r="A5236" s="154" t="s">
        <v>11211</v>
      </c>
      <c r="B5236" s="155"/>
      <c r="C5236" s="154" t="s">
        <v>11212</v>
      </c>
      <c r="D5236" s="155"/>
      <c r="E5236" s="155"/>
      <c r="F5236" s="154" t="s">
        <v>11035</v>
      </c>
      <c r="G5236" s="154">
        <v>4.3351885E7</v>
      </c>
      <c r="H5236" s="156">
        <v>0.0</v>
      </c>
      <c r="I5236" s="154">
        <v>9.71506587517E11</v>
      </c>
      <c r="J5236" s="156">
        <v>0.0</v>
      </c>
      <c r="K5236" s="154" t="s">
        <v>361</v>
      </c>
    </row>
    <row r="5237">
      <c r="A5237" s="154" t="s">
        <v>11211</v>
      </c>
      <c r="B5237" s="154" t="s">
        <v>11213</v>
      </c>
      <c r="D5237" s="154">
        <v>2.0</v>
      </c>
      <c r="E5237" s="154" t="s">
        <v>897</v>
      </c>
      <c r="F5237" s="154" t="s">
        <v>11035</v>
      </c>
      <c r="G5237" s="154">
        <v>4.3351885E7</v>
      </c>
      <c r="H5237" s="156">
        <v>0.0</v>
      </c>
      <c r="I5237" s="154">
        <v>9.71506587517E11</v>
      </c>
      <c r="J5237" s="156">
        <v>0.0</v>
      </c>
      <c r="K5237" s="154" t="s">
        <v>361</v>
      </c>
    </row>
    <row r="5238">
      <c r="A5238" s="154" t="s">
        <v>11214</v>
      </c>
      <c r="B5238" s="155"/>
      <c r="C5238" s="154" t="s">
        <v>11215</v>
      </c>
      <c r="D5238" s="155"/>
      <c r="E5238" s="155"/>
      <c r="F5238" s="154" t="s">
        <v>1619</v>
      </c>
      <c r="G5238" s="154">
        <v>4.3903333E7</v>
      </c>
      <c r="H5238" s="154" t="s">
        <v>1620</v>
      </c>
      <c r="I5238" s="156">
        <v>0.0</v>
      </c>
      <c r="J5238" s="156">
        <v>0.0</v>
      </c>
      <c r="K5238" s="156">
        <v>0.0</v>
      </c>
    </row>
    <row r="5239">
      <c r="A5239" s="154" t="s">
        <v>11214</v>
      </c>
      <c r="B5239" s="154" t="s">
        <v>11216</v>
      </c>
      <c r="D5239" s="154">
        <v>2.0</v>
      </c>
      <c r="E5239" s="154" t="s">
        <v>897</v>
      </c>
      <c r="F5239" s="154" t="s">
        <v>11217</v>
      </c>
      <c r="G5239" s="154">
        <v>5.28883777E8</v>
      </c>
      <c r="H5239" s="156">
        <v>0.0</v>
      </c>
      <c r="I5239" s="154" t="s">
        <v>11218</v>
      </c>
      <c r="J5239" s="156">
        <v>0.0</v>
      </c>
      <c r="K5239" s="154" t="s">
        <v>939</v>
      </c>
    </row>
    <row r="5240">
      <c r="A5240" s="154" t="s">
        <v>11219</v>
      </c>
      <c r="B5240" s="155"/>
      <c r="C5240" s="154" t="s">
        <v>11220</v>
      </c>
      <c r="D5240" s="155"/>
      <c r="E5240" s="155"/>
      <c r="F5240" s="154" t="s">
        <v>11217</v>
      </c>
      <c r="G5240" s="154">
        <v>5.28883777E8</v>
      </c>
      <c r="H5240" s="156">
        <v>0.0</v>
      </c>
      <c r="I5240" s="154" t="s">
        <v>11218</v>
      </c>
      <c r="J5240" s="156">
        <v>0.0</v>
      </c>
      <c r="K5240" s="154" t="s">
        <v>939</v>
      </c>
    </row>
    <row r="5241">
      <c r="A5241" s="154" t="s">
        <v>11219</v>
      </c>
      <c r="B5241" s="154" t="s">
        <v>11221</v>
      </c>
      <c r="D5241" s="154">
        <v>2.0</v>
      </c>
      <c r="E5241" s="154" t="s">
        <v>897</v>
      </c>
      <c r="F5241" s="154" t="s">
        <v>11217</v>
      </c>
      <c r="G5241" s="154">
        <v>5.28883777E8</v>
      </c>
      <c r="H5241" s="156">
        <v>0.0</v>
      </c>
      <c r="I5241" s="154" t="s">
        <v>11218</v>
      </c>
      <c r="J5241" s="156">
        <v>0.0</v>
      </c>
      <c r="K5241" s="154" t="s">
        <v>939</v>
      </c>
    </row>
    <row r="5242">
      <c r="A5242" s="154" t="s">
        <v>11222</v>
      </c>
      <c r="B5242" s="155"/>
      <c r="C5242" s="154" t="s">
        <v>11223</v>
      </c>
      <c r="D5242" s="155"/>
      <c r="E5242" s="155"/>
      <c r="F5242" s="154" t="s">
        <v>11224</v>
      </c>
      <c r="G5242" s="154">
        <v>4.0</v>
      </c>
      <c r="H5242" s="156">
        <v>0.0</v>
      </c>
      <c r="I5242" s="156">
        <v>0.0</v>
      </c>
      <c r="J5242" s="156">
        <v>0.0</v>
      </c>
      <c r="K5242" s="156">
        <v>0.0</v>
      </c>
    </row>
    <row r="5243">
      <c r="A5243" s="154" t="s">
        <v>11222</v>
      </c>
      <c r="B5243" s="154" t="s">
        <v>11225</v>
      </c>
      <c r="D5243" s="154">
        <v>2.0</v>
      </c>
      <c r="E5243" s="154" t="s">
        <v>897</v>
      </c>
      <c r="F5243" s="154" t="s">
        <v>11224</v>
      </c>
      <c r="G5243" s="154">
        <v>4.0</v>
      </c>
      <c r="H5243" s="156">
        <v>0.0</v>
      </c>
      <c r="I5243" s="156">
        <v>0.0</v>
      </c>
      <c r="J5243" s="156">
        <v>0.0</v>
      </c>
      <c r="K5243" s="156">
        <v>0.0</v>
      </c>
    </row>
    <row r="5244">
      <c r="A5244" s="154" t="s">
        <v>11226</v>
      </c>
      <c r="B5244" s="155"/>
      <c r="C5244" s="154" t="s">
        <v>11227</v>
      </c>
      <c r="D5244" s="155"/>
      <c r="E5244" s="155"/>
      <c r="F5244" s="154" t="s">
        <v>1619</v>
      </c>
      <c r="G5244" s="154">
        <v>4.3903333E7</v>
      </c>
      <c r="H5244" s="154" t="s">
        <v>1620</v>
      </c>
      <c r="I5244" s="156">
        <v>0.0</v>
      </c>
      <c r="J5244" s="156">
        <v>0.0</v>
      </c>
      <c r="K5244" s="156">
        <v>0.0</v>
      </c>
    </row>
    <row r="5245">
      <c r="A5245" s="154" t="s">
        <v>11228</v>
      </c>
      <c r="B5245" s="155"/>
      <c r="C5245" s="154" t="s">
        <v>11229</v>
      </c>
      <c r="D5245" s="155"/>
      <c r="E5245" s="155"/>
      <c r="F5245" s="154" t="s">
        <v>1619</v>
      </c>
      <c r="G5245" s="154">
        <v>4.3903333E7</v>
      </c>
      <c r="H5245" s="154" t="s">
        <v>1620</v>
      </c>
      <c r="I5245" s="156">
        <v>0.0</v>
      </c>
      <c r="J5245" s="156">
        <v>0.0</v>
      </c>
      <c r="K5245" s="156">
        <v>0.0</v>
      </c>
    </row>
    <row r="5246">
      <c r="A5246" s="154" t="s">
        <v>11230</v>
      </c>
      <c r="B5246" s="155"/>
      <c r="C5246" s="154" t="s">
        <v>11231</v>
      </c>
      <c r="D5246" s="155"/>
      <c r="E5246" s="155"/>
      <c r="F5246" s="154" t="s">
        <v>1619</v>
      </c>
      <c r="G5246" s="154">
        <v>4.3903333E7</v>
      </c>
      <c r="H5246" s="154" t="s">
        <v>1620</v>
      </c>
      <c r="I5246" s="156">
        <v>0.0</v>
      </c>
      <c r="J5246" s="156">
        <v>0.0</v>
      </c>
      <c r="K5246" s="156">
        <v>0.0</v>
      </c>
    </row>
    <row r="5247">
      <c r="A5247" s="154" t="s">
        <v>11232</v>
      </c>
      <c r="B5247" s="155"/>
      <c r="C5247" s="154" t="s">
        <v>11233</v>
      </c>
      <c r="D5247" s="155"/>
      <c r="E5247" s="155"/>
      <c r="F5247" s="154" t="s">
        <v>1619</v>
      </c>
      <c r="G5247" s="154">
        <v>4.3903333E7</v>
      </c>
      <c r="H5247" s="154" t="s">
        <v>1620</v>
      </c>
      <c r="I5247" s="156">
        <v>0.0</v>
      </c>
      <c r="J5247" s="156">
        <v>0.0</v>
      </c>
      <c r="K5247" s="156">
        <v>0.0</v>
      </c>
    </row>
    <row r="5248">
      <c r="A5248" s="154" t="s">
        <v>11232</v>
      </c>
      <c r="B5248" s="155"/>
      <c r="C5248" s="155"/>
      <c r="D5248" s="154">
        <v>2.0</v>
      </c>
      <c r="E5248" s="154" t="s">
        <v>897</v>
      </c>
      <c r="F5248" s="154" t="s">
        <v>3058</v>
      </c>
      <c r="G5248" s="156">
        <v>0.0</v>
      </c>
      <c r="H5248" s="154" t="s">
        <v>3059</v>
      </c>
      <c r="I5248" s="154" t="s">
        <v>3060</v>
      </c>
      <c r="J5248" s="154" t="s">
        <v>3061</v>
      </c>
      <c r="K5248" s="154" t="s">
        <v>760</v>
      </c>
    </row>
    <row r="5249">
      <c r="A5249" s="154" t="s">
        <v>11234</v>
      </c>
      <c r="B5249" s="155"/>
      <c r="C5249" s="155"/>
      <c r="D5249" s="154">
        <v>2.0</v>
      </c>
      <c r="E5249" s="154" t="s">
        <v>897</v>
      </c>
      <c r="F5249" s="154" t="s">
        <v>11235</v>
      </c>
      <c r="G5249" s="154">
        <v>4.2856595E7</v>
      </c>
      <c r="H5249" s="156">
        <v>0.0</v>
      </c>
      <c r="I5249" s="154">
        <v>5.06247149E8</v>
      </c>
      <c r="J5249" s="156">
        <v>0.0</v>
      </c>
      <c r="K5249" s="154" t="s">
        <v>760</v>
      </c>
      <c r="L5249" s="88" t="s">
        <v>11236</v>
      </c>
    </row>
    <row r="5250">
      <c r="A5250" s="154" t="s">
        <v>11234</v>
      </c>
      <c r="B5250" s="155"/>
      <c r="C5250" s="154" t="s">
        <v>11237</v>
      </c>
      <c r="D5250" s="155"/>
      <c r="E5250" s="155"/>
      <c r="F5250" s="154" t="s">
        <v>1619</v>
      </c>
      <c r="G5250" s="154">
        <v>4.3903333E7</v>
      </c>
      <c r="H5250" s="154" t="s">
        <v>1620</v>
      </c>
      <c r="I5250" s="156">
        <v>0.0</v>
      </c>
      <c r="J5250" s="156">
        <v>0.0</v>
      </c>
      <c r="K5250" s="156">
        <v>0.0</v>
      </c>
    </row>
    <row r="5251">
      <c r="A5251" s="154" t="s">
        <v>11238</v>
      </c>
      <c r="B5251" s="155"/>
      <c r="C5251" s="155"/>
      <c r="D5251" s="154">
        <v>2.0</v>
      </c>
      <c r="E5251" s="154" t="s">
        <v>897</v>
      </c>
      <c r="F5251" s="154" t="s">
        <v>11239</v>
      </c>
      <c r="G5251" s="156">
        <v>0.0</v>
      </c>
      <c r="H5251" s="154" t="s">
        <v>11240</v>
      </c>
      <c r="I5251" s="154" t="s">
        <v>11241</v>
      </c>
      <c r="J5251" s="154" t="s">
        <v>11242</v>
      </c>
      <c r="K5251" s="154" t="s">
        <v>760</v>
      </c>
    </row>
    <row r="5252">
      <c r="A5252" s="154" t="s">
        <v>11238</v>
      </c>
      <c r="B5252" s="155"/>
      <c r="C5252" s="154" t="s">
        <v>11243</v>
      </c>
      <c r="D5252" s="155"/>
      <c r="E5252" s="155"/>
      <c r="F5252" s="154" t="s">
        <v>11239</v>
      </c>
      <c r="G5252" s="156">
        <v>0.0</v>
      </c>
      <c r="H5252" s="154" t="s">
        <v>11240</v>
      </c>
      <c r="I5252" s="154" t="s">
        <v>11241</v>
      </c>
      <c r="J5252" s="154" t="s">
        <v>11242</v>
      </c>
      <c r="K5252" s="154" t="s">
        <v>760</v>
      </c>
    </row>
    <row r="5253">
      <c r="A5253" s="154" t="s">
        <v>11244</v>
      </c>
      <c r="B5253" s="155"/>
      <c r="C5253" s="154" t="s">
        <v>11245</v>
      </c>
      <c r="D5253" s="155"/>
      <c r="E5253" s="155"/>
      <c r="F5253" s="154" t="s">
        <v>11246</v>
      </c>
      <c r="G5253" s="156">
        <v>0.0</v>
      </c>
      <c r="H5253" s="154" t="s">
        <v>11247</v>
      </c>
      <c r="I5253" s="154" t="s">
        <v>11248</v>
      </c>
      <c r="J5253" s="156">
        <v>0.0</v>
      </c>
      <c r="K5253" s="154" t="s">
        <v>301</v>
      </c>
    </row>
    <row r="5254">
      <c r="A5254" s="154" t="s">
        <v>11244</v>
      </c>
      <c r="B5254" s="155"/>
      <c r="C5254" s="155"/>
      <c r="D5254" s="154">
        <v>2.0</v>
      </c>
      <c r="E5254" s="154" t="s">
        <v>897</v>
      </c>
      <c r="F5254" s="154" t="s">
        <v>11246</v>
      </c>
      <c r="G5254" s="156">
        <v>0.0</v>
      </c>
      <c r="H5254" s="154" t="s">
        <v>11247</v>
      </c>
      <c r="I5254" s="154" t="s">
        <v>11248</v>
      </c>
      <c r="J5254" s="156">
        <v>0.0</v>
      </c>
      <c r="K5254" s="154" t="s">
        <v>301</v>
      </c>
    </row>
    <row r="5255">
      <c r="A5255" s="154" t="s">
        <v>11249</v>
      </c>
      <c r="B5255" s="155"/>
      <c r="C5255" s="155"/>
      <c r="D5255" s="154">
        <v>2.0</v>
      </c>
      <c r="E5255" s="154" t="s">
        <v>897</v>
      </c>
      <c r="F5255" s="154" t="s">
        <v>10322</v>
      </c>
      <c r="G5255" s="156">
        <v>0.0</v>
      </c>
      <c r="H5255" s="156">
        <v>0.0</v>
      </c>
      <c r="I5255" s="154" t="s">
        <v>10323</v>
      </c>
      <c r="J5255" s="154" t="s">
        <v>10324</v>
      </c>
      <c r="K5255" s="154" t="s">
        <v>846</v>
      </c>
    </row>
    <row r="5256">
      <c r="A5256" s="154" t="s">
        <v>11249</v>
      </c>
      <c r="B5256" s="155"/>
      <c r="C5256" s="154" t="s">
        <v>11250</v>
      </c>
      <c r="D5256" s="155"/>
      <c r="E5256" s="155"/>
      <c r="F5256" s="154" t="s">
        <v>10322</v>
      </c>
      <c r="G5256" s="156">
        <v>0.0</v>
      </c>
      <c r="H5256" s="156">
        <v>0.0</v>
      </c>
      <c r="I5256" s="154" t="s">
        <v>10323</v>
      </c>
      <c r="J5256" s="154" t="s">
        <v>10324</v>
      </c>
      <c r="K5256" s="154" t="s">
        <v>846</v>
      </c>
    </row>
    <row r="5257">
      <c r="A5257" s="154" t="s">
        <v>11251</v>
      </c>
      <c r="B5257" s="155"/>
      <c r="C5257" s="155"/>
      <c r="D5257" s="154">
        <v>2.0</v>
      </c>
      <c r="E5257" s="154" t="s">
        <v>897</v>
      </c>
      <c r="F5257" s="154" t="s">
        <v>7553</v>
      </c>
      <c r="G5257" s="154" t="s">
        <v>7554</v>
      </c>
      <c r="H5257" s="156">
        <v>0.0</v>
      </c>
      <c r="I5257" s="154" t="s">
        <v>7555</v>
      </c>
      <c r="J5257" s="154" t="s">
        <v>7554</v>
      </c>
      <c r="K5257" s="154" t="s">
        <v>301</v>
      </c>
    </row>
    <row r="5258">
      <c r="A5258" s="154" t="s">
        <v>11252</v>
      </c>
      <c r="B5258" s="155"/>
      <c r="C5258" s="154" t="s">
        <v>11253</v>
      </c>
      <c r="D5258" s="155"/>
      <c r="E5258" s="155"/>
      <c r="F5258" s="154" t="s">
        <v>7553</v>
      </c>
      <c r="G5258" s="154" t="s">
        <v>7554</v>
      </c>
      <c r="H5258" s="156">
        <v>0.0</v>
      </c>
      <c r="I5258" s="154" t="s">
        <v>7555</v>
      </c>
      <c r="J5258" s="154" t="s">
        <v>7554</v>
      </c>
      <c r="K5258" s="154" t="s">
        <v>301</v>
      </c>
    </row>
    <row r="5259">
      <c r="A5259" s="154" t="s">
        <v>11254</v>
      </c>
      <c r="B5259" s="155"/>
      <c r="C5259" s="155"/>
      <c r="D5259" s="154">
        <v>2.0</v>
      </c>
      <c r="E5259" s="154" t="s">
        <v>897</v>
      </c>
      <c r="F5259" s="154" t="s">
        <v>11255</v>
      </c>
      <c r="G5259" s="154" t="s">
        <v>11256</v>
      </c>
      <c r="H5259" s="156">
        <v>0.0</v>
      </c>
      <c r="I5259" s="154">
        <v>9.71506590873E11</v>
      </c>
      <c r="J5259" s="156">
        <v>0.0</v>
      </c>
      <c r="K5259" s="154" t="s">
        <v>361</v>
      </c>
    </row>
    <row r="5260">
      <c r="A5260" s="154" t="s">
        <v>11254</v>
      </c>
      <c r="B5260" s="155"/>
      <c r="C5260" s="154" t="s">
        <v>11257</v>
      </c>
      <c r="D5260" s="155"/>
      <c r="E5260" s="155"/>
      <c r="F5260" s="154" t="s">
        <v>11258</v>
      </c>
      <c r="G5260" s="154" t="s">
        <v>11259</v>
      </c>
      <c r="H5260" s="156">
        <v>0.0</v>
      </c>
      <c r="I5260" s="154">
        <v>9.71506511784E11</v>
      </c>
      <c r="J5260" s="156">
        <v>0.0</v>
      </c>
      <c r="K5260" s="154" t="s">
        <v>361</v>
      </c>
    </row>
    <row r="5261">
      <c r="A5261" s="154" t="s">
        <v>11260</v>
      </c>
      <c r="B5261" s="154" t="s">
        <v>11261</v>
      </c>
      <c r="D5261" s="154" t="s">
        <v>11262</v>
      </c>
      <c r="E5261" s="155"/>
      <c r="F5261" s="154" t="s">
        <v>1619</v>
      </c>
      <c r="G5261" s="154">
        <v>4.3903333E7</v>
      </c>
      <c r="H5261" s="154" t="s">
        <v>1620</v>
      </c>
      <c r="I5261" s="156">
        <v>0.0</v>
      </c>
      <c r="J5261" s="156">
        <v>0.0</v>
      </c>
      <c r="K5261" s="156">
        <v>0.0</v>
      </c>
    </row>
    <row r="5262">
      <c r="A5262" s="154" t="s">
        <v>11260</v>
      </c>
      <c r="B5262" s="154" t="s">
        <v>11261</v>
      </c>
      <c r="D5262" s="154" t="s">
        <v>11262</v>
      </c>
      <c r="E5262" s="155"/>
      <c r="F5262" s="154" t="s">
        <v>1619</v>
      </c>
      <c r="G5262" s="154">
        <v>4.3903333E7</v>
      </c>
      <c r="H5262" s="154" t="s">
        <v>1620</v>
      </c>
      <c r="I5262" s="156">
        <v>0.0</v>
      </c>
      <c r="J5262" s="156">
        <v>0.0</v>
      </c>
      <c r="K5262" s="156">
        <v>0.0</v>
      </c>
    </row>
    <row r="5263">
      <c r="A5263" s="154" t="s">
        <v>11260</v>
      </c>
      <c r="B5263" s="154" t="s">
        <v>11261</v>
      </c>
      <c r="D5263" s="154" t="s">
        <v>11262</v>
      </c>
      <c r="E5263" s="155"/>
      <c r="F5263" s="154" t="s">
        <v>1619</v>
      </c>
      <c r="G5263" s="154">
        <v>4.3903333E7</v>
      </c>
      <c r="H5263" s="154" t="s">
        <v>1620</v>
      </c>
      <c r="I5263" s="156">
        <v>0.0</v>
      </c>
      <c r="J5263" s="156">
        <v>0.0</v>
      </c>
      <c r="K5263" s="156">
        <v>0.0</v>
      </c>
    </row>
    <row r="5264">
      <c r="A5264" s="154" t="s">
        <v>11260</v>
      </c>
      <c r="B5264" s="154" t="s">
        <v>11261</v>
      </c>
      <c r="D5264" s="154" t="s">
        <v>11262</v>
      </c>
      <c r="E5264" s="155"/>
      <c r="F5264" s="154" t="s">
        <v>1619</v>
      </c>
      <c r="G5264" s="154">
        <v>4.3903333E7</v>
      </c>
      <c r="H5264" s="154" t="s">
        <v>1620</v>
      </c>
      <c r="I5264" s="156">
        <v>0.0</v>
      </c>
      <c r="J5264" s="156">
        <v>0.0</v>
      </c>
      <c r="K5264" s="156">
        <v>0.0</v>
      </c>
    </row>
    <row r="5265">
      <c r="A5265" s="154" t="s">
        <v>11260</v>
      </c>
      <c r="B5265" s="154" t="s">
        <v>11261</v>
      </c>
      <c r="D5265" s="154" t="s">
        <v>11262</v>
      </c>
      <c r="E5265" s="155"/>
      <c r="F5265" s="154" t="s">
        <v>1619</v>
      </c>
      <c r="G5265" s="154">
        <v>4.3903333E7</v>
      </c>
      <c r="H5265" s="154" t="s">
        <v>1620</v>
      </c>
      <c r="I5265" s="156">
        <v>0.0</v>
      </c>
      <c r="J5265" s="156">
        <v>0.0</v>
      </c>
      <c r="K5265" s="156">
        <v>0.0</v>
      </c>
    </row>
    <row r="5266">
      <c r="A5266" s="154" t="s">
        <v>11260</v>
      </c>
      <c r="B5266" s="154" t="s">
        <v>11261</v>
      </c>
      <c r="D5266" s="154" t="s">
        <v>11262</v>
      </c>
      <c r="E5266" s="155"/>
      <c r="F5266" s="154" t="s">
        <v>1619</v>
      </c>
      <c r="G5266" s="154">
        <v>4.3903333E7</v>
      </c>
      <c r="H5266" s="154" t="s">
        <v>1620</v>
      </c>
      <c r="I5266" s="156">
        <v>0.0</v>
      </c>
      <c r="J5266" s="156">
        <v>0.0</v>
      </c>
      <c r="K5266" s="156">
        <v>0.0</v>
      </c>
    </row>
    <row r="5267">
      <c r="A5267" s="154" t="s">
        <v>11260</v>
      </c>
      <c r="B5267" s="154" t="s">
        <v>11261</v>
      </c>
      <c r="D5267" s="154" t="s">
        <v>11262</v>
      </c>
      <c r="E5267" s="155"/>
      <c r="F5267" s="154" t="s">
        <v>1619</v>
      </c>
      <c r="G5267" s="154">
        <v>4.3903333E7</v>
      </c>
      <c r="H5267" s="154" t="s">
        <v>1620</v>
      </c>
      <c r="I5267" s="156">
        <v>0.0</v>
      </c>
      <c r="J5267" s="156">
        <v>0.0</v>
      </c>
      <c r="K5267" s="156">
        <v>0.0</v>
      </c>
    </row>
    <row r="5268">
      <c r="A5268" s="154" t="s">
        <v>11260</v>
      </c>
      <c r="B5268" s="154" t="s">
        <v>11261</v>
      </c>
      <c r="D5268" s="154" t="s">
        <v>11262</v>
      </c>
      <c r="E5268" s="155"/>
      <c r="F5268" s="154" t="s">
        <v>1619</v>
      </c>
      <c r="G5268" s="154">
        <v>4.3903333E7</v>
      </c>
      <c r="H5268" s="154" t="s">
        <v>1620</v>
      </c>
      <c r="I5268" s="156">
        <v>0.0</v>
      </c>
      <c r="J5268" s="156">
        <v>0.0</v>
      </c>
      <c r="K5268" s="156">
        <v>0.0</v>
      </c>
    </row>
    <row r="5269">
      <c r="A5269" s="154" t="s">
        <v>11260</v>
      </c>
      <c r="B5269" s="154" t="s">
        <v>11261</v>
      </c>
      <c r="D5269" s="154" t="s">
        <v>11262</v>
      </c>
      <c r="E5269" s="155"/>
      <c r="F5269" s="154" t="s">
        <v>1619</v>
      </c>
      <c r="G5269" s="154">
        <v>4.3903333E7</v>
      </c>
      <c r="H5269" s="154" t="s">
        <v>1620</v>
      </c>
      <c r="I5269" s="156">
        <v>0.0</v>
      </c>
      <c r="J5269" s="156">
        <v>0.0</v>
      </c>
      <c r="K5269" s="156">
        <v>0.0</v>
      </c>
    </row>
    <row r="5270">
      <c r="A5270" s="154" t="s">
        <v>11260</v>
      </c>
      <c r="B5270" s="154" t="s">
        <v>11261</v>
      </c>
      <c r="D5270" s="154" t="s">
        <v>11262</v>
      </c>
      <c r="E5270" s="155"/>
      <c r="F5270" s="154" t="s">
        <v>1619</v>
      </c>
      <c r="G5270" s="154">
        <v>4.3903333E7</v>
      </c>
      <c r="H5270" s="154" t="s">
        <v>1620</v>
      </c>
      <c r="I5270" s="156">
        <v>0.0</v>
      </c>
      <c r="J5270" s="156">
        <v>0.0</v>
      </c>
      <c r="K5270" s="156">
        <v>0.0</v>
      </c>
    </row>
    <row r="5271">
      <c r="A5271" s="154" t="s">
        <v>11260</v>
      </c>
      <c r="B5271" s="154" t="s">
        <v>11261</v>
      </c>
      <c r="D5271" s="154" t="s">
        <v>11262</v>
      </c>
      <c r="E5271" s="155"/>
      <c r="F5271" s="154" t="s">
        <v>1619</v>
      </c>
      <c r="G5271" s="154">
        <v>4.3903333E7</v>
      </c>
      <c r="H5271" s="154" t="s">
        <v>1620</v>
      </c>
      <c r="I5271" s="156">
        <v>0.0</v>
      </c>
      <c r="J5271" s="156">
        <v>0.0</v>
      </c>
      <c r="K5271" s="156">
        <v>0.0</v>
      </c>
    </row>
    <row r="5272">
      <c r="A5272" s="154" t="s">
        <v>11260</v>
      </c>
      <c r="B5272" s="154" t="s">
        <v>11261</v>
      </c>
      <c r="D5272" s="154" t="s">
        <v>11262</v>
      </c>
      <c r="E5272" s="155"/>
      <c r="F5272" s="154" t="s">
        <v>1619</v>
      </c>
      <c r="G5272" s="154">
        <v>4.3903333E7</v>
      </c>
      <c r="H5272" s="154" t="s">
        <v>1620</v>
      </c>
      <c r="I5272" s="156">
        <v>0.0</v>
      </c>
      <c r="J5272" s="156">
        <v>0.0</v>
      </c>
      <c r="K5272" s="156">
        <v>0.0</v>
      </c>
    </row>
    <row r="5273">
      <c r="A5273" s="154" t="s">
        <v>11260</v>
      </c>
      <c r="B5273" s="154" t="s">
        <v>11261</v>
      </c>
      <c r="D5273" s="154" t="s">
        <v>11262</v>
      </c>
      <c r="E5273" s="155"/>
      <c r="F5273" s="154" t="s">
        <v>1619</v>
      </c>
      <c r="G5273" s="154">
        <v>4.3903333E7</v>
      </c>
      <c r="H5273" s="154" t="s">
        <v>1620</v>
      </c>
      <c r="I5273" s="156">
        <v>0.0</v>
      </c>
      <c r="J5273" s="156">
        <v>0.0</v>
      </c>
      <c r="K5273" s="156">
        <v>0.0</v>
      </c>
    </row>
    <row r="5274">
      <c r="A5274" s="154" t="s">
        <v>11260</v>
      </c>
      <c r="B5274" s="154" t="s">
        <v>11261</v>
      </c>
      <c r="D5274" s="154" t="s">
        <v>11262</v>
      </c>
      <c r="E5274" s="155"/>
      <c r="F5274" s="154" t="s">
        <v>1619</v>
      </c>
      <c r="G5274" s="154">
        <v>4.3903333E7</v>
      </c>
      <c r="H5274" s="154" t="s">
        <v>1620</v>
      </c>
      <c r="I5274" s="156">
        <v>0.0</v>
      </c>
      <c r="J5274" s="156">
        <v>0.0</v>
      </c>
      <c r="K5274" s="156">
        <v>0.0</v>
      </c>
    </row>
    <row r="5275">
      <c r="A5275" s="154" t="s">
        <v>11260</v>
      </c>
      <c r="B5275" s="154" t="s">
        <v>11261</v>
      </c>
      <c r="D5275" s="154" t="s">
        <v>11262</v>
      </c>
      <c r="E5275" s="155"/>
      <c r="F5275" s="154" t="s">
        <v>1619</v>
      </c>
      <c r="G5275" s="154">
        <v>4.3903333E7</v>
      </c>
      <c r="H5275" s="154" t="s">
        <v>1620</v>
      </c>
      <c r="I5275" s="156">
        <v>0.0</v>
      </c>
      <c r="J5275" s="156">
        <v>0.0</v>
      </c>
      <c r="K5275" s="156">
        <v>0.0</v>
      </c>
    </row>
    <row r="5276">
      <c r="A5276" s="154" t="s">
        <v>11260</v>
      </c>
      <c r="B5276" s="154" t="s">
        <v>11261</v>
      </c>
      <c r="D5276" s="154" t="s">
        <v>11262</v>
      </c>
      <c r="E5276" s="155"/>
      <c r="F5276" s="154" t="s">
        <v>1619</v>
      </c>
      <c r="G5276" s="154">
        <v>4.3903333E7</v>
      </c>
      <c r="H5276" s="154" t="s">
        <v>1620</v>
      </c>
      <c r="I5276" s="156">
        <v>0.0</v>
      </c>
      <c r="J5276" s="156">
        <v>0.0</v>
      </c>
      <c r="K5276" s="156">
        <v>0.0</v>
      </c>
    </row>
    <row r="5277">
      <c r="A5277" s="154" t="s">
        <v>11260</v>
      </c>
      <c r="B5277" s="154" t="s">
        <v>11261</v>
      </c>
      <c r="D5277" s="154" t="s">
        <v>11262</v>
      </c>
      <c r="E5277" s="155"/>
      <c r="F5277" s="154" t="s">
        <v>1619</v>
      </c>
      <c r="G5277" s="154">
        <v>4.3903333E7</v>
      </c>
      <c r="H5277" s="154" t="s">
        <v>1620</v>
      </c>
      <c r="I5277" s="156">
        <v>0.0</v>
      </c>
      <c r="J5277" s="156">
        <v>0.0</v>
      </c>
      <c r="K5277" s="156">
        <v>0.0</v>
      </c>
    </row>
    <row r="5278">
      <c r="A5278" s="154" t="s">
        <v>11260</v>
      </c>
      <c r="B5278" s="154" t="s">
        <v>11261</v>
      </c>
      <c r="D5278" s="154" t="s">
        <v>11262</v>
      </c>
      <c r="E5278" s="155"/>
      <c r="F5278" s="154" t="s">
        <v>1619</v>
      </c>
      <c r="G5278" s="154">
        <v>4.3903333E7</v>
      </c>
      <c r="H5278" s="154" t="s">
        <v>1620</v>
      </c>
      <c r="I5278" s="156">
        <v>0.0</v>
      </c>
      <c r="J5278" s="156">
        <v>0.0</v>
      </c>
      <c r="K5278" s="156">
        <v>0.0</v>
      </c>
    </row>
    <row r="5279">
      <c r="A5279" s="154" t="s">
        <v>11260</v>
      </c>
      <c r="B5279" s="154" t="s">
        <v>11261</v>
      </c>
      <c r="D5279" s="154" t="s">
        <v>11262</v>
      </c>
      <c r="E5279" s="155"/>
      <c r="F5279" s="154" t="s">
        <v>1619</v>
      </c>
      <c r="G5279" s="154">
        <v>4.3903333E7</v>
      </c>
      <c r="H5279" s="154" t="s">
        <v>1620</v>
      </c>
      <c r="I5279" s="156">
        <v>0.0</v>
      </c>
      <c r="J5279" s="156">
        <v>0.0</v>
      </c>
      <c r="K5279" s="156">
        <v>0.0</v>
      </c>
    </row>
    <row r="5280">
      <c r="A5280" s="154" t="s">
        <v>11260</v>
      </c>
      <c r="B5280" s="154" t="s">
        <v>11261</v>
      </c>
      <c r="D5280" s="154" t="s">
        <v>11262</v>
      </c>
      <c r="E5280" s="155"/>
      <c r="F5280" s="154" t="s">
        <v>1619</v>
      </c>
      <c r="G5280" s="154">
        <v>4.3903333E7</v>
      </c>
      <c r="H5280" s="154" t="s">
        <v>1620</v>
      </c>
      <c r="I5280" s="156">
        <v>0.0</v>
      </c>
      <c r="J5280" s="156">
        <v>0.0</v>
      </c>
      <c r="K5280" s="156">
        <v>0.0</v>
      </c>
    </row>
    <row r="5281">
      <c r="A5281" s="154" t="s">
        <v>11260</v>
      </c>
      <c r="B5281" s="154" t="s">
        <v>11261</v>
      </c>
      <c r="D5281" s="154" t="s">
        <v>11262</v>
      </c>
      <c r="E5281" s="155"/>
      <c r="F5281" s="154" t="s">
        <v>1619</v>
      </c>
      <c r="G5281" s="154">
        <v>4.3903333E7</v>
      </c>
      <c r="H5281" s="154" t="s">
        <v>1620</v>
      </c>
      <c r="I5281" s="156">
        <v>0.0</v>
      </c>
      <c r="J5281" s="156">
        <v>0.0</v>
      </c>
      <c r="K5281" s="156">
        <v>0.0</v>
      </c>
    </row>
    <row r="5282">
      <c r="A5282" s="154" t="s">
        <v>11260</v>
      </c>
      <c r="B5282" s="154" t="s">
        <v>11261</v>
      </c>
      <c r="D5282" s="154" t="s">
        <v>11262</v>
      </c>
      <c r="E5282" s="155"/>
      <c r="F5282" s="154" t="s">
        <v>1619</v>
      </c>
      <c r="G5282" s="154">
        <v>4.3903333E7</v>
      </c>
      <c r="H5282" s="154" t="s">
        <v>1620</v>
      </c>
      <c r="I5282" s="156">
        <v>0.0</v>
      </c>
      <c r="J5282" s="156">
        <v>0.0</v>
      </c>
      <c r="K5282" s="156">
        <v>0.0</v>
      </c>
    </row>
    <row r="5283">
      <c r="A5283" s="154" t="s">
        <v>11260</v>
      </c>
      <c r="B5283" s="154" t="s">
        <v>11261</v>
      </c>
      <c r="D5283" s="154" t="s">
        <v>11262</v>
      </c>
      <c r="E5283" s="155"/>
      <c r="F5283" s="154" t="s">
        <v>1619</v>
      </c>
      <c r="G5283" s="154">
        <v>4.3903333E7</v>
      </c>
      <c r="H5283" s="154" t="s">
        <v>1620</v>
      </c>
      <c r="I5283" s="156">
        <v>0.0</v>
      </c>
      <c r="J5283" s="156">
        <v>0.0</v>
      </c>
      <c r="K5283" s="156">
        <v>0.0</v>
      </c>
    </row>
    <row r="5284">
      <c r="A5284" s="154" t="s">
        <v>11260</v>
      </c>
      <c r="B5284" s="154" t="s">
        <v>11261</v>
      </c>
      <c r="D5284" s="154" t="s">
        <v>11262</v>
      </c>
      <c r="E5284" s="155"/>
      <c r="F5284" s="154" t="s">
        <v>1619</v>
      </c>
      <c r="G5284" s="154">
        <v>4.3903333E7</v>
      </c>
      <c r="H5284" s="154" t="s">
        <v>1620</v>
      </c>
      <c r="I5284" s="156">
        <v>0.0</v>
      </c>
      <c r="J5284" s="156">
        <v>0.0</v>
      </c>
      <c r="K5284" s="156">
        <v>0.0</v>
      </c>
    </row>
    <row r="5285">
      <c r="A5285" s="154" t="s">
        <v>11260</v>
      </c>
      <c r="B5285" s="154" t="s">
        <v>11261</v>
      </c>
      <c r="D5285" s="154" t="s">
        <v>11262</v>
      </c>
      <c r="E5285" s="155"/>
      <c r="F5285" s="154" t="s">
        <v>1619</v>
      </c>
      <c r="G5285" s="154">
        <v>4.3903333E7</v>
      </c>
      <c r="H5285" s="154" t="s">
        <v>1620</v>
      </c>
      <c r="I5285" s="156">
        <v>0.0</v>
      </c>
      <c r="J5285" s="156">
        <v>0.0</v>
      </c>
      <c r="K5285" s="156">
        <v>0.0</v>
      </c>
    </row>
    <row r="5286">
      <c r="A5286" s="154" t="s">
        <v>11260</v>
      </c>
      <c r="B5286" s="154" t="s">
        <v>11261</v>
      </c>
      <c r="D5286" s="154" t="s">
        <v>11262</v>
      </c>
      <c r="E5286" s="155"/>
      <c r="F5286" s="154" t="s">
        <v>1619</v>
      </c>
      <c r="G5286" s="154">
        <v>4.3903333E7</v>
      </c>
      <c r="H5286" s="154" t="s">
        <v>1620</v>
      </c>
      <c r="I5286" s="156">
        <v>0.0</v>
      </c>
      <c r="J5286" s="156">
        <v>0.0</v>
      </c>
      <c r="K5286" s="156">
        <v>0.0</v>
      </c>
    </row>
    <row r="5287">
      <c r="A5287" s="154" t="s">
        <v>11260</v>
      </c>
      <c r="B5287" s="154" t="s">
        <v>11261</v>
      </c>
      <c r="D5287" s="154" t="s">
        <v>11262</v>
      </c>
      <c r="E5287" s="155"/>
      <c r="F5287" s="154" t="s">
        <v>1619</v>
      </c>
      <c r="G5287" s="154">
        <v>4.3903333E7</v>
      </c>
      <c r="H5287" s="154" t="s">
        <v>1620</v>
      </c>
      <c r="I5287" s="156">
        <v>0.0</v>
      </c>
      <c r="J5287" s="156">
        <v>0.0</v>
      </c>
      <c r="K5287" s="156">
        <v>0.0</v>
      </c>
    </row>
    <row r="5288">
      <c r="A5288" s="154" t="s">
        <v>11260</v>
      </c>
      <c r="B5288" s="154" t="s">
        <v>11261</v>
      </c>
      <c r="D5288" s="154" t="s">
        <v>11262</v>
      </c>
      <c r="E5288" s="155"/>
      <c r="F5288" s="154" t="s">
        <v>1619</v>
      </c>
      <c r="G5288" s="154">
        <v>4.3903333E7</v>
      </c>
      <c r="H5288" s="154" t="s">
        <v>1620</v>
      </c>
      <c r="I5288" s="156">
        <v>0.0</v>
      </c>
      <c r="J5288" s="156">
        <v>0.0</v>
      </c>
      <c r="K5288" s="156">
        <v>0.0</v>
      </c>
    </row>
    <row r="5289">
      <c r="A5289" s="154" t="s">
        <v>11260</v>
      </c>
      <c r="B5289" s="154" t="s">
        <v>11261</v>
      </c>
      <c r="D5289" s="154" t="s">
        <v>11262</v>
      </c>
      <c r="E5289" s="155"/>
      <c r="F5289" s="154" t="s">
        <v>1619</v>
      </c>
      <c r="G5289" s="154">
        <v>4.3903333E7</v>
      </c>
      <c r="H5289" s="154" t="s">
        <v>1620</v>
      </c>
      <c r="I5289" s="156">
        <v>0.0</v>
      </c>
      <c r="J5289" s="156">
        <v>0.0</v>
      </c>
      <c r="K5289" s="156">
        <v>0.0</v>
      </c>
    </row>
    <row r="5290">
      <c r="A5290" s="154" t="s">
        <v>11260</v>
      </c>
      <c r="B5290" s="154" t="s">
        <v>11261</v>
      </c>
      <c r="D5290" s="154" t="s">
        <v>11262</v>
      </c>
      <c r="E5290" s="155"/>
      <c r="F5290" s="154" t="s">
        <v>1619</v>
      </c>
      <c r="G5290" s="154">
        <v>4.3903333E7</v>
      </c>
      <c r="H5290" s="154" t="s">
        <v>1620</v>
      </c>
      <c r="I5290" s="156">
        <v>0.0</v>
      </c>
      <c r="J5290" s="156">
        <v>0.0</v>
      </c>
      <c r="K5290" s="156">
        <v>0.0</v>
      </c>
    </row>
    <row r="5291">
      <c r="A5291" s="154" t="s">
        <v>11263</v>
      </c>
      <c r="B5291" s="155"/>
      <c r="C5291" s="154" t="s">
        <v>11264</v>
      </c>
      <c r="D5291" s="155"/>
      <c r="E5291" s="155"/>
      <c r="F5291" s="158" t="e">
        <v>#N/A</v>
      </c>
      <c r="G5291" s="158" t="e">
        <v>#N/A</v>
      </c>
      <c r="H5291" s="158" t="e">
        <v>#N/A</v>
      </c>
      <c r="I5291" s="158" t="e">
        <v>#N/A</v>
      </c>
      <c r="J5291" s="158" t="e">
        <v>#N/A</v>
      </c>
      <c r="K5291" s="158" t="e">
        <v>#N/A</v>
      </c>
    </row>
    <row r="5292">
      <c r="A5292" s="154" t="s">
        <v>11265</v>
      </c>
      <c r="B5292" s="155"/>
      <c r="C5292" s="154" t="s">
        <v>11266</v>
      </c>
      <c r="D5292" s="155"/>
      <c r="E5292" s="155"/>
      <c r="F5292" s="154" t="s">
        <v>1619</v>
      </c>
      <c r="G5292" s="154">
        <v>4.3903333E7</v>
      </c>
      <c r="H5292" s="154" t="s">
        <v>1620</v>
      </c>
      <c r="I5292" s="156">
        <v>0.0</v>
      </c>
      <c r="J5292" s="156">
        <v>0.0</v>
      </c>
      <c r="K5292" s="156">
        <v>0.0</v>
      </c>
    </row>
    <row r="5293">
      <c r="A5293" s="154" t="s">
        <v>11267</v>
      </c>
      <c r="B5293" s="155"/>
      <c r="C5293" s="154" t="s">
        <v>11268</v>
      </c>
      <c r="D5293" s="155"/>
      <c r="E5293" s="155"/>
      <c r="F5293" s="154" t="s">
        <v>1619</v>
      </c>
      <c r="G5293" s="154">
        <v>4.3903333E7</v>
      </c>
      <c r="H5293" s="154" t="s">
        <v>1620</v>
      </c>
      <c r="I5293" s="156">
        <v>0.0</v>
      </c>
      <c r="J5293" s="156">
        <v>0.0</v>
      </c>
      <c r="K5293" s="156">
        <v>0.0</v>
      </c>
    </row>
    <row r="5294">
      <c r="A5294" s="154" t="s">
        <v>11269</v>
      </c>
      <c r="B5294" s="155"/>
      <c r="C5294" s="154" t="s">
        <v>11270</v>
      </c>
      <c r="D5294" s="155"/>
      <c r="E5294" s="155"/>
      <c r="F5294" s="154" t="s">
        <v>1619</v>
      </c>
      <c r="G5294" s="154">
        <v>4.3903333E7</v>
      </c>
      <c r="H5294" s="154" t="s">
        <v>1620</v>
      </c>
      <c r="I5294" s="156">
        <v>0.0</v>
      </c>
      <c r="J5294" s="156">
        <v>0.0</v>
      </c>
      <c r="K5294" s="156">
        <v>0.0</v>
      </c>
    </row>
    <row r="5295">
      <c r="A5295" s="154" t="s">
        <v>11271</v>
      </c>
      <c r="B5295" s="155"/>
      <c r="C5295" s="154" t="s">
        <v>11272</v>
      </c>
      <c r="D5295" s="155"/>
      <c r="E5295" s="155"/>
      <c r="F5295" s="154" t="s">
        <v>1619</v>
      </c>
      <c r="G5295" s="154">
        <v>4.3903333E7</v>
      </c>
      <c r="H5295" s="154" t="s">
        <v>1620</v>
      </c>
      <c r="I5295" s="156">
        <v>0.0</v>
      </c>
      <c r="J5295" s="156">
        <v>0.0</v>
      </c>
      <c r="K5295" s="156">
        <v>0.0</v>
      </c>
    </row>
    <row r="5296">
      <c r="A5296" s="154" t="s">
        <v>11273</v>
      </c>
      <c r="B5296" s="155"/>
      <c r="C5296" s="154" t="s">
        <v>11274</v>
      </c>
      <c r="D5296" s="155"/>
      <c r="E5296" s="155"/>
      <c r="F5296" s="154" t="s">
        <v>1619</v>
      </c>
      <c r="G5296" s="154">
        <v>4.3903333E7</v>
      </c>
      <c r="H5296" s="154" t="s">
        <v>1620</v>
      </c>
      <c r="I5296" s="156">
        <v>0.0</v>
      </c>
      <c r="J5296" s="156">
        <v>0.0</v>
      </c>
      <c r="K5296" s="156">
        <v>0.0</v>
      </c>
    </row>
    <row r="5297">
      <c r="A5297" s="154" t="s">
        <v>11275</v>
      </c>
      <c r="B5297" s="155"/>
      <c r="C5297" s="154" t="s">
        <v>11276</v>
      </c>
      <c r="D5297" s="155"/>
      <c r="E5297" s="155"/>
      <c r="F5297" s="154" t="s">
        <v>1619</v>
      </c>
      <c r="G5297" s="154">
        <v>4.3903333E7</v>
      </c>
      <c r="H5297" s="154" t="s">
        <v>1620</v>
      </c>
      <c r="I5297" s="156">
        <v>0.0</v>
      </c>
      <c r="J5297" s="156">
        <v>0.0</v>
      </c>
      <c r="K5297" s="156">
        <v>0.0</v>
      </c>
    </row>
    <row r="5298">
      <c r="A5298" s="154" t="s">
        <v>11277</v>
      </c>
      <c r="B5298" s="155"/>
      <c r="C5298" s="154" t="s">
        <v>11278</v>
      </c>
      <c r="D5298" s="155"/>
      <c r="E5298" s="155"/>
      <c r="F5298" s="154" t="s">
        <v>1619</v>
      </c>
      <c r="G5298" s="154">
        <v>4.3903333E7</v>
      </c>
      <c r="H5298" s="154" t="s">
        <v>1620</v>
      </c>
      <c r="I5298" s="156">
        <v>0.0</v>
      </c>
      <c r="J5298" s="156">
        <v>0.0</v>
      </c>
      <c r="K5298" s="156">
        <v>0.0</v>
      </c>
    </row>
    <row r="5299">
      <c r="A5299" s="154" t="s">
        <v>11279</v>
      </c>
      <c r="B5299" s="155"/>
      <c r="C5299" s="154" t="s">
        <v>11280</v>
      </c>
      <c r="D5299" s="155"/>
      <c r="E5299" s="155"/>
      <c r="F5299" s="154" t="s">
        <v>1619</v>
      </c>
      <c r="G5299" s="154">
        <v>4.3903333E7</v>
      </c>
      <c r="H5299" s="154" t="s">
        <v>1620</v>
      </c>
      <c r="I5299" s="156">
        <v>0.0</v>
      </c>
      <c r="J5299" s="156">
        <v>0.0</v>
      </c>
      <c r="K5299" s="156">
        <v>0.0</v>
      </c>
    </row>
    <row r="5300">
      <c r="A5300" s="154" t="s">
        <v>11281</v>
      </c>
      <c r="B5300" s="155"/>
      <c r="C5300" s="154" t="s">
        <v>11282</v>
      </c>
      <c r="D5300" s="155"/>
      <c r="E5300" s="155"/>
      <c r="F5300" s="154" t="s">
        <v>1619</v>
      </c>
      <c r="G5300" s="154">
        <v>4.3903333E7</v>
      </c>
      <c r="H5300" s="154" t="s">
        <v>1620</v>
      </c>
      <c r="I5300" s="156">
        <v>0.0</v>
      </c>
      <c r="J5300" s="156">
        <v>0.0</v>
      </c>
      <c r="K5300" s="156">
        <v>0.0</v>
      </c>
    </row>
    <row r="5301">
      <c r="A5301" s="154" t="s">
        <v>11283</v>
      </c>
      <c r="B5301" s="155"/>
      <c r="C5301" s="154" t="s">
        <v>11284</v>
      </c>
      <c r="D5301" s="155"/>
      <c r="E5301" s="155"/>
      <c r="F5301" s="154" t="s">
        <v>1619</v>
      </c>
      <c r="G5301" s="154">
        <v>4.3903333E7</v>
      </c>
      <c r="H5301" s="154" t="s">
        <v>1620</v>
      </c>
      <c r="I5301" s="156">
        <v>0.0</v>
      </c>
      <c r="J5301" s="156">
        <v>0.0</v>
      </c>
      <c r="K5301" s="156">
        <v>0.0</v>
      </c>
    </row>
    <row r="5302">
      <c r="A5302" s="154" t="s">
        <v>11285</v>
      </c>
      <c r="B5302" s="155"/>
      <c r="C5302" s="154" t="s">
        <v>11286</v>
      </c>
      <c r="D5302" s="155"/>
      <c r="E5302" s="155"/>
      <c r="F5302" s="154" t="s">
        <v>1619</v>
      </c>
      <c r="G5302" s="154">
        <v>4.3903333E7</v>
      </c>
      <c r="H5302" s="154" t="s">
        <v>1620</v>
      </c>
      <c r="I5302" s="156">
        <v>0.0</v>
      </c>
      <c r="J5302" s="156">
        <v>0.0</v>
      </c>
      <c r="K5302" s="156">
        <v>0.0</v>
      </c>
    </row>
    <row r="5303">
      <c r="A5303" s="154" t="s">
        <v>11287</v>
      </c>
      <c r="B5303" s="155"/>
      <c r="C5303" s="154" t="s">
        <v>11288</v>
      </c>
      <c r="D5303" s="155"/>
      <c r="E5303" s="155"/>
      <c r="F5303" s="154" t="s">
        <v>1619</v>
      </c>
      <c r="G5303" s="154">
        <v>4.3903333E7</v>
      </c>
      <c r="H5303" s="154" t="s">
        <v>1620</v>
      </c>
      <c r="I5303" s="156">
        <v>0.0</v>
      </c>
      <c r="J5303" s="156">
        <v>0.0</v>
      </c>
      <c r="K5303" s="156">
        <v>0.0</v>
      </c>
    </row>
    <row r="5304">
      <c r="A5304" s="154" t="s">
        <v>11289</v>
      </c>
      <c r="B5304" s="155"/>
      <c r="C5304" s="154" t="s">
        <v>11290</v>
      </c>
      <c r="D5304" s="155"/>
      <c r="E5304" s="155"/>
      <c r="F5304" s="154" t="s">
        <v>1619</v>
      </c>
      <c r="G5304" s="154">
        <v>4.3903333E7</v>
      </c>
      <c r="H5304" s="154" t="s">
        <v>1620</v>
      </c>
      <c r="I5304" s="156">
        <v>0.0</v>
      </c>
      <c r="J5304" s="156">
        <v>0.0</v>
      </c>
      <c r="K5304" s="156">
        <v>0.0</v>
      </c>
    </row>
    <row r="5305">
      <c r="A5305" s="154" t="s">
        <v>11291</v>
      </c>
      <c r="B5305" s="155"/>
      <c r="C5305" s="154" t="s">
        <v>11292</v>
      </c>
      <c r="D5305" s="155"/>
      <c r="E5305" s="155"/>
      <c r="F5305" s="154" t="s">
        <v>1619</v>
      </c>
      <c r="G5305" s="154">
        <v>4.3903333E7</v>
      </c>
      <c r="H5305" s="154" t="s">
        <v>1620</v>
      </c>
      <c r="I5305" s="156">
        <v>0.0</v>
      </c>
      <c r="J5305" s="156">
        <v>0.0</v>
      </c>
      <c r="K5305" s="156">
        <v>0.0</v>
      </c>
    </row>
    <row r="5306">
      <c r="A5306" s="154" t="s">
        <v>11293</v>
      </c>
      <c r="B5306" s="155"/>
      <c r="C5306" s="154" t="s">
        <v>11294</v>
      </c>
      <c r="D5306" s="155"/>
      <c r="E5306" s="155"/>
      <c r="F5306" s="154" t="s">
        <v>1619</v>
      </c>
      <c r="G5306" s="154">
        <v>4.3903333E7</v>
      </c>
      <c r="H5306" s="154" t="s">
        <v>1620</v>
      </c>
      <c r="I5306" s="156">
        <v>0.0</v>
      </c>
      <c r="J5306" s="156">
        <v>0.0</v>
      </c>
      <c r="K5306" s="156">
        <v>0.0</v>
      </c>
    </row>
    <row r="5307">
      <c r="A5307" s="154" t="s">
        <v>11295</v>
      </c>
      <c r="B5307" s="155"/>
      <c r="C5307" s="154" t="s">
        <v>11296</v>
      </c>
      <c r="D5307" s="155"/>
      <c r="E5307" s="155"/>
      <c r="F5307" s="154" t="s">
        <v>1619</v>
      </c>
      <c r="G5307" s="154">
        <v>4.3903333E7</v>
      </c>
      <c r="H5307" s="154" t="s">
        <v>1620</v>
      </c>
      <c r="I5307" s="156">
        <v>0.0</v>
      </c>
      <c r="J5307" s="156">
        <v>0.0</v>
      </c>
      <c r="K5307" s="156">
        <v>0.0</v>
      </c>
    </row>
    <row r="5308">
      <c r="A5308" s="154" t="s">
        <v>11297</v>
      </c>
      <c r="B5308" s="155"/>
      <c r="C5308" s="154" t="s">
        <v>11298</v>
      </c>
      <c r="D5308" s="155"/>
      <c r="E5308" s="155"/>
      <c r="F5308" s="154" t="s">
        <v>1619</v>
      </c>
      <c r="G5308" s="154">
        <v>4.3903333E7</v>
      </c>
      <c r="H5308" s="154" t="s">
        <v>1620</v>
      </c>
      <c r="I5308" s="156">
        <v>0.0</v>
      </c>
      <c r="J5308" s="156">
        <v>0.0</v>
      </c>
      <c r="K5308" s="156">
        <v>0.0</v>
      </c>
    </row>
    <row r="5309">
      <c r="A5309" s="154" t="s">
        <v>11299</v>
      </c>
      <c r="B5309" s="155"/>
      <c r="C5309" s="154" t="s">
        <v>11300</v>
      </c>
      <c r="D5309" s="155"/>
      <c r="E5309" s="155"/>
      <c r="F5309" s="154" t="s">
        <v>1619</v>
      </c>
      <c r="G5309" s="154">
        <v>4.3903333E7</v>
      </c>
      <c r="H5309" s="154" t="s">
        <v>1620</v>
      </c>
      <c r="I5309" s="156">
        <v>0.0</v>
      </c>
      <c r="J5309" s="156">
        <v>0.0</v>
      </c>
      <c r="K5309" s="156">
        <v>0.0</v>
      </c>
    </row>
    <row r="5310">
      <c r="A5310" s="154" t="s">
        <v>11301</v>
      </c>
      <c r="B5310" s="155"/>
      <c r="C5310" s="154" t="s">
        <v>11302</v>
      </c>
      <c r="D5310" s="155"/>
      <c r="E5310" s="155"/>
      <c r="F5310" s="154" t="s">
        <v>1619</v>
      </c>
      <c r="G5310" s="154">
        <v>4.3903333E7</v>
      </c>
      <c r="H5310" s="154" t="s">
        <v>1620</v>
      </c>
      <c r="I5310" s="156">
        <v>0.0</v>
      </c>
      <c r="J5310" s="156">
        <v>0.0</v>
      </c>
      <c r="K5310" s="156">
        <v>0.0</v>
      </c>
    </row>
    <row r="5311">
      <c r="A5311" s="154" t="s">
        <v>11303</v>
      </c>
      <c r="B5311" s="155"/>
      <c r="C5311" s="154" t="s">
        <v>11304</v>
      </c>
      <c r="D5311" s="155"/>
      <c r="E5311" s="155"/>
      <c r="F5311" s="154" t="s">
        <v>1619</v>
      </c>
      <c r="G5311" s="154">
        <v>4.3903333E7</v>
      </c>
      <c r="H5311" s="154" t="s">
        <v>1620</v>
      </c>
      <c r="I5311" s="156">
        <v>0.0</v>
      </c>
      <c r="J5311" s="156">
        <v>0.0</v>
      </c>
      <c r="K5311" s="156">
        <v>0.0</v>
      </c>
    </row>
    <row r="5312">
      <c r="A5312" s="154" t="s">
        <v>11305</v>
      </c>
      <c r="B5312" s="155"/>
      <c r="C5312" s="154" t="s">
        <v>11306</v>
      </c>
      <c r="D5312" s="155"/>
      <c r="E5312" s="155"/>
      <c r="F5312" s="154" t="s">
        <v>1619</v>
      </c>
      <c r="G5312" s="154">
        <v>4.3903333E7</v>
      </c>
      <c r="H5312" s="154" t="s">
        <v>1620</v>
      </c>
      <c r="I5312" s="156">
        <v>0.0</v>
      </c>
      <c r="J5312" s="156">
        <v>0.0</v>
      </c>
      <c r="K5312" s="156">
        <v>0.0</v>
      </c>
    </row>
    <row r="5313">
      <c r="A5313" s="154" t="s">
        <v>11307</v>
      </c>
      <c r="B5313" s="155"/>
      <c r="C5313" s="154" t="s">
        <v>11308</v>
      </c>
      <c r="D5313" s="155"/>
      <c r="E5313" s="155"/>
      <c r="F5313" s="154" t="s">
        <v>1619</v>
      </c>
      <c r="G5313" s="154">
        <v>4.3903333E7</v>
      </c>
      <c r="H5313" s="154" t="s">
        <v>1620</v>
      </c>
      <c r="I5313" s="156">
        <v>0.0</v>
      </c>
      <c r="J5313" s="156">
        <v>0.0</v>
      </c>
      <c r="K5313" s="156">
        <v>0.0</v>
      </c>
    </row>
    <row r="5314">
      <c r="A5314" s="154" t="s">
        <v>11309</v>
      </c>
      <c r="B5314" s="155"/>
      <c r="C5314" s="154" t="s">
        <v>11310</v>
      </c>
      <c r="D5314" s="155"/>
      <c r="E5314" s="155"/>
      <c r="F5314" s="154" t="s">
        <v>1619</v>
      </c>
      <c r="G5314" s="154">
        <v>4.3903333E7</v>
      </c>
      <c r="H5314" s="154" t="s">
        <v>1620</v>
      </c>
      <c r="I5314" s="156">
        <v>0.0</v>
      </c>
      <c r="J5314" s="156">
        <v>0.0</v>
      </c>
      <c r="K5314" s="156">
        <v>0.0</v>
      </c>
    </row>
    <row r="5315">
      <c r="A5315" s="154" t="s">
        <v>11311</v>
      </c>
      <c r="B5315" s="155"/>
      <c r="C5315" s="154" t="s">
        <v>11312</v>
      </c>
      <c r="D5315" s="155"/>
      <c r="E5315" s="155"/>
      <c r="F5315" s="154" t="s">
        <v>1619</v>
      </c>
      <c r="G5315" s="154">
        <v>4.3903333E7</v>
      </c>
      <c r="H5315" s="154" t="s">
        <v>1620</v>
      </c>
      <c r="I5315" s="156">
        <v>0.0</v>
      </c>
      <c r="J5315" s="156">
        <v>0.0</v>
      </c>
      <c r="K5315" s="156">
        <v>0.0</v>
      </c>
    </row>
    <row r="5316">
      <c r="A5316" s="154" t="s">
        <v>11313</v>
      </c>
      <c r="B5316" s="155"/>
      <c r="C5316" s="154" t="s">
        <v>11314</v>
      </c>
      <c r="D5316" s="155"/>
      <c r="E5316" s="155"/>
      <c r="F5316" s="154" t="s">
        <v>1619</v>
      </c>
      <c r="G5316" s="154">
        <v>4.3903333E7</v>
      </c>
      <c r="H5316" s="154" t="s">
        <v>1620</v>
      </c>
      <c r="I5316" s="156">
        <v>0.0</v>
      </c>
      <c r="J5316" s="156">
        <v>0.0</v>
      </c>
      <c r="K5316" s="156">
        <v>0.0</v>
      </c>
    </row>
    <row r="5317">
      <c r="A5317" s="154" t="s">
        <v>11315</v>
      </c>
      <c r="B5317" s="155"/>
      <c r="C5317" s="154" t="s">
        <v>11316</v>
      </c>
      <c r="D5317" s="155"/>
      <c r="E5317" s="155"/>
      <c r="F5317" s="154" t="s">
        <v>1619</v>
      </c>
      <c r="G5317" s="154">
        <v>4.3903333E7</v>
      </c>
      <c r="H5317" s="154" t="s">
        <v>1620</v>
      </c>
      <c r="I5317" s="156">
        <v>0.0</v>
      </c>
      <c r="J5317" s="156">
        <v>0.0</v>
      </c>
      <c r="K5317" s="156">
        <v>0.0</v>
      </c>
    </row>
    <row r="5318">
      <c r="A5318" s="154" t="s">
        <v>11317</v>
      </c>
      <c r="B5318" s="155"/>
      <c r="C5318" s="154" t="s">
        <v>11318</v>
      </c>
      <c r="D5318" s="155"/>
      <c r="E5318" s="155"/>
      <c r="F5318" s="154" t="s">
        <v>1619</v>
      </c>
      <c r="G5318" s="154">
        <v>4.3903333E7</v>
      </c>
      <c r="H5318" s="154" t="s">
        <v>1620</v>
      </c>
      <c r="I5318" s="156">
        <v>0.0</v>
      </c>
      <c r="J5318" s="156">
        <v>0.0</v>
      </c>
      <c r="K5318" s="156">
        <v>0.0</v>
      </c>
    </row>
    <row r="5319">
      <c r="A5319" s="154" t="s">
        <v>11319</v>
      </c>
      <c r="B5319" s="155"/>
      <c r="C5319" s="154" t="s">
        <v>11320</v>
      </c>
      <c r="D5319" s="155"/>
      <c r="E5319" s="155"/>
      <c r="F5319" s="154" t="s">
        <v>1619</v>
      </c>
      <c r="G5319" s="154">
        <v>4.3903333E7</v>
      </c>
      <c r="H5319" s="154" t="s">
        <v>1620</v>
      </c>
      <c r="I5319" s="156">
        <v>0.0</v>
      </c>
      <c r="J5319" s="156">
        <v>0.0</v>
      </c>
      <c r="K5319" s="156">
        <v>0.0</v>
      </c>
    </row>
    <row r="5320">
      <c r="A5320" s="154" t="s">
        <v>11321</v>
      </c>
      <c r="B5320" s="155"/>
      <c r="C5320" s="154" t="s">
        <v>11322</v>
      </c>
      <c r="D5320" s="155"/>
      <c r="E5320" s="155"/>
      <c r="F5320" s="154" t="s">
        <v>1619</v>
      </c>
      <c r="G5320" s="154">
        <v>4.3903333E7</v>
      </c>
      <c r="H5320" s="154" t="s">
        <v>1620</v>
      </c>
      <c r="I5320" s="156">
        <v>0.0</v>
      </c>
      <c r="J5320" s="156">
        <v>0.0</v>
      </c>
      <c r="K5320" s="156">
        <v>0.0</v>
      </c>
    </row>
    <row r="5321">
      <c r="A5321" s="154" t="s">
        <v>11323</v>
      </c>
      <c r="B5321" s="155"/>
      <c r="C5321" s="154" t="s">
        <v>11324</v>
      </c>
      <c r="D5321" s="155"/>
      <c r="E5321" s="155"/>
      <c r="F5321" s="154" t="s">
        <v>1619</v>
      </c>
      <c r="G5321" s="154">
        <v>4.3903333E7</v>
      </c>
      <c r="H5321" s="154" t="s">
        <v>1620</v>
      </c>
      <c r="I5321" s="156">
        <v>0.0</v>
      </c>
      <c r="J5321" s="156">
        <v>0.0</v>
      </c>
      <c r="K5321" s="156">
        <v>0.0</v>
      </c>
    </row>
    <row r="5322">
      <c r="A5322" s="154" t="s">
        <v>11325</v>
      </c>
      <c r="B5322" s="155"/>
      <c r="C5322" s="154" t="s">
        <v>11326</v>
      </c>
      <c r="D5322" s="155"/>
      <c r="E5322" s="155"/>
      <c r="F5322" s="154" t="s">
        <v>1619</v>
      </c>
      <c r="G5322" s="154">
        <v>4.3903333E7</v>
      </c>
      <c r="H5322" s="154" t="s">
        <v>1620</v>
      </c>
      <c r="I5322" s="156">
        <v>0.0</v>
      </c>
      <c r="J5322" s="156">
        <v>0.0</v>
      </c>
      <c r="K5322" s="156">
        <v>0.0</v>
      </c>
    </row>
    <row r="5323">
      <c r="A5323" s="154" t="s">
        <v>11327</v>
      </c>
      <c r="B5323" s="155"/>
      <c r="C5323" s="154" t="s">
        <v>11328</v>
      </c>
      <c r="D5323" s="155"/>
      <c r="E5323" s="155"/>
      <c r="F5323" s="154" t="s">
        <v>1619</v>
      </c>
      <c r="G5323" s="154">
        <v>4.3903333E7</v>
      </c>
      <c r="H5323" s="154" t="s">
        <v>1620</v>
      </c>
      <c r="I5323" s="156">
        <v>0.0</v>
      </c>
      <c r="J5323" s="156">
        <v>0.0</v>
      </c>
      <c r="K5323" s="156">
        <v>0.0</v>
      </c>
    </row>
    <row r="5324">
      <c r="A5324" s="154" t="s">
        <v>11329</v>
      </c>
      <c r="B5324" s="155"/>
      <c r="C5324" s="154" t="s">
        <v>11330</v>
      </c>
      <c r="D5324" s="155"/>
      <c r="E5324" s="155"/>
      <c r="F5324" s="154" t="s">
        <v>1619</v>
      </c>
      <c r="G5324" s="154">
        <v>4.3903333E7</v>
      </c>
      <c r="H5324" s="154" t="s">
        <v>1620</v>
      </c>
      <c r="I5324" s="156">
        <v>0.0</v>
      </c>
      <c r="J5324" s="156">
        <v>0.0</v>
      </c>
      <c r="K5324" s="156">
        <v>0.0</v>
      </c>
    </row>
    <row r="5325">
      <c r="A5325" s="154" t="s">
        <v>11331</v>
      </c>
      <c r="B5325" s="155"/>
      <c r="C5325" s="154" t="s">
        <v>11332</v>
      </c>
      <c r="D5325" s="155"/>
      <c r="E5325" s="155"/>
      <c r="F5325" s="154" t="s">
        <v>1619</v>
      </c>
      <c r="G5325" s="154">
        <v>4.3903333E7</v>
      </c>
      <c r="H5325" s="154" t="s">
        <v>1620</v>
      </c>
      <c r="I5325" s="156">
        <v>0.0</v>
      </c>
      <c r="J5325" s="156">
        <v>0.0</v>
      </c>
      <c r="K5325" s="156">
        <v>0.0</v>
      </c>
    </row>
    <row r="5326">
      <c r="A5326" s="154" t="s">
        <v>11333</v>
      </c>
      <c r="B5326" s="155"/>
      <c r="C5326" s="154" t="s">
        <v>11334</v>
      </c>
      <c r="D5326" s="155"/>
      <c r="E5326" s="155"/>
      <c r="F5326" s="154" t="s">
        <v>1619</v>
      </c>
      <c r="G5326" s="154">
        <v>4.3903333E7</v>
      </c>
      <c r="H5326" s="154" t="s">
        <v>1620</v>
      </c>
      <c r="I5326" s="156">
        <v>0.0</v>
      </c>
      <c r="J5326" s="156">
        <v>0.0</v>
      </c>
      <c r="K5326" s="156">
        <v>0.0</v>
      </c>
    </row>
    <row r="5327">
      <c r="A5327" s="154" t="s">
        <v>11335</v>
      </c>
      <c r="B5327" s="155"/>
      <c r="C5327" s="154" t="s">
        <v>11336</v>
      </c>
      <c r="D5327" s="155"/>
      <c r="E5327" s="155"/>
      <c r="F5327" s="154" t="s">
        <v>1619</v>
      </c>
      <c r="G5327" s="154">
        <v>4.3903333E7</v>
      </c>
      <c r="H5327" s="154" t="s">
        <v>1620</v>
      </c>
      <c r="I5327" s="156">
        <v>0.0</v>
      </c>
      <c r="J5327" s="156">
        <v>0.0</v>
      </c>
      <c r="K5327" s="156">
        <v>0.0</v>
      </c>
    </row>
    <row r="5328">
      <c r="A5328" s="154" t="s">
        <v>11337</v>
      </c>
      <c r="B5328" s="155"/>
      <c r="C5328" s="154" t="s">
        <v>11338</v>
      </c>
      <c r="D5328" s="155"/>
      <c r="E5328" s="155"/>
      <c r="F5328" s="154" t="s">
        <v>1619</v>
      </c>
      <c r="G5328" s="154">
        <v>4.3903333E7</v>
      </c>
      <c r="H5328" s="154" t="s">
        <v>1620</v>
      </c>
      <c r="I5328" s="156">
        <v>0.0</v>
      </c>
      <c r="J5328" s="156">
        <v>0.0</v>
      </c>
      <c r="K5328" s="156">
        <v>0.0</v>
      </c>
    </row>
    <row r="5329">
      <c r="A5329" s="154" t="s">
        <v>11339</v>
      </c>
      <c r="B5329" s="155"/>
      <c r="C5329" s="154" t="s">
        <v>11340</v>
      </c>
      <c r="D5329" s="155"/>
      <c r="E5329" s="155"/>
      <c r="F5329" s="154" t="s">
        <v>1619</v>
      </c>
      <c r="G5329" s="154">
        <v>4.3903333E7</v>
      </c>
      <c r="H5329" s="154" t="s">
        <v>1620</v>
      </c>
      <c r="I5329" s="156">
        <v>0.0</v>
      </c>
      <c r="J5329" s="156">
        <v>0.0</v>
      </c>
      <c r="K5329" s="156">
        <v>0.0</v>
      </c>
    </row>
    <row r="5330">
      <c r="A5330" s="154" t="s">
        <v>11341</v>
      </c>
      <c r="B5330" s="155"/>
      <c r="C5330" s="154" t="s">
        <v>11342</v>
      </c>
      <c r="D5330" s="155"/>
      <c r="E5330" s="155"/>
      <c r="F5330" s="154" t="s">
        <v>1619</v>
      </c>
      <c r="G5330" s="154">
        <v>4.3903333E7</v>
      </c>
      <c r="H5330" s="154" t="s">
        <v>1620</v>
      </c>
      <c r="I5330" s="156">
        <v>0.0</v>
      </c>
      <c r="J5330" s="156">
        <v>0.0</v>
      </c>
      <c r="K5330" s="156">
        <v>0.0</v>
      </c>
    </row>
    <row r="5331">
      <c r="A5331" s="154" t="s">
        <v>11343</v>
      </c>
      <c r="B5331" s="155"/>
      <c r="C5331" s="154" t="s">
        <v>11344</v>
      </c>
      <c r="D5331" s="155"/>
      <c r="E5331" s="155"/>
      <c r="F5331" s="154" t="s">
        <v>1619</v>
      </c>
      <c r="G5331" s="154">
        <v>4.3903333E7</v>
      </c>
      <c r="H5331" s="154" t="s">
        <v>1620</v>
      </c>
      <c r="I5331" s="156">
        <v>0.0</v>
      </c>
      <c r="J5331" s="156">
        <v>0.0</v>
      </c>
      <c r="K5331" s="156">
        <v>0.0</v>
      </c>
    </row>
    <row r="5332">
      <c r="A5332" s="154" t="s">
        <v>11345</v>
      </c>
      <c r="B5332" s="155"/>
      <c r="C5332" s="154" t="s">
        <v>11346</v>
      </c>
      <c r="D5332" s="155"/>
      <c r="E5332" s="155"/>
      <c r="F5332" s="154" t="s">
        <v>1619</v>
      </c>
      <c r="G5332" s="154">
        <v>4.3903333E7</v>
      </c>
      <c r="H5332" s="154" t="s">
        <v>1620</v>
      </c>
      <c r="I5332" s="156">
        <v>0.0</v>
      </c>
      <c r="J5332" s="156">
        <v>0.0</v>
      </c>
      <c r="K5332" s="156">
        <v>0.0</v>
      </c>
    </row>
    <row r="5333">
      <c r="A5333" s="154" t="s">
        <v>11347</v>
      </c>
      <c r="B5333" s="155"/>
      <c r="C5333" s="154" t="s">
        <v>11348</v>
      </c>
      <c r="D5333" s="155"/>
      <c r="E5333" s="155"/>
      <c r="F5333" s="154" t="s">
        <v>1619</v>
      </c>
      <c r="G5333" s="154">
        <v>4.3903333E7</v>
      </c>
      <c r="H5333" s="154" t="s">
        <v>1620</v>
      </c>
      <c r="I5333" s="156">
        <v>0.0</v>
      </c>
      <c r="J5333" s="156">
        <v>0.0</v>
      </c>
      <c r="K5333" s="156">
        <v>0.0</v>
      </c>
    </row>
    <row r="5334">
      <c r="A5334" s="154" t="s">
        <v>11349</v>
      </c>
      <c r="B5334" s="155"/>
      <c r="C5334" s="154" t="s">
        <v>11350</v>
      </c>
      <c r="D5334" s="155"/>
      <c r="E5334" s="155"/>
      <c r="F5334" s="154" t="s">
        <v>1619</v>
      </c>
      <c r="G5334" s="154">
        <v>4.3903333E7</v>
      </c>
      <c r="H5334" s="154" t="s">
        <v>1620</v>
      </c>
      <c r="I5334" s="156">
        <v>0.0</v>
      </c>
      <c r="J5334" s="156">
        <v>0.0</v>
      </c>
      <c r="K5334" s="156">
        <v>0.0</v>
      </c>
    </row>
    <row r="5335">
      <c r="A5335" s="154" t="s">
        <v>11351</v>
      </c>
      <c r="B5335" s="155"/>
      <c r="C5335" s="154" t="s">
        <v>11352</v>
      </c>
      <c r="D5335" s="155"/>
      <c r="E5335" s="155"/>
      <c r="F5335" s="154" t="s">
        <v>1619</v>
      </c>
      <c r="G5335" s="154">
        <v>4.3903333E7</v>
      </c>
      <c r="H5335" s="154" t="s">
        <v>1620</v>
      </c>
      <c r="I5335" s="156">
        <v>0.0</v>
      </c>
      <c r="J5335" s="156">
        <v>0.0</v>
      </c>
      <c r="K5335" s="156">
        <v>0.0</v>
      </c>
    </row>
    <row r="5336">
      <c r="A5336" s="154" t="s">
        <v>11353</v>
      </c>
      <c r="B5336" s="155"/>
      <c r="C5336" s="154" t="s">
        <v>11354</v>
      </c>
      <c r="D5336" s="155"/>
      <c r="E5336" s="155"/>
      <c r="F5336" s="154" t="s">
        <v>1619</v>
      </c>
      <c r="G5336" s="154">
        <v>4.3903333E7</v>
      </c>
      <c r="H5336" s="154" t="s">
        <v>1620</v>
      </c>
      <c r="I5336" s="156">
        <v>0.0</v>
      </c>
      <c r="J5336" s="156">
        <v>0.0</v>
      </c>
      <c r="K5336" s="156">
        <v>0.0</v>
      </c>
    </row>
    <row r="5337">
      <c r="A5337" s="154" t="s">
        <v>11355</v>
      </c>
      <c r="B5337" s="155"/>
      <c r="C5337" s="154" t="s">
        <v>11356</v>
      </c>
      <c r="D5337" s="155"/>
      <c r="E5337" s="155"/>
      <c r="F5337" s="154" t="s">
        <v>1619</v>
      </c>
      <c r="G5337" s="154">
        <v>4.3903333E7</v>
      </c>
      <c r="H5337" s="154" t="s">
        <v>1620</v>
      </c>
      <c r="I5337" s="156">
        <v>0.0</v>
      </c>
      <c r="J5337" s="156">
        <v>0.0</v>
      </c>
      <c r="K5337" s="156">
        <v>0.0</v>
      </c>
    </row>
    <row r="5338">
      <c r="A5338" s="154" t="s">
        <v>11357</v>
      </c>
      <c r="B5338" s="155"/>
      <c r="C5338" s="154" t="s">
        <v>11358</v>
      </c>
      <c r="D5338" s="155"/>
      <c r="E5338" s="155"/>
      <c r="F5338" s="154" t="s">
        <v>1619</v>
      </c>
      <c r="G5338" s="154">
        <v>4.3903333E7</v>
      </c>
      <c r="H5338" s="154" t="s">
        <v>1620</v>
      </c>
      <c r="I5338" s="156">
        <v>0.0</v>
      </c>
      <c r="J5338" s="156">
        <v>0.0</v>
      </c>
      <c r="K5338" s="156">
        <v>0.0</v>
      </c>
    </row>
    <row r="5339">
      <c r="A5339" s="154" t="s">
        <v>11359</v>
      </c>
      <c r="B5339" s="155"/>
      <c r="C5339" s="154" t="s">
        <v>11360</v>
      </c>
      <c r="D5339" s="155"/>
      <c r="E5339" s="155"/>
      <c r="F5339" s="154" t="s">
        <v>1619</v>
      </c>
      <c r="G5339" s="154">
        <v>4.3903333E7</v>
      </c>
      <c r="H5339" s="154" t="s">
        <v>1620</v>
      </c>
      <c r="I5339" s="156">
        <v>0.0</v>
      </c>
      <c r="J5339" s="156">
        <v>0.0</v>
      </c>
      <c r="K5339" s="156">
        <v>0.0</v>
      </c>
    </row>
    <row r="5340">
      <c r="A5340" s="154" t="s">
        <v>11361</v>
      </c>
      <c r="B5340" s="155"/>
      <c r="C5340" s="154" t="s">
        <v>11362</v>
      </c>
      <c r="D5340" s="155"/>
      <c r="E5340" s="155"/>
      <c r="F5340" s="154" t="s">
        <v>1619</v>
      </c>
      <c r="G5340" s="154">
        <v>4.3903333E7</v>
      </c>
      <c r="H5340" s="154" t="s">
        <v>1620</v>
      </c>
      <c r="I5340" s="156">
        <v>0.0</v>
      </c>
      <c r="J5340" s="156">
        <v>0.0</v>
      </c>
      <c r="K5340" s="156">
        <v>0.0</v>
      </c>
    </row>
    <row r="5341">
      <c r="A5341" s="154" t="s">
        <v>11363</v>
      </c>
      <c r="B5341" s="155"/>
      <c r="C5341" s="154" t="s">
        <v>11364</v>
      </c>
      <c r="D5341" s="155"/>
      <c r="E5341" s="155"/>
      <c r="F5341" s="154" t="s">
        <v>1619</v>
      </c>
      <c r="G5341" s="154">
        <v>4.3903333E7</v>
      </c>
      <c r="H5341" s="154" t="s">
        <v>1620</v>
      </c>
      <c r="I5341" s="156">
        <v>0.0</v>
      </c>
      <c r="J5341" s="156">
        <v>0.0</v>
      </c>
      <c r="K5341" s="156">
        <v>0.0</v>
      </c>
    </row>
    <row r="5342">
      <c r="A5342" s="154" t="s">
        <v>11365</v>
      </c>
      <c r="B5342" s="155"/>
      <c r="C5342" s="154" t="s">
        <v>11366</v>
      </c>
      <c r="D5342" s="155"/>
      <c r="E5342" s="155"/>
      <c r="F5342" s="154" t="s">
        <v>1619</v>
      </c>
      <c r="G5342" s="154">
        <v>4.3903333E7</v>
      </c>
      <c r="H5342" s="154" t="s">
        <v>1620</v>
      </c>
      <c r="I5342" s="156">
        <v>0.0</v>
      </c>
      <c r="J5342" s="156">
        <v>0.0</v>
      </c>
      <c r="K5342" s="156">
        <v>0.0</v>
      </c>
    </row>
    <row r="5343">
      <c r="A5343" s="154" t="s">
        <v>11367</v>
      </c>
      <c r="B5343" s="155"/>
      <c r="C5343" s="154" t="s">
        <v>11368</v>
      </c>
      <c r="D5343" s="155"/>
      <c r="E5343" s="155"/>
      <c r="F5343" s="154" t="s">
        <v>1619</v>
      </c>
      <c r="G5343" s="154">
        <v>4.3903333E7</v>
      </c>
      <c r="H5343" s="154" t="s">
        <v>1620</v>
      </c>
      <c r="I5343" s="156">
        <v>0.0</v>
      </c>
      <c r="J5343" s="156">
        <v>0.0</v>
      </c>
      <c r="K5343" s="156">
        <v>0.0</v>
      </c>
    </row>
    <row r="5344">
      <c r="A5344" s="154" t="s">
        <v>11369</v>
      </c>
      <c r="B5344" s="155"/>
      <c r="C5344" s="154" t="s">
        <v>11370</v>
      </c>
      <c r="D5344" s="155"/>
      <c r="E5344" s="155"/>
      <c r="F5344" s="154" t="s">
        <v>1619</v>
      </c>
      <c r="G5344" s="154">
        <v>4.3903333E7</v>
      </c>
      <c r="H5344" s="154" t="s">
        <v>1620</v>
      </c>
      <c r="I5344" s="156">
        <v>0.0</v>
      </c>
      <c r="J5344" s="156">
        <v>0.0</v>
      </c>
      <c r="K5344" s="156">
        <v>0.0</v>
      </c>
    </row>
    <row r="5345">
      <c r="A5345" s="154" t="s">
        <v>11371</v>
      </c>
      <c r="B5345" s="155"/>
      <c r="C5345" s="154" t="s">
        <v>11372</v>
      </c>
      <c r="D5345" s="155"/>
      <c r="E5345" s="155"/>
      <c r="F5345" s="154" t="s">
        <v>1619</v>
      </c>
      <c r="G5345" s="154">
        <v>4.3903333E7</v>
      </c>
      <c r="H5345" s="154" t="s">
        <v>1620</v>
      </c>
      <c r="I5345" s="156">
        <v>0.0</v>
      </c>
      <c r="J5345" s="156">
        <v>0.0</v>
      </c>
      <c r="K5345" s="156">
        <v>0.0</v>
      </c>
    </row>
    <row r="5346">
      <c r="A5346" s="154" t="s">
        <v>11373</v>
      </c>
      <c r="B5346" s="155"/>
      <c r="C5346" s="154" t="s">
        <v>11374</v>
      </c>
      <c r="D5346" s="155"/>
      <c r="E5346" s="155"/>
      <c r="F5346" s="154" t="s">
        <v>1619</v>
      </c>
      <c r="G5346" s="154">
        <v>4.3903333E7</v>
      </c>
      <c r="H5346" s="154" t="s">
        <v>1620</v>
      </c>
      <c r="I5346" s="156">
        <v>0.0</v>
      </c>
      <c r="J5346" s="156">
        <v>0.0</v>
      </c>
      <c r="K5346" s="156">
        <v>0.0</v>
      </c>
    </row>
    <row r="5347">
      <c r="A5347" s="154" t="s">
        <v>11375</v>
      </c>
      <c r="B5347" s="155"/>
      <c r="C5347" s="154" t="s">
        <v>11376</v>
      </c>
      <c r="D5347" s="155"/>
      <c r="E5347" s="155"/>
      <c r="F5347" s="154" t="s">
        <v>1619</v>
      </c>
      <c r="G5347" s="154">
        <v>4.3903333E7</v>
      </c>
      <c r="H5347" s="154" t="s">
        <v>1620</v>
      </c>
      <c r="I5347" s="156">
        <v>0.0</v>
      </c>
      <c r="J5347" s="156">
        <v>0.0</v>
      </c>
      <c r="K5347" s="156">
        <v>0.0</v>
      </c>
    </row>
    <row r="5348">
      <c r="A5348" s="154" t="s">
        <v>11377</v>
      </c>
      <c r="B5348" s="155"/>
      <c r="C5348" s="154" t="s">
        <v>11378</v>
      </c>
      <c r="D5348" s="155"/>
      <c r="E5348" s="155"/>
      <c r="F5348" s="154" t="s">
        <v>1619</v>
      </c>
      <c r="G5348" s="154">
        <v>4.3903333E7</v>
      </c>
      <c r="H5348" s="154" t="s">
        <v>1620</v>
      </c>
      <c r="I5348" s="156">
        <v>0.0</v>
      </c>
      <c r="J5348" s="156">
        <v>0.0</v>
      </c>
      <c r="K5348" s="156">
        <v>0.0</v>
      </c>
    </row>
    <row r="5349">
      <c r="A5349" s="154" t="s">
        <v>11379</v>
      </c>
      <c r="B5349" s="155"/>
      <c r="C5349" s="154" t="s">
        <v>11380</v>
      </c>
      <c r="D5349" s="155"/>
      <c r="E5349" s="155"/>
      <c r="F5349" s="154" t="s">
        <v>1619</v>
      </c>
      <c r="G5349" s="154">
        <v>4.3903333E7</v>
      </c>
      <c r="H5349" s="154" t="s">
        <v>1620</v>
      </c>
      <c r="I5349" s="156">
        <v>0.0</v>
      </c>
      <c r="J5349" s="156">
        <v>0.0</v>
      </c>
      <c r="K5349" s="156">
        <v>0.0</v>
      </c>
    </row>
    <row r="5350">
      <c r="A5350" s="154" t="s">
        <v>11381</v>
      </c>
      <c r="B5350" s="155"/>
      <c r="C5350" s="154" t="s">
        <v>11382</v>
      </c>
      <c r="D5350" s="155"/>
      <c r="E5350" s="155"/>
      <c r="F5350" s="154" t="s">
        <v>1619</v>
      </c>
      <c r="G5350" s="154">
        <v>4.3903333E7</v>
      </c>
      <c r="H5350" s="154" t="s">
        <v>1620</v>
      </c>
      <c r="I5350" s="156">
        <v>0.0</v>
      </c>
      <c r="J5350" s="156">
        <v>0.0</v>
      </c>
      <c r="K5350" s="156">
        <v>0.0</v>
      </c>
    </row>
    <row r="5351">
      <c r="A5351" s="154" t="s">
        <v>11383</v>
      </c>
      <c r="B5351" s="155"/>
      <c r="C5351" s="154" t="s">
        <v>11384</v>
      </c>
      <c r="D5351" s="155"/>
      <c r="E5351" s="155"/>
      <c r="F5351" s="154" t="s">
        <v>1619</v>
      </c>
      <c r="G5351" s="154">
        <v>4.3903333E7</v>
      </c>
      <c r="H5351" s="154" t="s">
        <v>1620</v>
      </c>
      <c r="I5351" s="156">
        <v>0.0</v>
      </c>
      <c r="J5351" s="156">
        <v>0.0</v>
      </c>
      <c r="K5351" s="156">
        <v>0.0</v>
      </c>
    </row>
    <row r="5352">
      <c r="A5352" s="154" t="s">
        <v>11385</v>
      </c>
      <c r="B5352" s="155"/>
      <c r="C5352" s="154" t="s">
        <v>11386</v>
      </c>
      <c r="D5352" s="155"/>
      <c r="E5352" s="155"/>
      <c r="F5352" s="154" t="s">
        <v>1619</v>
      </c>
      <c r="G5352" s="154">
        <v>4.3903333E7</v>
      </c>
      <c r="H5352" s="154" t="s">
        <v>1620</v>
      </c>
      <c r="I5352" s="156">
        <v>0.0</v>
      </c>
      <c r="J5352" s="156">
        <v>0.0</v>
      </c>
      <c r="K5352" s="156">
        <v>0.0</v>
      </c>
    </row>
    <row r="5353">
      <c r="A5353" s="154" t="s">
        <v>11387</v>
      </c>
      <c r="B5353" s="155"/>
      <c r="C5353" s="154" t="s">
        <v>11388</v>
      </c>
      <c r="D5353" s="155"/>
      <c r="E5353" s="155"/>
      <c r="F5353" s="154" t="s">
        <v>1619</v>
      </c>
      <c r="G5353" s="154">
        <v>4.3903333E7</v>
      </c>
      <c r="H5353" s="154" t="s">
        <v>1620</v>
      </c>
      <c r="I5353" s="156">
        <v>0.0</v>
      </c>
      <c r="J5353" s="156">
        <v>0.0</v>
      </c>
      <c r="K5353" s="156">
        <v>0.0</v>
      </c>
    </row>
    <row r="5354">
      <c r="A5354" s="154" t="s">
        <v>11389</v>
      </c>
      <c r="B5354" s="155"/>
      <c r="C5354" s="154" t="s">
        <v>11390</v>
      </c>
      <c r="D5354" s="155"/>
      <c r="E5354" s="155"/>
      <c r="F5354" s="154" t="s">
        <v>1619</v>
      </c>
      <c r="G5354" s="154">
        <v>4.3903333E7</v>
      </c>
      <c r="H5354" s="154" t="s">
        <v>1620</v>
      </c>
      <c r="I5354" s="156">
        <v>0.0</v>
      </c>
      <c r="J5354" s="156">
        <v>0.0</v>
      </c>
      <c r="K5354" s="156">
        <v>0.0</v>
      </c>
    </row>
    <row r="5355">
      <c r="A5355" s="154" t="s">
        <v>11391</v>
      </c>
      <c r="B5355" s="155"/>
      <c r="C5355" s="154" t="s">
        <v>11392</v>
      </c>
      <c r="D5355" s="155"/>
      <c r="E5355" s="155"/>
      <c r="F5355" s="154" t="s">
        <v>1619</v>
      </c>
      <c r="G5355" s="154">
        <v>4.3903333E7</v>
      </c>
      <c r="H5355" s="154" t="s">
        <v>1620</v>
      </c>
      <c r="I5355" s="156">
        <v>0.0</v>
      </c>
      <c r="J5355" s="156">
        <v>0.0</v>
      </c>
      <c r="K5355" s="156">
        <v>0.0</v>
      </c>
    </row>
    <row r="5356">
      <c r="A5356" s="154" t="s">
        <v>11393</v>
      </c>
      <c r="B5356" s="155"/>
      <c r="C5356" s="154" t="s">
        <v>11394</v>
      </c>
      <c r="D5356" s="155"/>
      <c r="E5356" s="155"/>
      <c r="F5356" s="154" t="s">
        <v>1619</v>
      </c>
      <c r="G5356" s="154">
        <v>4.3903333E7</v>
      </c>
      <c r="H5356" s="154" t="s">
        <v>1620</v>
      </c>
      <c r="I5356" s="156">
        <v>0.0</v>
      </c>
      <c r="J5356" s="156">
        <v>0.0</v>
      </c>
      <c r="K5356" s="156">
        <v>0.0</v>
      </c>
    </row>
    <row r="5357">
      <c r="A5357" s="154" t="s">
        <v>11395</v>
      </c>
      <c r="B5357" s="155"/>
      <c r="C5357" s="154" t="s">
        <v>11396</v>
      </c>
      <c r="D5357" s="155"/>
      <c r="E5357" s="155"/>
      <c r="F5357" s="154" t="s">
        <v>1619</v>
      </c>
      <c r="G5357" s="154">
        <v>4.3903333E7</v>
      </c>
      <c r="H5357" s="154" t="s">
        <v>1620</v>
      </c>
      <c r="I5357" s="156">
        <v>0.0</v>
      </c>
      <c r="J5357" s="156">
        <v>0.0</v>
      </c>
      <c r="K5357" s="156">
        <v>0.0</v>
      </c>
    </row>
    <row r="5358">
      <c r="A5358" s="154" t="s">
        <v>11397</v>
      </c>
      <c r="B5358" s="155"/>
      <c r="C5358" s="154" t="s">
        <v>11398</v>
      </c>
      <c r="D5358" s="155"/>
      <c r="E5358" s="155"/>
      <c r="F5358" s="154" t="s">
        <v>1619</v>
      </c>
      <c r="G5358" s="154">
        <v>4.3903333E7</v>
      </c>
      <c r="H5358" s="154" t="s">
        <v>1620</v>
      </c>
      <c r="I5358" s="156">
        <v>0.0</v>
      </c>
      <c r="J5358" s="156">
        <v>0.0</v>
      </c>
      <c r="K5358" s="156">
        <v>0.0</v>
      </c>
    </row>
    <row r="5359">
      <c r="A5359" s="154" t="s">
        <v>11399</v>
      </c>
      <c r="B5359" s="155"/>
      <c r="C5359" s="154" t="s">
        <v>11400</v>
      </c>
      <c r="D5359" s="155"/>
      <c r="E5359" s="155"/>
      <c r="F5359" s="154" t="s">
        <v>1619</v>
      </c>
      <c r="G5359" s="154">
        <v>4.3903333E7</v>
      </c>
      <c r="H5359" s="154" t="s">
        <v>1620</v>
      </c>
      <c r="I5359" s="156">
        <v>0.0</v>
      </c>
      <c r="J5359" s="156">
        <v>0.0</v>
      </c>
      <c r="K5359" s="156">
        <v>0.0</v>
      </c>
    </row>
    <row r="5360">
      <c r="A5360" s="154" t="s">
        <v>11401</v>
      </c>
      <c r="B5360" s="155"/>
      <c r="C5360" s="154" t="s">
        <v>11402</v>
      </c>
      <c r="D5360" s="155"/>
      <c r="E5360" s="155"/>
      <c r="F5360" s="154" t="s">
        <v>1619</v>
      </c>
      <c r="G5360" s="154">
        <v>4.3903333E7</v>
      </c>
      <c r="H5360" s="154" t="s">
        <v>1620</v>
      </c>
      <c r="I5360" s="156">
        <v>0.0</v>
      </c>
      <c r="J5360" s="156">
        <v>0.0</v>
      </c>
      <c r="K5360" s="156">
        <v>0.0</v>
      </c>
    </row>
    <row r="5361">
      <c r="A5361" s="154" t="s">
        <v>11403</v>
      </c>
      <c r="B5361" s="155"/>
      <c r="C5361" s="154" t="s">
        <v>11404</v>
      </c>
      <c r="D5361" s="155"/>
      <c r="E5361" s="155"/>
      <c r="F5361" s="154" t="s">
        <v>1619</v>
      </c>
      <c r="G5361" s="154">
        <v>4.3903333E7</v>
      </c>
      <c r="H5361" s="154" t="s">
        <v>1620</v>
      </c>
      <c r="I5361" s="156">
        <v>0.0</v>
      </c>
      <c r="J5361" s="156">
        <v>0.0</v>
      </c>
      <c r="K5361" s="156">
        <v>0.0</v>
      </c>
    </row>
    <row r="5362">
      <c r="A5362" s="154" t="s">
        <v>11405</v>
      </c>
      <c r="B5362" s="155"/>
      <c r="C5362" s="154" t="s">
        <v>11406</v>
      </c>
      <c r="D5362" s="155"/>
      <c r="E5362" s="155"/>
      <c r="F5362" s="154" t="s">
        <v>1619</v>
      </c>
      <c r="G5362" s="154">
        <v>4.3903333E7</v>
      </c>
      <c r="H5362" s="154" t="s">
        <v>1620</v>
      </c>
      <c r="I5362" s="156">
        <v>0.0</v>
      </c>
      <c r="J5362" s="156">
        <v>0.0</v>
      </c>
      <c r="K5362" s="156">
        <v>0.0</v>
      </c>
    </row>
    <row r="5363">
      <c r="A5363" s="154" t="s">
        <v>11407</v>
      </c>
      <c r="B5363" s="155"/>
      <c r="C5363" s="154" t="s">
        <v>11408</v>
      </c>
      <c r="D5363" s="155"/>
      <c r="E5363" s="155"/>
      <c r="F5363" s="154" t="s">
        <v>1619</v>
      </c>
      <c r="G5363" s="154">
        <v>4.3903333E7</v>
      </c>
      <c r="H5363" s="154" t="s">
        <v>1620</v>
      </c>
      <c r="I5363" s="156">
        <v>0.0</v>
      </c>
      <c r="J5363" s="156">
        <v>0.0</v>
      </c>
      <c r="K5363" s="156">
        <v>0.0</v>
      </c>
    </row>
    <row r="5364">
      <c r="A5364" s="154" t="s">
        <v>11409</v>
      </c>
      <c r="B5364" s="155"/>
      <c r="C5364" s="154" t="s">
        <v>11410</v>
      </c>
      <c r="D5364" s="155"/>
      <c r="E5364" s="155"/>
      <c r="F5364" s="154" t="s">
        <v>1619</v>
      </c>
      <c r="G5364" s="154">
        <v>4.3903333E7</v>
      </c>
      <c r="H5364" s="154" t="s">
        <v>1620</v>
      </c>
      <c r="I5364" s="156">
        <v>0.0</v>
      </c>
      <c r="J5364" s="156">
        <v>0.0</v>
      </c>
      <c r="K5364" s="156">
        <v>0.0</v>
      </c>
    </row>
    <row r="5365">
      <c r="A5365" s="154" t="s">
        <v>11411</v>
      </c>
      <c r="B5365" s="155"/>
      <c r="C5365" s="154" t="s">
        <v>11412</v>
      </c>
      <c r="D5365" s="155"/>
      <c r="E5365" s="155"/>
      <c r="F5365" s="154" t="s">
        <v>1619</v>
      </c>
      <c r="G5365" s="154">
        <v>4.3903333E7</v>
      </c>
      <c r="H5365" s="154" t="s">
        <v>1620</v>
      </c>
      <c r="I5365" s="156">
        <v>0.0</v>
      </c>
      <c r="J5365" s="156">
        <v>0.0</v>
      </c>
      <c r="K5365" s="156">
        <v>0.0</v>
      </c>
    </row>
    <row r="5366">
      <c r="A5366" s="154" t="s">
        <v>11413</v>
      </c>
      <c r="B5366" s="155"/>
      <c r="C5366" s="154" t="s">
        <v>11414</v>
      </c>
      <c r="D5366" s="155"/>
      <c r="E5366" s="155"/>
      <c r="F5366" s="154" t="s">
        <v>1619</v>
      </c>
      <c r="G5366" s="154">
        <v>4.3903333E7</v>
      </c>
      <c r="H5366" s="154" t="s">
        <v>1620</v>
      </c>
      <c r="I5366" s="156">
        <v>0.0</v>
      </c>
      <c r="J5366" s="156">
        <v>0.0</v>
      </c>
      <c r="K5366" s="156">
        <v>0.0</v>
      </c>
    </row>
    <row r="5367">
      <c r="A5367" s="154" t="s">
        <v>11415</v>
      </c>
      <c r="B5367" s="155"/>
      <c r="C5367" s="154" t="s">
        <v>11416</v>
      </c>
      <c r="D5367" s="155"/>
      <c r="E5367" s="155"/>
      <c r="F5367" s="154" t="s">
        <v>1619</v>
      </c>
      <c r="G5367" s="154">
        <v>4.3903333E7</v>
      </c>
      <c r="H5367" s="154" t="s">
        <v>1620</v>
      </c>
      <c r="I5367" s="156">
        <v>0.0</v>
      </c>
      <c r="J5367" s="156">
        <v>0.0</v>
      </c>
      <c r="K5367" s="156">
        <v>0.0</v>
      </c>
    </row>
    <row r="5368">
      <c r="A5368" s="154" t="s">
        <v>11417</v>
      </c>
      <c r="B5368" s="155"/>
      <c r="C5368" s="154" t="s">
        <v>11418</v>
      </c>
      <c r="D5368" s="155"/>
      <c r="E5368" s="155"/>
      <c r="F5368" s="154" t="s">
        <v>1619</v>
      </c>
      <c r="G5368" s="154">
        <v>4.3903333E7</v>
      </c>
      <c r="H5368" s="154" t="s">
        <v>1620</v>
      </c>
      <c r="I5368" s="156">
        <v>0.0</v>
      </c>
      <c r="J5368" s="156">
        <v>0.0</v>
      </c>
      <c r="K5368" s="156">
        <v>0.0</v>
      </c>
    </row>
    <row r="5369">
      <c r="A5369" s="154" t="s">
        <v>11419</v>
      </c>
      <c r="B5369" s="155"/>
      <c r="C5369" s="154" t="s">
        <v>11420</v>
      </c>
      <c r="D5369" s="155"/>
      <c r="E5369" s="155"/>
      <c r="F5369" s="154" t="s">
        <v>1619</v>
      </c>
      <c r="G5369" s="154">
        <v>4.3903333E7</v>
      </c>
      <c r="H5369" s="154" t="s">
        <v>1620</v>
      </c>
      <c r="I5369" s="156">
        <v>0.0</v>
      </c>
      <c r="J5369" s="156">
        <v>0.0</v>
      </c>
      <c r="K5369" s="156">
        <v>0.0</v>
      </c>
    </row>
    <row r="5370">
      <c r="A5370" s="154" t="s">
        <v>11421</v>
      </c>
      <c r="B5370" s="155"/>
      <c r="C5370" s="154" t="s">
        <v>11422</v>
      </c>
      <c r="D5370" s="155"/>
      <c r="E5370" s="155"/>
      <c r="F5370" s="154" t="s">
        <v>1619</v>
      </c>
      <c r="G5370" s="154">
        <v>4.3903333E7</v>
      </c>
      <c r="H5370" s="154" t="s">
        <v>1620</v>
      </c>
      <c r="I5370" s="156">
        <v>0.0</v>
      </c>
      <c r="J5370" s="156">
        <v>0.0</v>
      </c>
      <c r="K5370" s="156">
        <v>0.0</v>
      </c>
    </row>
    <row r="5371">
      <c r="A5371" s="154" t="s">
        <v>11423</v>
      </c>
      <c r="B5371" s="155"/>
      <c r="C5371" s="154" t="s">
        <v>11424</v>
      </c>
      <c r="D5371" s="155"/>
      <c r="E5371" s="155"/>
      <c r="F5371" s="154" t="s">
        <v>1619</v>
      </c>
      <c r="G5371" s="154">
        <v>4.3903333E7</v>
      </c>
      <c r="H5371" s="154" t="s">
        <v>1620</v>
      </c>
      <c r="I5371" s="156">
        <v>0.0</v>
      </c>
      <c r="J5371" s="156">
        <v>0.0</v>
      </c>
      <c r="K5371" s="156">
        <v>0.0</v>
      </c>
    </row>
    <row r="5372">
      <c r="A5372" s="154" t="s">
        <v>11425</v>
      </c>
      <c r="B5372" s="155"/>
      <c r="C5372" s="154" t="s">
        <v>11426</v>
      </c>
      <c r="D5372" s="155"/>
      <c r="E5372" s="155"/>
      <c r="F5372" s="154" t="s">
        <v>1619</v>
      </c>
      <c r="G5372" s="154">
        <v>4.3903333E7</v>
      </c>
      <c r="H5372" s="154" t="s">
        <v>1620</v>
      </c>
      <c r="I5372" s="156">
        <v>0.0</v>
      </c>
      <c r="J5372" s="156">
        <v>0.0</v>
      </c>
      <c r="K5372" s="156">
        <v>0.0</v>
      </c>
    </row>
    <row r="5373">
      <c r="A5373" s="154" t="s">
        <v>11427</v>
      </c>
      <c r="B5373" s="155"/>
      <c r="C5373" s="154" t="s">
        <v>11428</v>
      </c>
      <c r="D5373" s="155"/>
      <c r="E5373" s="155"/>
      <c r="F5373" s="154" t="s">
        <v>1619</v>
      </c>
      <c r="G5373" s="154">
        <v>4.3903333E7</v>
      </c>
      <c r="H5373" s="154" t="s">
        <v>1620</v>
      </c>
      <c r="I5373" s="156">
        <v>0.0</v>
      </c>
      <c r="J5373" s="156">
        <v>0.0</v>
      </c>
      <c r="K5373" s="156">
        <v>0.0</v>
      </c>
    </row>
    <row r="5374">
      <c r="A5374" s="154" t="s">
        <v>11429</v>
      </c>
      <c r="B5374" s="155"/>
      <c r="C5374" s="154" t="s">
        <v>11430</v>
      </c>
      <c r="D5374" s="155"/>
      <c r="E5374" s="155"/>
      <c r="F5374" s="154" t="s">
        <v>1619</v>
      </c>
      <c r="G5374" s="154">
        <v>4.3903333E7</v>
      </c>
      <c r="H5374" s="154" t="s">
        <v>1620</v>
      </c>
      <c r="I5374" s="156">
        <v>0.0</v>
      </c>
      <c r="J5374" s="156">
        <v>0.0</v>
      </c>
      <c r="K5374" s="156">
        <v>0.0</v>
      </c>
    </row>
    <row r="5375">
      <c r="A5375" s="154" t="s">
        <v>11431</v>
      </c>
      <c r="B5375" s="155"/>
      <c r="C5375" s="154" t="s">
        <v>11432</v>
      </c>
      <c r="D5375" s="155"/>
      <c r="E5375" s="155"/>
      <c r="F5375" s="154" t="s">
        <v>1619</v>
      </c>
      <c r="G5375" s="154">
        <v>4.3903333E7</v>
      </c>
      <c r="H5375" s="154" t="s">
        <v>1620</v>
      </c>
      <c r="I5375" s="156">
        <v>0.0</v>
      </c>
      <c r="J5375" s="156">
        <v>0.0</v>
      </c>
      <c r="K5375" s="156">
        <v>0.0</v>
      </c>
    </row>
    <row r="5376">
      <c r="A5376" s="154" t="s">
        <v>11433</v>
      </c>
      <c r="B5376" s="155"/>
      <c r="C5376" s="154" t="s">
        <v>11434</v>
      </c>
      <c r="D5376" s="155"/>
      <c r="E5376" s="155"/>
      <c r="F5376" s="154" t="s">
        <v>1619</v>
      </c>
      <c r="G5376" s="154">
        <v>4.3903333E7</v>
      </c>
      <c r="H5376" s="154" t="s">
        <v>1620</v>
      </c>
      <c r="I5376" s="156">
        <v>0.0</v>
      </c>
      <c r="J5376" s="156">
        <v>0.0</v>
      </c>
      <c r="K5376" s="156">
        <v>0.0</v>
      </c>
    </row>
    <row r="5377">
      <c r="A5377" s="154" t="s">
        <v>11435</v>
      </c>
      <c r="B5377" s="155"/>
      <c r="C5377" s="154" t="s">
        <v>11436</v>
      </c>
      <c r="D5377" s="155"/>
      <c r="E5377" s="155"/>
      <c r="F5377" s="154" t="s">
        <v>1619</v>
      </c>
      <c r="G5377" s="154">
        <v>4.3903333E7</v>
      </c>
      <c r="H5377" s="154" t="s">
        <v>1620</v>
      </c>
      <c r="I5377" s="156">
        <v>0.0</v>
      </c>
      <c r="J5377" s="156">
        <v>0.0</v>
      </c>
      <c r="K5377" s="156">
        <v>0.0</v>
      </c>
    </row>
    <row r="5378">
      <c r="A5378" s="154" t="s">
        <v>11437</v>
      </c>
      <c r="B5378" s="155"/>
      <c r="C5378" s="154" t="s">
        <v>11438</v>
      </c>
      <c r="D5378" s="155"/>
      <c r="E5378" s="155"/>
      <c r="F5378" s="154" t="s">
        <v>1619</v>
      </c>
      <c r="G5378" s="154">
        <v>4.3903333E7</v>
      </c>
      <c r="H5378" s="154" t="s">
        <v>1620</v>
      </c>
      <c r="I5378" s="156">
        <v>0.0</v>
      </c>
      <c r="J5378" s="156">
        <v>0.0</v>
      </c>
      <c r="K5378" s="156">
        <v>0.0</v>
      </c>
    </row>
    <row r="5379">
      <c r="A5379" s="154" t="s">
        <v>11439</v>
      </c>
      <c r="B5379" s="155"/>
      <c r="C5379" s="154" t="s">
        <v>11440</v>
      </c>
      <c r="D5379" s="155"/>
      <c r="E5379" s="155"/>
      <c r="F5379" s="154" t="s">
        <v>1619</v>
      </c>
      <c r="G5379" s="154">
        <v>4.3903333E7</v>
      </c>
      <c r="H5379" s="154" t="s">
        <v>1620</v>
      </c>
      <c r="I5379" s="156">
        <v>0.0</v>
      </c>
      <c r="J5379" s="156">
        <v>0.0</v>
      </c>
      <c r="K5379" s="156">
        <v>0.0</v>
      </c>
    </row>
    <row r="5380">
      <c r="A5380" s="154" t="s">
        <v>11441</v>
      </c>
      <c r="B5380" s="155"/>
      <c r="C5380" s="154" t="s">
        <v>11442</v>
      </c>
      <c r="D5380" s="155"/>
      <c r="E5380" s="155"/>
      <c r="F5380" s="154" t="s">
        <v>1619</v>
      </c>
      <c r="G5380" s="154">
        <v>4.3903333E7</v>
      </c>
      <c r="H5380" s="154" t="s">
        <v>1620</v>
      </c>
      <c r="I5380" s="156">
        <v>0.0</v>
      </c>
      <c r="J5380" s="156">
        <v>0.0</v>
      </c>
      <c r="K5380" s="156">
        <v>0.0</v>
      </c>
    </row>
    <row r="5381">
      <c r="A5381" s="154" t="s">
        <v>11443</v>
      </c>
      <c r="B5381" s="155"/>
      <c r="C5381" s="154" t="s">
        <v>11444</v>
      </c>
      <c r="D5381" s="155"/>
      <c r="E5381" s="155"/>
      <c r="F5381" s="154" t="s">
        <v>1619</v>
      </c>
      <c r="G5381" s="154">
        <v>4.3903333E7</v>
      </c>
      <c r="H5381" s="154" t="s">
        <v>1620</v>
      </c>
      <c r="I5381" s="156">
        <v>0.0</v>
      </c>
      <c r="J5381" s="156">
        <v>0.0</v>
      </c>
      <c r="K5381" s="156">
        <v>0.0</v>
      </c>
    </row>
    <row r="5382">
      <c r="A5382" s="154" t="s">
        <v>11445</v>
      </c>
      <c r="B5382" s="155"/>
      <c r="C5382" s="154" t="s">
        <v>11446</v>
      </c>
      <c r="D5382" s="155"/>
      <c r="E5382" s="155"/>
      <c r="F5382" s="154" t="s">
        <v>1619</v>
      </c>
      <c r="G5382" s="154">
        <v>4.3903333E7</v>
      </c>
      <c r="H5382" s="154" t="s">
        <v>1620</v>
      </c>
      <c r="I5382" s="156">
        <v>0.0</v>
      </c>
      <c r="J5382" s="156">
        <v>0.0</v>
      </c>
      <c r="K5382" s="156">
        <v>0.0</v>
      </c>
    </row>
    <row r="5383">
      <c r="A5383" s="154" t="s">
        <v>11447</v>
      </c>
      <c r="B5383" s="155"/>
      <c r="C5383" s="154" t="s">
        <v>11448</v>
      </c>
      <c r="D5383" s="155"/>
      <c r="E5383" s="155"/>
      <c r="F5383" s="154" t="s">
        <v>1619</v>
      </c>
      <c r="G5383" s="154">
        <v>4.3903333E7</v>
      </c>
      <c r="H5383" s="154" t="s">
        <v>1620</v>
      </c>
      <c r="I5383" s="156">
        <v>0.0</v>
      </c>
      <c r="J5383" s="156">
        <v>0.0</v>
      </c>
      <c r="K5383" s="156">
        <v>0.0</v>
      </c>
    </row>
    <row r="5384">
      <c r="A5384" s="154" t="s">
        <v>11449</v>
      </c>
      <c r="B5384" s="155"/>
      <c r="C5384" s="154" t="s">
        <v>11450</v>
      </c>
      <c r="D5384" s="155"/>
      <c r="E5384" s="155"/>
      <c r="F5384" s="154" t="s">
        <v>1619</v>
      </c>
      <c r="G5384" s="154">
        <v>4.3903333E7</v>
      </c>
      <c r="H5384" s="154" t="s">
        <v>1620</v>
      </c>
      <c r="I5384" s="156">
        <v>0.0</v>
      </c>
      <c r="J5384" s="156">
        <v>0.0</v>
      </c>
      <c r="K5384" s="156">
        <v>0.0</v>
      </c>
    </row>
    <row r="5385">
      <c r="A5385" s="154" t="s">
        <v>11451</v>
      </c>
      <c r="B5385" s="155"/>
      <c r="C5385" s="154" t="s">
        <v>11452</v>
      </c>
      <c r="D5385" s="155"/>
      <c r="E5385" s="155"/>
      <c r="F5385" s="154" t="s">
        <v>1619</v>
      </c>
      <c r="G5385" s="154">
        <v>4.3903333E7</v>
      </c>
      <c r="H5385" s="154" t="s">
        <v>1620</v>
      </c>
      <c r="I5385" s="156">
        <v>0.0</v>
      </c>
      <c r="J5385" s="156">
        <v>0.0</v>
      </c>
      <c r="K5385" s="156">
        <v>0.0</v>
      </c>
    </row>
    <row r="5386">
      <c r="A5386" s="154" t="s">
        <v>11453</v>
      </c>
      <c r="B5386" s="155"/>
      <c r="C5386" s="154" t="s">
        <v>11454</v>
      </c>
      <c r="D5386" s="155"/>
      <c r="E5386" s="155"/>
      <c r="F5386" s="154" t="s">
        <v>1619</v>
      </c>
      <c r="G5386" s="154">
        <v>4.3903333E7</v>
      </c>
      <c r="H5386" s="154" t="s">
        <v>1620</v>
      </c>
      <c r="I5386" s="156">
        <v>0.0</v>
      </c>
      <c r="J5386" s="156">
        <v>0.0</v>
      </c>
      <c r="K5386" s="156">
        <v>0.0</v>
      </c>
    </row>
    <row r="5387">
      <c r="A5387" s="154" t="s">
        <v>11455</v>
      </c>
      <c r="B5387" s="155"/>
      <c r="C5387" s="154" t="s">
        <v>11456</v>
      </c>
      <c r="D5387" s="155"/>
      <c r="E5387" s="155"/>
      <c r="F5387" s="154" t="s">
        <v>1619</v>
      </c>
      <c r="G5387" s="154">
        <v>4.3903333E7</v>
      </c>
      <c r="H5387" s="154" t="s">
        <v>1620</v>
      </c>
      <c r="I5387" s="156">
        <v>0.0</v>
      </c>
      <c r="J5387" s="156">
        <v>0.0</v>
      </c>
      <c r="K5387" s="156">
        <v>0.0</v>
      </c>
    </row>
    <row r="5388">
      <c r="A5388" s="154" t="s">
        <v>11457</v>
      </c>
      <c r="B5388" s="155"/>
      <c r="C5388" s="154" t="s">
        <v>11458</v>
      </c>
      <c r="D5388" s="155"/>
      <c r="E5388" s="155"/>
      <c r="F5388" s="154" t="s">
        <v>1619</v>
      </c>
      <c r="G5388" s="154">
        <v>4.3903333E7</v>
      </c>
      <c r="H5388" s="154" t="s">
        <v>1620</v>
      </c>
      <c r="I5388" s="156">
        <v>0.0</v>
      </c>
      <c r="J5388" s="156">
        <v>0.0</v>
      </c>
      <c r="K5388" s="156">
        <v>0.0</v>
      </c>
    </row>
    <row r="5389">
      <c r="A5389" s="154" t="s">
        <v>11459</v>
      </c>
      <c r="B5389" s="155"/>
      <c r="C5389" s="154" t="s">
        <v>11460</v>
      </c>
      <c r="D5389" s="155"/>
      <c r="E5389" s="155"/>
      <c r="F5389" s="154" t="s">
        <v>1619</v>
      </c>
      <c r="G5389" s="154">
        <v>4.3903333E7</v>
      </c>
      <c r="H5389" s="154" t="s">
        <v>1620</v>
      </c>
      <c r="I5389" s="156">
        <v>0.0</v>
      </c>
      <c r="J5389" s="156">
        <v>0.0</v>
      </c>
      <c r="K5389" s="156">
        <v>0.0</v>
      </c>
    </row>
    <row r="5390">
      <c r="A5390" s="154" t="s">
        <v>11461</v>
      </c>
      <c r="B5390" s="155"/>
      <c r="C5390" s="154" t="s">
        <v>11462</v>
      </c>
      <c r="D5390" s="155"/>
      <c r="E5390" s="155"/>
      <c r="F5390" s="154" t="s">
        <v>1619</v>
      </c>
      <c r="G5390" s="154">
        <v>4.3903333E7</v>
      </c>
      <c r="H5390" s="154" t="s">
        <v>1620</v>
      </c>
      <c r="I5390" s="156">
        <v>0.0</v>
      </c>
      <c r="J5390" s="156">
        <v>0.0</v>
      </c>
      <c r="K5390" s="156">
        <v>0.0</v>
      </c>
    </row>
    <row r="5391">
      <c r="A5391" s="154" t="s">
        <v>11463</v>
      </c>
      <c r="B5391" s="155"/>
      <c r="C5391" s="154" t="s">
        <v>11464</v>
      </c>
      <c r="D5391" s="155"/>
      <c r="E5391" s="155"/>
      <c r="F5391" s="154" t="s">
        <v>1619</v>
      </c>
      <c r="G5391" s="154">
        <v>4.3903333E7</v>
      </c>
      <c r="H5391" s="154" t="s">
        <v>1620</v>
      </c>
      <c r="I5391" s="156">
        <v>0.0</v>
      </c>
      <c r="J5391" s="156">
        <v>0.0</v>
      </c>
      <c r="K5391" s="156">
        <v>0.0</v>
      </c>
    </row>
    <row r="5392">
      <c r="A5392" s="154" t="s">
        <v>11465</v>
      </c>
      <c r="B5392" s="155"/>
      <c r="C5392" s="154" t="s">
        <v>11466</v>
      </c>
      <c r="D5392" s="155"/>
      <c r="E5392" s="155"/>
      <c r="F5392" s="154" t="s">
        <v>1619</v>
      </c>
      <c r="G5392" s="154">
        <v>4.3903333E7</v>
      </c>
      <c r="H5392" s="154" t="s">
        <v>1620</v>
      </c>
      <c r="I5392" s="156">
        <v>0.0</v>
      </c>
      <c r="J5392" s="156">
        <v>0.0</v>
      </c>
      <c r="K5392" s="156">
        <v>0.0</v>
      </c>
    </row>
    <row r="5393">
      <c r="A5393" s="154" t="s">
        <v>11467</v>
      </c>
      <c r="B5393" s="155"/>
      <c r="C5393" s="154" t="s">
        <v>11468</v>
      </c>
      <c r="D5393" s="155"/>
      <c r="E5393" s="155"/>
      <c r="F5393" s="154" t="s">
        <v>1619</v>
      </c>
      <c r="G5393" s="154">
        <v>4.3903333E7</v>
      </c>
      <c r="H5393" s="154" t="s">
        <v>1620</v>
      </c>
      <c r="I5393" s="156">
        <v>0.0</v>
      </c>
      <c r="J5393" s="156">
        <v>0.0</v>
      </c>
      <c r="K5393" s="156">
        <v>0.0</v>
      </c>
    </row>
    <row r="5394">
      <c r="A5394" s="154" t="s">
        <v>11469</v>
      </c>
      <c r="B5394" s="155"/>
      <c r="C5394" s="154" t="s">
        <v>11470</v>
      </c>
      <c r="D5394" s="155"/>
      <c r="E5394" s="155"/>
      <c r="F5394" s="154" t="s">
        <v>1619</v>
      </c>
      <c r="G5394" s="154">
        <v>4.3903333E7</v>
      </c>
      <c r="H5394" s="154" t="s">
        <v>1620</v>
      </c>
      <c r="I5394" s="156">
        <v>0.0</v>
      </c>
      <c r="J5394" s="156">
        <v>0.0</v>
      </c>
      <c r="K5394" s="156">
        <v>0.0</v>
      </c>
    </row>
    <row r="5395">
      <c r="A5395" s="154" t="s">
        <v>11471</v>
      </c>
      <c r="B5395" s="155"/>
      <c r="C5395" s="154" t="s">
        <v>11472</v>
      </c>
      <c r="D5395" s="155"/>
      <c r="E5395" s="155"/>
      <c r="F5395" s="154" t="s">
        <v>1619</v>
      </c>
      <c r="G5395" s="154">
        <v>4.3903333E7</v>
      </c>
      <c r="H5395" s="154" t="s">
        <v>1620</v>
      </c>
      <c r="I5395" s="156">
        <v>0.0</v>
      </c>
      <c r="J5395" s="156">
        <v>0.0</v>
      </c>
      <c r="K5395" s="156">
        <v>0.0</v>
      </c>
    </row>
    <row r="5396">
      <c r="A5396" s="154" t="s">
        <v>11473</v>
      </c>
      <c r="B5396" s="155"/>
      <c r="C5396" s="154" t="s">
        <v>11474</v>
      </c>
      <c r="D5396" s="155"/>
      <c r="E5396" s="155"/>
      <c r="F5396" s="154" t="s">
        <v>1619</v>
      </c>
      <c r="G5396" s="154">
        <v>4.3903333E7</v>
      </c>
      <c r="H5396" s="154" t="s">
        <v>1620</v>
      </c>
      <c r="I5396" s="156">
        <v>0.0</v>
      </c>
      <c r="J5396" s="156">
        <v>0.0</v>
      </c>
      <c r="K5396" s="156">
        <v>0.0</v>
      </c>
    </row>
    <row r="5397">
      <c r="A5397" s="154" t="s">
        <v>11475</v>
      </c>
      <c r="B5397" s="155"/>
      <c r="C5397" s="154" t="s">
        <v>11476</v>
      </c>
      <c r="D5397" s="155"/>
      <c r="E5397" s="155"/>
      <c r="F5397" s="154" t="s">
        <v>1619</v>
      </c>
      <c r="G5397" s="154">
        <v>4.3903333E7</v>
      </c>
      <c r="H5397" s="154" t="s">
        <v>1620</v>
      </c>
      <c r="I5397" s="156">
        <v>0.0</v>
      </c>
      <c r="J5397" s="156">
        <v>0.0</v>
      </c>
      <c r="K5397" s="156">
        <v>0.0</v>
      </c>
    </row>
    <row r="5398">
      <c r="A5398" s="154" t="s">
        <v>11477</v>
      </c>
      <c r="B5398" s="155"/>
      <c r="C5398" s="154" t="s">
        <v>11288</v>
      </c>
      <c r="D5398" s="155"/>
      <c r="E5398" s="155"/>
      <c r="F5398" s="154" t="s">
        <v>1619</v>
      </c>
      <c r="G5398" s="154">
        <v>4.3903333E7</v>
      </c>
      <c r="H5398" s="154" t="s">
        <v>1620</v>
      </c>
      <c r="I5398" s="156">
        <v>0.0</v>
      </c>
      <c r="J5398" s="156">
        <v>0.0</v>
      </c>
      <c r="K5398" s="156">
        <v>0.0</v>
      </c>
    </row>
    <row r="5399">
      <c r="A5399" s="154" t="s">
        <v>11478</v>
      </c>
      <c r="B5399" s="155"/>
      <c r="C5399" s="154" t="s">
        <v>11479</v>
      </c>
      <c r="D5399" s="155"/>
      <c r="E5399" s="155"/>
      <c r="F5399" s="154" t="s">
        <v>1619</v>
      </c>
      <c r="G5399" s="154">
        <v>4.3903333E7</v>
      </c>
      <c r="H5399" s="154" t="s">
        <v>1620</v>
      </c>
      <c r="I5399" s="156">
        <v>0.0</v>
      </c>
      <c r="J5399" s="156">
        <v>0.0</v>
      </c>
      <c r="K5399" s="156">
        <v>0.0</v>
      </c>
    </row>
    <row r="5400">
      <c r="A5400" s="154" t="s">
        <v>11480</v>
      </c>
      <c r="B5400" s="155"/>
      <c r="C5400" s="154" t="s">
        <v>11481</v>
      </c>
      <c r="D5400" s="155"/>
      <c r="E5400" s="155"/>
      <c r="F5400" s="154" t="s">
        <v>1619</v>
      </c>
      <c r="G5400" s="154">
        <v>4.3903333E7</v>
      </c>
      <c r="H5400" s="154" t="s">
        <v>1620</v>
      </c>
      <c r="I5400" s="156">
        <v>0.0</v>
      </c>
      <c r="J5400" s="156">
        <v>0.0</v>
      </c>
      <c r="K5400" s="156">
        <v>0.0</v>
      </c>
    </row>
    <row r="5401">
      <c r="A5401" s="154" t="s">
        <v>11482</v>
      </c>
      <c r="B5401" s="155"/>
      <c r="C5401" s="154" t="s">
        <v>11483</v>
      </c>
      <c r="D5401" s="155"/>
      <c r="E5401" s="155"/>
      <c r="F5401" s="154" t="s">
        <v>1619</v>
      </c>
      <c r="G5401" s="154">
        <v>4.3903333E7</v>
      </c>
      <c r="H5401" s="154" t="s">
        <v>1620</v>
      </c>
      <c r="I5401" s="156">
        <v>0.0</v>
      </c>
      <c r="J5401" s="156">
        <v>0.0</v>
      </c>
      <c r="K5401" s="156">
        <v>0.0</v>
      </c>
    </row>
    <row r="5402">
      <c r="A5402" s="154" t="s">
        <v>11484</v>
      </c>
      <c r="B5402" s="155"/>
      <c r="C5402" s="154" t="s">
        <v>11485</v>
      </c>
      <c r="D5402" s="155"/>
      <c r="E5402" s="155"/>
      <c r="F5402" s="154" t="s">
        <v>1619</v>
      </c>
      <c r="G5402" s="154">
        <v>4.3903333E7</v>
      </c>
      <c r="H5402" s="154" t="s">
        <v>1620</v>
      </c>
      <c r="I5402" s="156">
        <v>0.0</v>
      </c>
      <c r="J5402" s="156">
        <v>0.0</v>
      </c>
      <c r="K5402" s="156">
        <v>0.0</v>
      </c>
    </row>
    <row r="5403">
      <c r="A5403" s="154" t="s">
        <v>11486</v>
      </c>
      <c r="B5403" s="155"/>
      <c r="C5403" s="154" t="s">
        <v>11487</v>
      </c>
      <c r="D5403" s="155"/>
      <c r="E5403" s="155"/>
      <c r="F5403" s="154" t="s">
        <v>1619</v>
      </c>
      <c r="G5403" s="154">
        <v>4.3903333E7</v>
      </c>
      <c r="H5403" s="154" t="s">
        <v>1620</v>
      </c>
      <c r="I5403" s="156">
        <v>0.0</v>
      </c>
      <c r="J5403" s="156">
        <v>0.0</v>
      </c>
      <c r="K5403" s="156">
        <v>0.0</v>
      </c>
    </row>
    <row r="5404">
      <c r="A5404" s="154" t="s">
        <v>11488</v>
      </c>
      <c r="B5404" s="155"/>
      <c r="C5404" s="154" t="s">
        <v>11489</v>
      </c>
      <c r="D5404" s="155"/>
      <c r="E5404" s="155"/>
      <c r="F5404" s="154" t="s">
        <v>1619</v>
      </c>
      <c r="G5404" s="154">
        <v>4.3903333E7</v>
      </c>
      <c r="H5404" s="154" t="s">
        <v>1620</v>
      </c>
      <c r="I5404" s="156">
        <v>0.0</v>
      </c>
      <c r="J5404" s="156">
        <v>0.0</v>
      </c>
      <c r="K5404" s="156">
        <v>0.0</v>
      </c>
    </row>
    <row r="5405">
      <c r="A5405" s="154" t="s">
        <v>11490</v>
      </c>
      <c r="B5405" s="155"/>
      <c r="C5405" s="154" t="s">
        <v>11491</v>
      </c>
      <c r="D5405" s="155"/>
      <c r="E5405" s="155"/>
      <c r="F5405" s="154" t="s">
        <v>1619</v>
      </c>
      <c r="G5405" s="154">
        <v>4.3903333E7</v>
      </c>
      <c r="H5405" s="154" t="s">
        <v>1620</v>
      </c>
      <c r="I5405" s="156">
        <v>0.0</v>
      </c>
      <c r="J5405" s="156">
        <v>0.0</v>
      </c>
      <c r="K5405" s="156">
        <v>0.0</v>
      </c>
    </row>
    <row r="5406">
      <c r="A5406" s="154" t="s">
        <v>11492</v>
      </c>
      <c r="B5406" s="155"/>
      <c r="C5406" s="154" t="s">
        <v>11493</v>
      </c>
      <c r="D5406" s="155"/>
      <c r="E5406" s="155"/>
      <c r="F5406" s="154" t="s">
        <v>1619</v>
      </c>
      <c r="G5406" s="154">
        <v>4.3903333E7</v>
      </c>
      <c r="H5406" s="154" t="s">
        <v>1620</v>
      </c>
      <c r="I5406" s="156">
        <v>0.0</v>
      </c>
      <c r="J5406" s="156">
        <v>0.0</v>
      </c>
      <c r="K5406" s="156">
        <v>0.0</v>
      </c>
    </row>
    <row r="5407">
      <c r="A5407" s="154" t="s">
        <v>11494</v>
      </c>
      <c r="B5407" s="155"/>
      <c r="C5407" s="154" t="s">
        <v>11495</v>
      </c>
      <c r="D5407" s="155"/>
      <c r="E5407" s="155"/>
      <c r="F5407" s="154" t="s">
        <v>1619</v>
      </c>
      <c r="G5407" s="154">
        <v>4.3903333E7</v>
      </c>
      <c r="H5407" s="154" t="s">
        <v>1620</v>
      </c>
      <c r="I5407" s="156">
        <v>0.0</v>
      </c>
      <c r="J5407" s="156">
        <v>0.0</v>
      </c>
      <c r="K5407" s="156">
        <v>0.0</v>
      </c>
    </row>
    <row r="5408">
      <c r="A5408" s="154" t="s">
        <v>11496</v>
      </c>
      <c r="B5408" s="155"/>
      <c r="C5408" s="154" t="s">
        <v>11497</v>
      </c>
      <c r="D5408" s="155"/>
      <c r="E5408" s="155"/>
      <c r="F5408" s="154" t="s">
        <v>1619</v>
      </c>
      <c r="G5408" s="154">
        <v>4.3903333E7</v>
      </c>
      <c r="H5408" s="154" t="s">
        <v>1620</v>
      </c>
      <c r="I5408" s="156">
        <v>0.0</v>
      </c>
      <c r="J5408" s="156">
        <v>0.0</v>
      </c>
      <c r="K5408" s="156">
        <v>0.0</v>
      </c>
    </row>
    <row r="5409">
      <c r="A5409" s="154" t="s">
        <v>11498</v>
      </c>
      <c r="B5409" s="155"/>
      <c r="C5409" s="154" t="s">
        <v>11499</v>
      </c>
      <c r="D5409" s="155"/>
      <c r="E5409" s="155"/>
      <c r="F5409" s="154" t="s">
        <v>1619</v>
      </c>
      <c r="G5409" s="154">
        <v>4.3903333E7</v>
      </c>
      <c r="H5409" s="154" t="s">
        <v>1620</v>
      </c>
      <c r="I5409" s="156">
        <v>0.0</v>
      </c>
      <c r="J5409" s="156">
        <v>0.0</v>
      </c>
      <c r="K5409" s="156">
        <v>0.0</v>
      </c>
    </row>
    <row r="5410">
      <c r="A5410" s="154" t="s">
        <v>11500</v>
      </c>
      <c r="B5410" s="155"/>
      <c r="C5410" s="154" t="s">
        <v>11501</v>
      </c>
      <c r="D5410" s="155"/>
      <c r="E5410" s="155"/>
      <c r="F5410" s="154" t="s">
        <v>1619</v>
      </c>
      <c r="G5410" s="154">
        <v>4.3903333E7</v>
      </c>
      <c r="H5410" s="154" t="s">
        <v>1620</v>
      </c>
      <c r="I5410" s="156">
        <v>0.0</v>
      </c>
      <c r="J5410" s="156">
        <v>0.0</v>
      </c>
      <c r="K5410" s="156">
        <v>0.0</v>
      </c>
    </row>
    <row r="5411">
      <c r="A5411" s="154" t="s">
        <v>11502</v>
      </c>
      <c r="B5411" s="155"/>
      <c r="C5411" s="154" t="s">
        <v>11503</v>
      </c>
      <c r="D5411" s="155"/>
      <c r="E5411" s="155"/>
      <c r="F5411" s="154" t="s">
        <v>1619</v>
      </c>
      <c r="G5411" s="154">
        <v>4.3903333E7</v>
      </c>
      <c r="H5411" s="154" t="s">
        <v>1620</v>
      </c>
      <c r="I5411" s="156">
        <v>0.0</v>
      </c>
      <c r="J5411" s="156">
        <v>0.0</v>
      </c>
      <c r="K5411" s="156">
        <v>0.0</v>
      </c>
    </row>
    <row r="5412">
      <c r="A5412" s="154" t="s">
        <v>11504</v>
      </c>
      <c r="B5412" s="155"/>
      <c r="C5412" s="154" t="s">
        <v>11505</v>
      </c>
      <c r="D5412" s="155"/>
      <c r="E5412" s="155"/>
      <c r="F5412" s="154" t="s">
        <v>1619</v>
      </c>
      <c r="G5412" s="154">
        <v>4.3903333E7</v>
      </c>
      <c r="H5412" s="154" t="s">
        <v>1620</v>
      </c>
      <c r="I5412" s="156">
        <v>0.0</v>
      </c>
      <c r="J5412" s="156">
        <v>0.0</v>
      </c>
      <c r="K5412" s="156">
        <v>0.0</v>
      </c>
    </row>
    <row r="5413">
      <c r="A5413" s="154" t="s">
        <v>11506</v>
      </c>
      <c r="B5413" s="155"/>
      <c r="C5413" s="154" t="s">
        <v>11507</v>
      </c>
      <c r="D5413" s="155"/>
      <c r="E5413" s="155"/>
      <c r="F5413" s="154" t="s">
        <v>1619</v>
      </c>
      <c r="G5413" s="154">
        <v>4.3903333E7</v>
      </c>
      <c r="H5413" s="154" t="s">
        <v>1620</v>
      </c>
      <c r="I5413" s="156">
        <v>0.0</v>
      </c>
      <c r="J5413" s="156">
        <v>0.0</v>
      </c>
      <c r="K5413" s="156">
        <v>0.0</v>
      </c>
    </row>
    <row r="5414">
      <c r="A5414" s="154" t="s">
        <v>11508</v>
      </c>
      <c r="B5414" s="155"/>
      <c r="C5414" s="154" t="s">
        <v>11509</v>
      </c>
      <c r="D5414" s="155"/>
      <c r="E5414" s="155"/>
      <c r="F5414" s="154" t="s">
        <v>1619</v>
      </c>
      <c r="G5414" s="154">
        <v>4.3903333E7</v>
      </c>
      <c r="H5414" s="154" t="s">
        <v>1620</v>
      </c>
      <c r="I5414" s="156">
        <v>0.0</v>
      </c>
      <c r="J5414" s="156">
        <v>0.0</v>
      </c>
      <c r="K5414" s="156">
        <v>0.0</v>
      </c>
    </row>
    <row r="5415">
      <c r="A5415" s="154" t="s">
        <v>11510</v>
      </c>
      <c r="B5415" s="155"/>
      <c r="C5415" s="154" t="s">
        <v>11511</v>
      </c>
      <c r="D5415" s="155"/>
      <c r="E5415" s="155"/>
      <c r="F5415" s="154" t="s">
        <v>1619</v>
      </c>
      <c r="G5415" s="154">
        <v>4.3903333E7</v>
      </c>
      <c r="H5415" s="154" t="s">
        <v>1620</v>
      </c>
      <c r="I5415" s="156">
        <v>0.0</v>
      </c>
      <c r="J5415" s="156">
        <v>0.0</v>
      </c>
      <c r="K5415" s="156">
        <v>0.0</v>
      </c>
    </row>
    <row r="5416">
      <c r="A5416" s="154" t="s">
        <v>11512</v>
      </c>
      <c r="B5416" s="155"/>
      <c r="C5416" s="154" t="s">
        <v>11513</v>
      </c>
      <c r="D5416" s="155"/>
      <c r="E5416" s="155"/>
      <c r="F5416" s="154" t="s">
        <v>1619</v>
      </c>
      <c r="G5416" s="154">
        <v>4.3903333E7</v>
      </c>
      <c r="H5416" s="154" t="s">
        <v>1620</v>
      </c>
      <c r="I5416" s="156">
        <v>0.0</v>
      </c>
      <c r="J5416" s="156">
        <v>0.0</v>
      </c>
      <c r="K5416" s="156">
        <v>0.0</v>
      </c>
    </row>
    <row r="5417">
      <c r="A5417" s="154" t="s">
        <v>11514</v>
      </c>
      <c r="B5417" s="155"/>
      <c r="C5417" s="154" t="s">
        <v>11515</v>
      </c>
      <c r="D5417" s="155"/>
      <c r="E5417" s="155"/>
      <c r="F5417" s="154" t="s">
        <v>1619</v>
      </c>
      <c r="G5417" s="154">
        <v>4.3903333E7</v>
      </c>
      <c r="H5417" s="154" t="s">
        <v>1620</v>
      </c>
      <c r="I5417" s="156">
        <v>0.0</v>
      </c>
      <c r="J5417" s="156">
        <v>0.0</v>
      </c>
      <c r="K5417" s="156">
        <v>0.0</v>
      </c>
    </row>
    <row r="5418">
      <c r="A5418" s="154" t="s">
        <v>11516</v>
      </c>
      <c r="B5418" s="155"/>
      <c r="C5418" s="154" t="s">
        <v>11517</v>
      </c>
      <c r="D5418" s="155"/>
      <c r="E5418" s="155"/>
      <c r="F5418" s="154" t="s">
        <v>1619</v>
      </c>
      <c r="G5418" s="154">
        <v>4.3903333E7</v>
      </c>
      <c r="H5418" s="154" t="s">
        <v>1620</v>
      </c>
      <c r="I5418" s="156">
        <v>0.0</v>
      </c>
      <c r="J5418" s="156">
        <v>0.0</v>
      </c>
      <c r="K5418" s="156">
        <v>0.0</v>
      </c>
    </row>
    <row r="5419">
      <c r="A5419" s="154" t="s">
        <v>11518</v>
      </c>
      <c r="B5419" s="155"/>
      <c r="C5419" s="154" t="s">
        <v>11519</v>
      </c>
      <c r="D5419" s="155"/>
      <c r="E5419" s="155"/>
      <c r="F5419" s="154" t="s">
        <v>1619</v>
      </c>
      <c r="G5419" s="154">
        <v>4.3903333E7</v>
      </c>
      <c r="H5419" s="154" t="s">
        <v>1620</v>
      </c>
      <c r="I5419" s="156">
        <v>0.0</v>
      </c>
      <c r="J5419" s="156">
        <v>0.0</v>
      </c>
      <c r="K5419" s="156">
        <v>0.0</v>
      </c>
    </row>
    <row r="5420">
      <c r="A5420" s="154" t="s">
        <v>11520</v>
      </c>
      <c r="B5420" s="155"/>
      <c r="C5420" s="154" t="s">
        <v>11521</v>
      </c>
      <c r="D5420" s="155"/>
      <c r="E5420" s="155"/>
      <c r="F5420" s="154" t="s">
        <v>1619</v>
      </c>
      <c r="G5420" s="154">
        <v>4.3903333E7</v>
      </c>
      <c r="H5420" s="154" t="s">
        <v>1620</v>
      </c>
      <c r="I5420" s="156">
        <v>0.0</v>
      </c>
      <c r="J5420" s="156">
        <v>0.0</v>
      </c>
      <c r="K5420" s="156">
        <v>0.0</v>
      </c>
    </row>
    <row r="5421">
      <c r="A5421" s="154" t="s">
        <v>11522</v>
      </c>
      <c r="B5421" s="155"/>
      <c r="C5421" s="154" t="s">
        <v>11523</v>
      </c>
      <c r="D5421" s="155"/>
      <c r="E5421" s="155"/>
      <c r="F5421" s="154" t="s">
        <v>1619</v>
      </c>
      <c r="G5421" s="154">
        <v>4.3903333E7</v>
      </c>
      <c r="H5421" s="154" t="s">
        <v>1620</v>
      </c>
      <c r="I5421" s="156">
        <v>0.0</v>
      </c>
      <c r="J5421" s="156">
        <v>0.0</v>
      </c>
      <c r="K5421" s="156">
        <v>0.0</v>
      </c>
    </row>
    <row r="5422">
      <c r="A5422" s="154" t="s">
        <v>11524</v>
      </c>
      <c r="B5422" s="155"/>
      <c r="C5422" s="154" t="s">
        <v>11525</v>
      </c>
      <c r="D5422" s="155"/>
      <c r="E5422" s="155"/>
      <c r="F5422" s="154" t="s">
        <v>1619</v>
      </c>
      <c r="G5422" s="154">
        <v>4.3903333E7</v>
      </c>
      <c r="H5422" s="154" t="s">
        <v>1620</v>
      </c>
      <c r="I5422" s="156">
        <v>0.0</v>
      </c>
      <c r="J5422" s="156">
        <v>0.0</v>
      </c>
      <c r="K5422" s="156">
        <v>0.0</v>
      </c>
    </row>
    <row r="5423">
      <c r="A5423" s="154" t="s">
        <v>11526</v>
      </c>
      <c r="B5423" s="155"/>
      <c r="C5423" s="154" t="s">
        <v>11527</v>
      </c>
      <c r="D5423" s="155"/>
      <c r="E5423" s="155"/>
      <c r="F5423" s="154" t="s">
        <v>1619</v>
      </c>
      <c r="G5423" s="154">
        <v>4.3903333E7</v>
      </c>
      <c r="H5423" s="154" t="s">
        <v>1620</v>
      </c>
      <c r="I5423" s="156">
        <v>0.0</v>
      </c>
      <c r="J5423" s="156">
        <v>0.0</v>
      </c>
      <c r="K5423" s="156">
        <v>0.0</v>
      </c>
    </row>
    <row r="5424">
      <c r="A5424" s="154" t="s">
        <v>11528</v>
      </c>
      <c r="B5424" s="155"/>
      <c r="C5424" s="154" t="s">
        <v>11529</v>
      </c>
      <c r="D5424" s="155"/>
      <c r="E5424" s="155"/>
      <c r="F5424" s="154" t="s">
        <v>1619</v>
      </c>
      <c r="G5424" s="154">
        <v>4.3903333E7</v>
      </c>
      <c r="H5424" s="154" t="s">
        <v>1620</v>
      </c>
      <c r="I5424" s="156">
        <v>0.0</v>
      </c>
      <c r="J5424" s="156">
        <v>0.0</v>
      </c>
      <c r="K5424" s="156">
        <v>0.0</v>
      </c>
    </row>
    <row r="5425">
      <c r="A5425" s="154" t="s">
        <v>11530</v>
      </c>
      <c r="B5425" s="155"/>
      <c r="C5425" s="154" t="s">
        <v>11531</v>
      </c>
      <c r="D5425" s="155"/>
      <c r="E5425" s="155"/>
      <c r="F5425" s="154" t="s">
        <v>1619</v>
      </c>
      <c r="G5425" s="154">
        <v>4.3903333E7</v>
      </c>
      <c r="H5425" s="154" t="s">
        <v>1620</v>
      </c>
      <c r="I5425" s="156">
        <v>0.0</v>
      </c>
      <c r="J5425" s="156">
        <v>0.0</v>
      </c>
      <c r="K5425" s="156">
        <v>0.0</v>
      </c>
    </row>
    <row r="5426">
      <c r="A5426" s="154" t="s">
        <v>11532</v>
      </c>
      <c r="B5426" s="155"/>
      <c r="C5426" s="154" t="s">
        <v>11533</v>
      </c>
      <c r="D5426" s="155"/>
      <c r="E5426" s="155"/>
      <c r="F5426" s="154" t="s">
        <v>1619</v>
      </c>
      <c r="G5426" s="154">
        <v>4.3903333E7</v>
      </c>
      <c r="H5426" s="154" t="s">
        <v>1620</v>
      </c>
      <c r="I5426" s="156">
        <v>0.0</v>
      </c>
      <c r="J5426" s="156">
        <v>0.0</v>
      </c>
      <c r="K5426" s="156">
        <v>0.0</v>
      </c>
    </row>
    <row r="5427">
      <c r="A5427" s="154" t="s">
        <v>11534</v>
      </c>
      <c r="B5427" s="155"/>
      <c r="C5427" s="154" t="s">
        <v>11535</v>
      </c>
      <c r="D5427" s="155"/>
      <c r="E5427" s="155"/>
      <c r="F5427" s="154" t="s">
        <v>1619</v>
      </c>
      <c r="G5427" s="154">
        <v>4.3903333E7</v>
      </c>
      <c r="H5427" s="154" t="s">
        <v>1620</v>
      </c>
      <c r="I5427" s="156">
        <v>0.0</v>
      </c>
      <c r="J5427" s="156">
        <v>0.0</v>
      </c>
      <c r="K5427" s="156">
        <v>0.0</v>
      </c>
    </row>
    <row r="5428">
      <c r="A5428" s="154" t="s">
        <v>11536</v>
      </c>
      <c r="B5428" s="155"/>
      <c r="C5428" s="154" t="s">
        <v>11537</v>
      </c>
      <c r="D5428" s="155"/>
      <c r="E5428" s="155"/>
      <c r="F5428" s="154" t="s">
        <v>1619</v>
      </c>
      <c r="G5428" s="154">
        <v>4.3903333E7</v>
      </c>
      <c r="H5428" s="154" t="s">
        <v>1620</v>
      </c>
      <c r="I5428" s="156">
        <v>0.0</v>
      </c>
      <c r="J5428" s="156">
        <v>0.0</v>
      </c>
      <c r="K5428" s="156">
        <v>0.0</v>
      </c>
    </row>
    <row r="5429">
      <c r="A5429" s="154" t="s">
        <v>11538</v>
      </c>
      <c r="B5429" s="155"/>
      <c r="C5429" s="154" t="s">
        <v>11539</v>
      </c>
      <c r="D5429" s="155"/>
      <c r="E5429" s="155"/>
      <c r="F5429" s="154" t="s">
        <v>1619</v>
      </c>
      <c r="G5429" s="154">
        <v>4.3903333E7</v>
      </c>
      <c r="H5429" s="154" t="s">
        <v>1620</v>
      </c>
      <c r="I5429" s="156">
        <v>0.0</v>
      </c>
      <c r="J5429" s="156">
        <v>0.0</v>
      </c>
      <c r="K5429" s="156">
        <v>0.0</v>
      </c>
    </row>
    <row r="5430">
      <c r="A5430" s="154" t="s">
        <v>11540</v>
      </c>
      <c r="B5430" s="155"/>
      <c r="C5430" s="154" t="s">
        <v>11541</v>
      </c>
      <c r="D5430" s="155"/>
      <c r="E5430" s="155"/>
      <c r="F5430" s="154" t="s">
        <v>1619</v>
      </c>
      <c r="G5430" s="154">
        <v>4.3903333E7</v>
      </c>
      <c r="H5430" s="154" t="s">
        <v>1620</v>
      </c>
      <c r="I5430" s="156">
        <v>0.0</v>
      </c>
      <c r="J5430" s="156">
        <v>0.0</v>
      </c>
      <c r="K5430" s="156">
        <v>0.0</v>
      </c>
    </row>
    <row r="5431">
      <c r="A5431" s="154" t="s">
        <v>11542</v>
      </c>
      <c r="B5431" s="155"/>
      <c r="C5431" s="154" t="s">
        <v>11326</v>
      </c>
      <c r="D5431" s="155"/>
      <c r="E5431" s="155"/>
      <c r="F5431" s="154" t="s">
        <v>1619</v>
      </c>
      <c r="G5431" s="154">
        <v>4.3903333E7</v>
      </c>
      <c r="H5431" s="154" t="s">
        <v>1620</v>
      </c>
      <c r="I5431" s="156">
        <v>0.0</v>
      </c>
      <c r="J5431" s="156">
        <v>0.0</v>
      </c>
      <c r="K5431" s="156">
        <v>0.0</v>
      </c>
    </row>
    <row r="5432">
      <c r="A5432" s="154" t="s">
        <v>11543</v>
      </c>
      <c r="B5432" s="155"/>
      <c r="C5432" s="154" t="s">
        <v>11296</v>
      </c>
      <c r="D5432" s="155"/>
      <c r="E5432" s="155"/>
      <c r="F5432" s="154" t="s">
        <v>1619</v>
      </c>
      <c r="G5432" s="154">
        <v>4.3903333E7</v>
      </c>
      <c r="H5432" s="154" t="s">
        <v>1620</v>
      </c>
      <c r="I5432" s="156">
        <v>0.0</v>
      </c>
      <c r="J5432" s="156">
        <v>0.0</v>
      </c>
      <c r="K5432" s="156">
        <v>0.0</v>
      </c>
    </row>
    <row r="5433">
      <c r="A5433" s="154" t="s">
        <v>11544</v>
      </c>
      <c r="B5433" s="155"/>
      <c r="C5433" s="154" t="s">
        <v>11545</v>
      </c>
      <c r="D5433" s="155"/>
      <c r="E5433" s="155"/>
      <c r="F5433" s="154" t="s">
        <v>1619</v>
      </c>
      <c r="G5433" s="154">
        <v>4.3903333E7</v>
      </c>
      <c r="H5433" s="154" t="s">
        <v>1620</v>
      </c>
      <c r="I5433" s="156">
        <v>0.0</v>
      </c>
      <c r="J5433" s="156">
        <v>0.0</v>
      </c>
      <c r="K5433" s="156">
        <v>0.0</v>
      </c>
    </row>
    <row r="5434">
      <c r="A5434" s="154" t="s">
        <v>11546</v>
      </c>
      <c r="B5434" s="155"/>
      <c r="C5434" s="154" t="s">
        <v>11547</v>
      </c>
      <c r="D5434" s="155"/>
      <c r="E5434" s="155"/>
      <c r="F5434" s="154" t="s">
        <v>1619</v>
      </c>
      <c r="G5434" s="154">
        <v>4.3903333E7</v>
      </c>
      <c r="H5434" s="154" t="s">
        <v>1620</v>
      </c>
      <c r="I5434" s="156">
        <v>0.0</v>
      </c>
      <c r="J5434" s="156">
        <v>0.0</v>
      </c>
      <c r="K5434" s="156">
        <v>0.0</v>
      </c>
    </row>
    <row r="5435">
      <c r="A5435" s="154" t="s">
        <v>11548</v>
      </c>
      <c r="B5435" s="155"/>
      <c r="C5435" s="154" t="s">
        <v>11549</v>
      </c>
      <c r="D5435" s="155"/>
      <c r="E5435" s="155"/>
      <c r="F5435" s="154" t="s">
        <v>1619</v>
      </c>
      <c r="G5435" s="154">
        <v>4.3903333E7</v>
      </c>
      <c r="H5435" s="154" t="s">
        <v>1620</v>
      </c>
      <c r="I5435" s="156">
        <v>0.0</v>
      </c>
      <c r="J5435" s="156">
        <v>0.0</v>
      </c>
      <c r="K5435" s="156">
        <v>0.0</v>
      </c>
    </row>
    <row r="5436">
      <c r="A5436" s="154" t="s">
        <v>11550</v>
      </c>
      <c r="B5436" s="155"/>
      <c r="C5436" s="154" t="s">
        <v>11551</v>
      </c>
      <c r="D5436" s="155"/>
      <c r="E5436" s="155"/>
      <c r="F5436" s="154" t="s">
        <v>1619</v>
      </c>
      <c r="G5436" s="154">
        <v>4.3903333E7</v>
      </c>
      <c r="H5436" s="154" t="s">
        <v>1620</v>
      </c>
      <c r="I5436" s="156">
        <v>0.0</v>
      </c>
      <c r="J5436" s="156">
        <v>0.0</v>
      </c>
      <c r="K5436" s="156">
        <v>0.0</v>
      </c>
    </row>
    <row r="5437">
      <c r="A5437" s="154" t="s">
        <v>11552</v>
      </c>
      <c r="B5437" s="155"/>
      <c r="C5437" s="154" t="s">
        <v>11553</v>
      </c>
      <c r="D5437" s="155"/>
      <c r="E5437" s="155"/>
      <c r="F5437" s="154" t="s">
        <v>1619</v>
      </c>
      <c r="G5437" s="154">
        <v>4.3903333E7</v>
      </c>
      <c r="H5437" s="154" t="s">
        <v>1620</v>
      </c>
      <c r="I5437" s="156">
        <v>0.0</v>
      </c>
      <c r="J5437" s="156">
        <v>0.0</v>
      </c>
      <c r="K5437" s="156">
        <v>0.0</v>
      </c>
    </row>
    <row r="5438">
      <c r="A5438" s="154" t="s">
        <v>11554</v>
      </c>
      <c r="B5438" s="155"/>
      <c r="C5438" s="154" t="s">
        <v>11555</v>
      </c>
      <c r="D5438" s="155"/>
      <c r="E5438" s="155"/>
      <c r="F5438" s="154" t="s">
        <v>1619</v>
      </c>
      <c r="G5438" s="154">
        <v>4.3903333E7</v>
      </c>
      <c r="H5438" s="154" t="s">
        <v>1620</v>
      </c>
      <c r="I5438" s="156">
        <v>0.0</v>
      </c>
      <c r="J5438" s="156">
        <v>0.0</v>
      </c>
      <c r="K5438" s="156">
        <v>0.0</v>
      </c>
    </row>
    <row r="5439">
      <c r="A5439" s="154" t="s">
        <v>11556</v>
      </c>
      <c r="B5439" s="155"/>
      <c r="C5439" s="154" t="s">
        <v>11557</v>
      </c>
      <c r="D5439" s="155"/>
      <c r="E5439" s="155"/>
      <c r="F5439" s="154" t="s">
        <v>11558</v>
      </c>
      <c r="G5439" s="156">
        <v>0.0</v>
      </c>
      <c r="H5439" s="154" t="s">
        <v>2192</v>
      </c>
      <c r="I5439" s="154" t="s">
        <v>11559</v>
      </c>
      <c r="J5439" s="154" t="s">
        <v>11560</v>
      </c>
      <c r="K5439" s="154" t="s">
        <v>240</v>
      </c>
    </row>
    <row r="5440">
      <c r="A5440" s="154" t="s">
        <v>11561</v>
      </c>
      <c r="B5440" s="155"/>
      <c r="C5440" s="154" t="s">
        <v>11562</v>
      </c>
      <c r="D5440" s="155"/>
      <c r="E5440" s="155"/>
      <c r="F5440" s="154" t="s">
        <v>11563</v>
      </c>
      <c r="G5440" s="156">
        <v>0.0</v>
      </c>
      <c r="H5440" s="156">
        <v>0.0</v>
      </c>
      <c r="I5440" s="154" t="s">
        <v>11564</v>
      </c>
      <c r="J5440" s="154" t="s">
        <v>11565</v>
      </c>
      <c r="K5440" s="154" t="s">
        <v>1426</v>
      </c>
    </row>
    <row r="5441">
      <c r="A5441" s="154" t="s">
        <v>11566</v>
      </c>
      <c r="B5441" s="155"/>
      <c r="C5441" s="154" t="s">
        <v>11567</v>
      </c>
      <c r="D5441" s="155"/>
      <c r="E5441" s="155"/>
      <c r="F5441" s="154" t="s">
        <v>1619</v>
      </c>
      <c r="G5441" s="154">
        <v>4.3903333E7</v>
      </c>
      <c r="H5441" s="154" t="s">
        <v>1620</v>
      </c>
      <c r="I5441" s="156">
        <v>0.0</v>
      </c>
      <c r="J5441" s="156">
        <v>0.0</v>
      </c>
      <c r="K5441" s="156">
        <v>0.0</v>
      </c>
    </row>
    <row r="5442">
      <c r="A5442" s="154" t="s">
        <v>11568</v>
      </c>
      <c r="B5442" s="154" t="s">
        <v>11569</v>
      </c>
      <c r="C5442" s="155"/>
      <c r="D5442" s="154">
        <v>2.0</v>
      </c>
      <c r="E5442" s="154" t="s">
        <v>1237</v>
      </c>
      <c r="F5442" s="154" t="s">
        <v>11570</v>
      </c>
      <c r="G5442" s="154">
        <v>971.0</v>
      </c>
      <c r="H5442" s="154" t="s">
        <v>11571</v>
      </c>
      <c r="I5442" s="154" t="s">
        <v>11572</v>
      </c>
      <c r="J5442" s="156">
        <v>0.0</v>
      </c>
      <c r="K5442" s="154" t="s">
        <v>361</v>
      </c>
    </row>
    <row r="5443">
      <c r="A5443" s="154" t="s">
        <v>11568</v>
      </c>
      <c r="B5443" s="155"/>
      <c r="C5443" s="154" t="s">
        <v>11569</v>
      </c>
      <c r="D5443" s="155"/>
      <c r="E5443" s="155"/>
      <c r="F5443" s="154" t="s">
        <v>11570</v>
      </c>
      <c r="G5443" s="154">
        <v>971.0</v>
      </c>
      <c r="H5443" s="154" t="s">
        <v>11571</v>
      </c>
      <c r="I5443" s="154" t="s">
        <v>11572</v>
      </c>
      <c r="J5443" s="156">
        <v>0.0</v>
      </c>
      <c r="K5443" s="154" t="s">
        <v>361</v>
      </c>
    </row>
  </sheetData>
  <mergeCells count="1783">
    <mergeCell ref="B4041:C4041"/>
    <mergeCell ref="B4043:C4043"/>
    <mergeCell ref="B4044:C4044"/>
    <mergeCell ref="B4046:C4046"/>
    <mergeCell ref="B4048:C4048"/>
    <mergeCell ref="B4050:C4050"/>
    <mergeCell ref="B4053:C4053"/>
    <mergeCell ref="B4055:C4055"/>
    <mergeCell ref="B4056:C4056"/>
    <mergeCell ref="B4058:C4058"/>
    <mergeCell ref="B4061:C4061"/>
    <mergeCell ref="B4063:C4063"/>
    <mergeCell ref="B4065:C4065"/>
    <mergeCell ref="B4066:C4066"/>
    <mergeCell ref="B4069:C4069"/>
    <mergeCell ref="B4071:C4071"/>
    <mergeCell ref="B4072:C4072"/>
    <mergeCell ref="B4075:C4075"/>
    <mergeCell ref="B4076:C4076"/>
    <mergeCell ref="B4078:C4078"/>
    <mergeCell ref="B4080:C4080"/>
    <mergeCell ref="B4082:C4082"/>
    <mergeCell ref="B4084:C4084"/>
    <mergeCell ref="B4087:C4087"/>
    <mergeCell ref="B4088:C4088"/>
    <mergeCell ref="B4091:C4091"/>
    <mergeCell ref="B4092:C4092"/>
    <mergeCell ref="B4095:C4095"/>
    <mergeCell ref="B4096:C4096"/>
    <mergeCell ref="B4098:C4098"/>
    <mergeCell ref="B4100:C4100"/>
    <mergeCell ref="B4103:C4103"/>
    <mergeCell ref="B4104:C4104"/>
    <mergeCell ref="B4107:C4107"/>
    <mergeCell ref="B4109:C4109"/>
    <mergeCell ref="B4111:C4111"/>
    <mergeCell ref="B4113:C4113"/>
    <mergeCell ref="B4114:C4114"/>
    <mergeCell ref="B4116:C4116"/>
    <mergeCell ref="B4119:C4119"/>
    <mergeCell ref="B4120:C4120"/>
    <mergeCell ref="B4123:C4123"/>
    <mergeCell ref="B4125:C4125"/>
    <mergeCell ref="B4126:C4126"/>
    <mergeCell ref="B4129:C4129"/>
    <mergeCell ref="B4131:C4131"/>
    <mergeCell ref="B4132:C4132"/>
    <mergeCell ref="B4135:C4135"/>
    <mergeCell ref="B4136:C4136"/>
    <mergeCell ref="B4138:C4138"/>
    <mergeCell ref="B4140:C4140"/>
    <mergeCell ref="B4142:C4142"/>
    <mergeCell ref="B4144:C4144"/>
    <mergeCell ref="B4147:C4147"/>
    <mergeCell ref="B4149:C4149"/>
    <mergeCell ref="B4151:C4151"/>
    <mergeCell ref="B4152:C4152"/>
    <mergeCell ref="B4155:C4155"/>
    <mergeCell ref="B4156:C4156"/>
    <mergeCell ref="B4159:C4159"/>
    <mergeCell ref="B4160:C4160"/>
    <mergeCell ref="B4162:C4162"/>
    <mergeCell ref="B4164:C4164"/>
    <mergeCell ref="B4166:C4166"/>
    <mergeCell ref="B4169:C4169"/>
    <mergeCell ref="B4171:C4171"/>
    <mergeCell ref="B4173:C4173"/>
    <mergeCell ref="B4175:C4175"/>
    <mergeCell ref="B4176:C4176"/>
    <mergeCell ref="B4179:C4179"/>
    <mergeCell ref="B4180:C4180"/>
    <mergeCell ref="B4182:C4182"/>
    <mergeCell ref="B4184:C4184"/>
    <mergeCell ref="B4187:C4187"/>
    <mergeCell ref="B4189:C4189"/>
    <mergeCell ref="B4191:C4191"/>
    <mergeCell ref="B4192:C4192"/>
    <mergeCell ref="B4194:C4194"/>
    <mergeCell ref="B4196:C4196"/>
    <mergeCell ref="B4199:C4199"/>
    <mergeCell ref="B4200:C4200"/>
    <mergeCell ref="B4203:C4203"/>
    <mergeCell ref="B4204:C4204"/>
    <mergeCell ref="B4206:C4206"/>
    <mergeCell ref="B4209:C4209"/>
    <mergeCell ref="B4210:C4210"/>
    <mergeCell ref="B4212:C4212"/>
    <mergeCell ref="B4214:C4214"/>
    <mergeCell ref="B4216:C4216"/>
    <mergeCell ref="B4219:C4219"/>
    <mergeCell ref="B4221:C4221"/>
    <mergeCell ref="B4222:C4222"/>
    <mergeCell ref="B4224:C4224"/>
    <mergeCell ref="B4226:C4226"/>
    <mergeCell ref="B4228:C4228"/>
    <mergeCell ref="B4231:C4231"/>
    <mergeCell ref="B4232:C4232"/>
    <mergeCell ref="B4234:C4234"/>
    <mergeCell ref="B4758:C4758"/>
    <mergeCell ref="B4760:C4760"/>
    <mergeCell ref="B4762:C4762"/>
    <mergeCell ref="B4765:C4765"/>
    <mergeCell ref="B4766:C4766"/>
    <mergeCell ref="B4769:C4769"/>
    <mergeCell ref="B4770:C4770"/>
    <mergeCell ref="B4772:C4772"/>
    <mergeCell ref="B4775:C4775"/>
    <mergeCell ref="B4776:C4776"/>
    <mergeCell ref="B4781:C4781"/>
    <mergeCell ref="B4972:C4972"/>
    <mergeCell ref="B4975:C4975"/>
    <mergeCell ref="B4976:C4976"/>
    <mergeCell ref="B4563:C4563"/>
    <mergeCell ref="B4565:C4565"/>
    <mergeCell ref="B4566:C4566"/>
    <mergeCell ref="B4569:C4569"/>
    <mergeCell ref="B4570:C4570"/>
    <mergeCell ref="B4573:C4573"/>
    <mergeCell ref="B4575:C4575"/>
    <mergeCell ref="B4576:C4576"/>
    <mergeCell ref="B4579:C4579"/>
    <mergeCell ref="B4692:C4692"/>
    <mergeCell ref="B4694:C4694"/>
    <mergeCell ref="B4696:C4696"/>
    <mergeCell ref="B4698:C4698"/>
    <mergeCell ref="B4700:C4700"/>
    <mergeCell ref="B4702:C4702"/>
    <mergeCell ref="B4704:C4704"/>
    <mergeCell ref="B4706:C4706"/>
    <mergeCell ref="B4708:C4708"/>
    <mergeCell ref="B4711:C4711"/>
    <mergeCell ref="B4712:C4712"/>
    <mergeCell ref="B4714:C4714"/>
    <mergeCell ref="B4717:C4717"/>
    <mergeCell ref="B4719:C4719"/>
    <mergeCell ref="B4721:C4721"/>
    <mergeCell ref="B4722:C4722"/>
    <mergeCell ref="B4724:C4724"/>
    <mergeCell ref="B4726:C4726"/>
    <mergeCell ref="B4728:C4728"/>
    <mergeCell ref="B4731:C4731"/>
    <mergeCell ref="B4732:C4732"/>
    <mergeCell ref="B4734:C4734"/>
    <mergeCell ref="B4737:C4737"/>
    <mergeCell ref="B4739:C4739"/>
    <mergeCell ref="B4740:C4740"/>
    <mergeCell ref="B4743:C4743"/>
    <mergeCell ref="B4745:C4745"/>
    <mergeCell ref="B4746:C4746"/>
    <mergeCell ref="B4749:C4749"/>
    <mergeCell ref="B4750:C4750"/>
    <mergeCell ref="B4752:C4752"/>
    <mergeCell ref="B4754:C4754"/>
    <mergeCell ref="B4756:C4756"/>
    <mergeCell ref="B4979:C4979"/>
    <mergeCell ref="B4981:C4981"/>
    <mergeCell ref="B4982:C4982"/>
    <mergeCell ref="B4985:C4985"/>
    <mergeCell ref="B4986:C4986"/>
    <mergeCell ref="B4988:C4988"/>
    <mergeCell ref="B4990:C4990"/>
    <mergeCell ref="B4992:C4992"/>
    <mergeCell ref="B4994:C4994"/>
    <mergeCell ref="B4997:C4997"/>
    <mergeCell ref="B4999:C4999"/>
    <mergeCell ref="B5000:C5000"/>
    <mergeCell ref="B5003:C5003"/>
    <mergeCell ref="B5005:C5005"/>
    <mergeCell ref="B5007:C5007"/>
    <mergeCell ref="B5008:C5008"/>
    <mergeCell ref="B5010:C5010"/>
    <mergeCell ref="B5013:C5013"/>
    <mergeCell ref="B5014:C5014"/>
    <mergeCell ref="B5016:C5016"/>
    <mergeCell ref="B5018:C5018"/>
    <mergeCell ref="B5020:C5020"/>
    <mergeCell ref="B5022:C5022"/>
    <mergeCell ref="B5024:C5024"/>
    <mergeCell ref="B5027:C5027"/>
    <mergeCell ref="B5028:C5028"/>
    <mergeCell ref="B5030:C5030"/>
    <mergeCell ref="B5033:C5033"/>
    <mergeCell ref="B5035:C5035"/>
    <mergeCell ref="B5036:C5036"/>
    <mergeCell ref="B5039:C5039"/>
    <mergeCell ref="B5041:C5041"/>
    <mergeCell ref="B5042:C5042"/>
    <mergeCell ref="B5045:C5045"/>
    <mergeCell ref="B5046:C5046"/>
    <mergeCell ref="B5048:C5048"/>
    <mergeCell ref="B5050:C5050"/>
    <mergeCell ref="B5052:C5052"/>
    <mergeCell ref="B5055:C5055"/>
    <mergeCell ref="B5057:C5057"/>
    <mergeCell ref="B5059:C5059"/>
    <mergeCell ref="B5060:C5060"/>
    <mergeCell ref="B5063:C5063"/>
    <mergeCell ref="B5064:C5064"/>
    <mergeCell ref="B5067:C5067"/>
    <mergeCell ref="B5069:C5069"/>
    <mergeCell ref="B5071:C5071"/>
    <mergeCell ref="B5072:C5072"/>
    <mergeCell ref="B5075:C5075"/>
    <mergeCell ref="B5077:C5077"/>
    <mergeCell ref="B5078:C5078"/>
    <mergeCell ref="B5080:C5080"/>
    <mergeCell ref="B5082:C5082"/>
    <mergeCell ref="B5084:C5084"/>
    <mergeCell ref="B5087:C5087"/>
    <mergeCell ref="B5088:C5088"/>
    <mergeCell ref="B5176:C5176"/>
    <mergeCell ref="B5179:C5179"/>
    <mergeCell ref="B5180:C5180"/>
    <mergeCell ref="B5182:C5182"/>
    <mergeCell ref="B5184:C5184"/>
    <mergeCell ref="B5186:C5186"/>
    <mergeCell ref="B5189:C5189"/>
    <mergeCell ref="B5190:C5190"/>
    <mergeCell ref="B5192:C5192"/>
    <mergeCell ref="B5195:C5195"/>
    <mergeCell ref="B5223:C5223"/>
    <mergeCell ref="B5227:C5227"/>
    <mergeCell ref="B5229:C5229"/>
    <mergeCell ref="B5237:C5237"/>
    <mergeCell ref="B5265:C5265"/>
    <mergeCell ref="B5266:C5266"/>
    <mergeCell ref="B5267:C5267"/>
    <mergeCell ref="B5268:C5268"/>
    <mergeCell ref="B5269:C5269"/>
    <mergeCell ref="B5270:C5270"/>
    <mergeCell ref="B5271:C5271"/>
    <mergeCell ref="B5272:C5272"/>
    <mergeCell ref="B5273:C5273"/>
    <mergeCell ref="B5274:C5274"/>
    <mergeCell ref="B5275:C5275"/>
    <mergeCell ref="B5276:C5276"/>
    <mergeCell ref="B5277:C5277"/>
    <mergeCell ref="B5278:C5278"/>
    <mergeCell ref="B5286:C5286"/>
    <mergeCell ref="B5287:C5287"/>
    <mergeCell ref="B5288:C5288"/>
    <mergeCell ref="B5289:C5289"/>
    <mergeCell ref="B5290:C5290"/>
    <mergeCell ref="B5279:C5279"/>
    <mergeCell ref="B5280:C5280"/>
    <mergeCell ref="B5281:C5281"/>
    <mergeCell ref="B5282:C5282"/>
    <mergeCell ref="B5283:C5283"/>
    <mergeCell ref="B5284:C5284"/>
    <mergeCell ref="B5285:C5285"/>
    <mergeCell ref="B5091:C5091"/>
    <mergeCell ref="B5093:C5093"/>
    <mergeCell ref="B5094:C5094"/>
    <mergeCell ref="B5097:C5097"/>
    <mergeCell ref="B5098:C5098"/>
    <mergeCell ref="B5100:C5100"/>
    <mergeCell ref="B5102:C5102"/>
    <mergeCell ref="B5104:C5104"/>
    <mergeCell ref="B5106:C5106"/>
    <mergeCell ref="B5109:C5109"/>
    <mergeCell ref="B5111:C5111"/>
    <mergeCell ref="B5113:C5113"/>
    <mergeCell ref="B5115:C5115"/>
    <mergeCell ref="B5116:C5116"/>
    <mergeCell ref="B5118:C5118"/>
    <mergeCell ref="B5121:C5121"/>
    <mergeCell ref="B5122:C5122"/>
    <mergeCell ref="B5125:C5125"/>
    <mergeCell ref="B5127:C5127"/>
    <mergeCell ref="B5131:C5131"/>
    <mergeCell ref="B5133:C5133"/>
    <mergeCell ref="B5134:C5134"/>
    <mergeCell ref="B5137:C5137"/>
    <mergeCell ref="B5138:C5138"/>
    <mergeCell ref="B5140:C5140"/>
    <mergeCell ref="B5142:C5142"/>
    <mergeCell ref="B5144:C5144"/>
    <mergeCell ref="B5146:C5146"/>
    <mergeCell ref="B5148:C5148"/>
    <mergeCell ref="B5150:C5150"/>
    <mergeCell ref="B5153:C5153"/>
    <mergeCell ref="B5155:C5155"/>
    <mergeCell ref="B5156:C5156"/>
    <mergeCell ref="B5158:C5158"/>
    <mergeCell ref="B5161:C5161"/>
    <mergeCell ref="B5162:C5162"/>
    <mergeCell ref="B5164:C5164"/>
    <mergeCell ref="B5166:C5166"/>
    <mergeCell ref="B5169:C5169"/>
    <mergeCell ref="B5170:C5170"/>
    <mergeCell ref="B5172:C5172"/>
    <mergeCell ref="B5175:C5175"/>
    <mergeCell ref="B5239:C5239"/>
    <mergeCell ref="B5241:C5241"/>
    <mergeCell ref="B5243:C5243"/>
    <mergeCell ref="B5261:C5261"/>
    <mergeCell ref="B5262:C5262"/>
    <mergeCell ref="B5263:C5263"/>
    <mergeCell ref="B5264:C5264"/>
    <mergeCell ref="B3063:C3063"/>
    <mergeCell ref="B3065:C3065"/>
    <mergeCell ref="B3067:C3067"/>
    <mergeCell ref="B3069:C3069"/>
    <mergeCell ref="B3071:C3071"/>
    <mergeCell ref="B3072:C3072"/>
    <mergeCell ref="B3075:C3075"/>
    <mergeCell ref="B3076:C3076"/>
    <mergeCell ref="B3078:C3078"/>
    <mergeCell ref="B3080:C3080"/>
    <mergeCell ref="B3082:C3082"/>
    <mergeCell ref="B3084:C3084"/>
    <mergeCell ref="B3233:C3233"/>
    <mergeCell ref="B3235:C3235"/>
    <mergeCell ref="B3236:C3236"/>
    <mergeCell ref="B3238:C3238"/>
    <mergeCell ref="B3240:C3240"/>
    <mergeCell ref="B3242:C3242"/>
    <mergeCell ref="B3244:C3244"/>
    <mergeCell ref="B3247:C3247"/>
    <mergeCell ref="B3249:C3249"/>
    <mergeCell ref="B3251:C3251"/>
    <mergeCell ref="B3252:C3252"/>
    <mergeCell ref="B3255:C3255"/>
    <mergeCell ref="B3256:C3256"/>
    <mergeCell ref="B3258:C3258"/>
    <mergeCell ref="B3261:C3261"/>
    <mergeCell ref="B3262:C3262"/>
    <mergeCell ref="B3264:C3264"/>
    <mergeCell ref="B3266:C3266"/>
    <mergeCell ref="B3268:C3268"/>
    <mergeCell ref="B3270:C3270"/>
    <mergeCell ref="B3272:C3272"/>
    <mergeCell ref="B3275:C3275"/>
    <mergeCell ref="B3276:C3276"/>
    <mergeCell ref="B3278:C3278"/>
    <mergeCell ref="B3280:C3280"/>
    <mergeCell ref="B3283:C3283"/>
    <mergeCell ref="B3285:C3285"/>
    <mergeCell ref="B3286:C3286"/>
    <mergeCell ref="B3288:C3288"/>
    <mergeCell ref="B3290:C3290"/>
    <mergeCell ref="B3293:C3293"/>
    <mergeCell ref="B3294:C3294"/>
    <mergeCell ref="B3296:C3296"/>
    <mergeCell ref="B3299:C3299"/>
    <mergeCell ref="B3300:C3300"/>
    <mergeCell ref="B3302:C3302"/>
    <mergeCell ref="B3305:C3305"/>
    <mergeCell ref="B3307:C3307"/>
    <mergeCell ref="B3308:C3308"/>
    <mergeCell ref="B3311:C3311"/>
    <mergeCell ref="B3313:C3313"/>
    <mergeCell ref="B3314:C3314"/>
    <mergeCell ref="B3317:C3317"/>
    <mergeCell ref="B3318:C3318"/>
    <mergeCell ref="B3320:C3320"/>
    <mergeCell ref="B3322:C3322"/>
    <mergeCell ref="B3324:C3324"/>
    <mergeCell ref="B3326:C3326"/>
    <mergeCell ref="B3329:C3329"/>
    <mergeCell ref="B3331:C3331"/>
    <mergeCell ref="B3332:C3332"/>
    <mergeCell ref="B3335:C3335"/>
    <mergeCell ref="B3337:C3337"/>
    <mergeCell ref="B3338:C3338"/>
    <mergeCell ref="B3341:C3341"/>
    <mergeCell ref="B3343:C3343"/>
    <mergeCell ref="B3345:C3345"/>
    <mergeCell ref="B3346:C3346"/>
    <mergeCell ref="B3349:C3349"/>
    <mergeCell ref="B3351:C3351"/>
    <mergeCell ref="B3353:C3353"/>
    <mergeCell ref="B3354:C3354"/>
    <mergeCell ref="B3357:C3357"/>
    <mergeCell ref="B3358:C3358"/>
    <mergeCell ref="B3360:C3360"/>
    <mergeCell ref="B3363:C3363"/>
    <mergeCell ref="B3365:C3365"/>
    <mergeCell ref="B3366:C3366"/>
    <mergeCell ref="B3368:C3368"/>
    <mergeCell ref="B3371:C3371"/>
    <mergeCell ref="B3372:C3372"/>
    <mergeCell ref="B3374:C3374"/>
    <mergeCell ref="B3376:C3376"/>
    <mergeCell ref="B3379:C3379"/>
    <mergeCell ref="B3381:C3381"/>
    <mergeCell ref="B3383:C3383"/>
    <mergeCell ref="B3384:C3384"/>
    <mergeCell ref="B3387:C3387"/>
    <mergeCell ref="B3389:C3389"/>
    <mergeCell ref="B3391:C3391"/>
    <mergeCell ref="B3393:C3393"/>
    <mergeCell ref="B3395:C3395"/>
    <mergeCell ref="B3396:C3396"/>
    <mergeCell ref="B3398:C3398"/>
    <mergeCell ref="B3400:C3400"/>
    <mergeCell ref="B3402:C3402"/>
    <mergeCell ref="B3533:C3533"/>
    <mergeCell ref="B3535:C3535"/>
    <mergeCell ref="B3536:C3536"/>
    <mergeCell ref="B3538:C3538"/>
    <mergeCell ref="B3540:C3540"/>
    <mergeCell ref="B3542:C3542"/>
    <mergeCell ref="B3544:C3544"/>
    <mergeCell ref="B3546:C3546"/>
    <mergeCell ref="B3548:C3548"/>
    <mergeCell ref="B3550:C3550"/>
    <mergeCell ref="B3553:C3553"/>
    <mergeCell ref="B3554:C3554"/>
    <mergeCell ref="B3557:C3557"/>
    <mergeCell ref="B3558:C3558"/>
    <mergeCell ref="B3404:C3404"/>
    <mergeCell ref="B3407:C3407"/>
    <mergeCell ref="B3408:C3408"/>
    <mergeCell ref="B3410:C3410"/>
    <mergeCell ref="B3413:C3413"/>
    <mergeCell ref="B3415:C3415"/>
    <mergeCell ref="B3417:C3417"/>
    <mergeCell ref="B3418:C3418"/>
    <mergeCell ref="B3421:C3421"/>
    <mergeCell ref="B3422:C3422"/>
    <mergeCell ref="B3427:C3427"/>
    <mergeCell ref="B3428:C3428"/>
    <mergeCell ref="B3431:C3431"/>
    <mergeCell ref="B3433:C3433"/>
    <mergeCell ref="B3434:C3434"/>
    <mergeCell ref="B3437:C3437"/>
    <mergeCell ref="B3438:C3438"/>
    <mergeCell ref="B3440:C3440"/>
    <mergeCell ref="B3442:C3442"/>
    <mergeCell ref="B3444:C3444"/>
    <mergeCell ref="B3447:C3447"/>
    <mergeCell ref="B3448:C3448"/>
    <mergeCell ref="B3451:C3451"/>
    <mergeCell ref="B3453:C3453"/>
    <mergeCell ref="B3454:C3454"/>
    <mergeCell ref="B3457:C3457"/>
    <mergeCell ref="B3458:C3458"/>
    <mergeCell ref="B3460:C3460"/>
    <mergeCell ref="B3462:C3462"/>
    <mergeCell ref="B3464:C3464"/>
    <mergeCell ref="B3467:C3467"/>
    <mergeCell ref="B3469:C3469"/>
    <mergeCell ref="B3471:C3471"/>
    <mergeCell ref="B3472:C3472"/>
    <mergeCell ref="B3475:C3475"/>
    <mergeCell ref="B3476:C3476"/>
    <mergeCell ref="B3478:C3478"/>
    <mergeCell ref="B3522:C3522"/>
    <mergeCell ref="B3525:C3525"/>
    <mergeCell ref="B3527:C3527"/>
    <mergeCell ref="B3529:C3529"/>
    <mergeCell ref="B3531:C3531"/>
    <mergeCell ref="B3561:C3561"/>
    <mergeCell ref="B3562:C3562"/>
    <mergeCell ref="B3564:C3564"/>
    <mergeCell ref="B3567:C3567"/>
    <mergeCell ref="B3568:C3568"/>
    <mergeCell ref="B3571:C3571"/>
    <mergeCell ref="B3573:C3573"/>
    <mergeCell ref="B3574:C3574"/>
    <mergeCell ref="B3577:C3577"/>
    <mergeCell ref="B3578:C3578"/>
    <mergeCell ref="B3580:C3580"/>
    <mergeCell ref="B3582:C3582"/>
    <mergeCell ref="B3584:C3584"/>
    <mergeCell ref="B3587:C3587"/>
    <mergeCell ref="B3588:C3588"/>
    <mergeCell ref="B3591:C3591"/>
    <mergeCell ref="B3593:C3593"/>
    <mergeCell ref="B3594:C3594"/>
    <mergeCell ref="B3597:C3597"/>
    <mergeCell ref="B3598:C3598"/>
    <mergeCell ref="B3600:C3600"/>
    <mergeCell ref="B3602:C3602"/>
    <mergeCell ref="B3604:C3604"/>
    <mergeCell ref="B3606:C3606"/>
    <mergeCell ref="B3608:C3608"/>
    <mergeCell ref="B3610:C3610"/>
    <mergeCell ref="B3612:C3612"/>
    <mergeCell ref="B3615:C3615"/>
    <mergeCell ref="B3617:C3617"/>
    <mergeCell ref="B3618:C3618"/>
    <mergeCell ref="B3620:C3620"/>
    <mergeCell ref="B3622:C3622"/>
    <mergeCell ref="B3625:C3625"/>
    <mergeCell ref="B3627:C3627"/>
    <mergeCell ref="B3629:C3629"/>
    <mergeCell ref="B3631:C3631"/>
    <mergeCell ref="B3632:C3632"/>
    <mergeCell ref="B3635:C3635"/>
    <mergeCell ref="B3636:C3636"/>
    <mergeCell ref="B3638:C3638"/>
    <mergeCell ref="B3640:C3640"/>
    <mergeCell ref="B3642:C3642"/>
    <mergeCell ref="B3644:C3644"/>
    <mergeCell ref="B3647:C3647"/>
    <mergeCell ref="B3648:C3648"/>
    <mergeCell ref="B3651:C3651"/>
    <mergeCell ref="B3653:C3653"/>
    <mergeCell ref="B3654:C3654"/>
    <mergeCell ref="B3801:C3801"/>
    <mergeCell ref="B3802:C3802"/>
    <mergeCell ref="B3805:C3805"/>
    <mergeCell ref="B3807:C3807"/>
    <mergeCell ref="B3809:C3809"/>
    <mergeCell ref="B3811:C3811"/>
    <mergeCell ref="B3813:C3813"/>
    <mergeCell ref="B3814:C3814"/>
    <mergeCell ref="B3816:C3816"/>
    <mergeCell ref="B3818:C3818"/>
    <mergeCell ref="B3820:C3820"/>
    <mergeCell ref="B3822:C3822"/>
    <mergeCell ref="B3825:C3825"/>
    <mergeCell ref="B3827:C3827"/>
    <mergeCell ref="B3829:C3829"/>
    <mergeCell ref="B3830:C3830"/>
    <mergeCell ref="B3833:C3833"/>
    <mergeCell ref="B3834:C3834"/>
    <mergeCell ref="B3836:C3836"/>
    <mergeCell ref="B3839:C3839"/>
    <mergeCell ref="B3840:C3840"/>
    <mergeCell ref="B3842:C3842"/>
    <mergeCell ref="B3845:C3845"/>
    <mergeCell ref="B3847:C3847"/>
    <mergeCell ref="B3848:C3848"/>
    <mergeCell ref="B3851:C3851"/>
    <mergeCell ref="B3852:C3852"/>
    <mergeCell ref="B3854:C3854"/>
    <mergeCell ref="B3856:C3856"/>
    <mergeCell ref="B3859:C3859"/>
    <mergeCell ref="B3861:C3861"/>
    <mergeCell ref="B3862:C3862"/>
    <mergeCell ref="B3865:C3865"/>
    <mergeCell ref="B3866:C3866"/>
    <mergeCell ref="B3868:C3868"/>
    <mergeCell ref="B3870:C3870"/>
    <mergeCell ref="B3873:C3873"/>
    <mergeCell ref="B3875:C3875"/>
    <mergeCell ref="B3876:C3876"/>
    <mergeCell ref="B3878:C3878"/>
    <mergeCell ref="B3881:C3881"/>
    <mergeCell ref="B3882:C3882"/>
    <mergeCell ref="B3884:C3884"/>
    <mergeCell ref="B3887:C3887"/>
    <mergeCell ref="B3888:C3888"/>
    <mergeCell ref="B3890:C3890"/>
    <mergeCell ref="B3892:C3892"/>
    <mergeCell ref="B3894:C3894"/>
    <mergeCell ref="B3897:C3897"/>
    <mergeCell ref="B3899:C3899"/>
    <mergeCell ref="B3901:C3901"/>
    <mergeCell ref="B3903:C3903"/>
    <mergeCell ref="B3904:C3904"/>
    <mergeCell ref="B3906:C3906"/>
    <mergeCell ref="B3908:C3908"/>
    <mergeCell ref="B3910:C3910"/>
    <mergeCell ref="B3913:C3913"/>
    <mergeCell ref="B4363:C4363"/>
    <mergeCell ref="B4365:C4365"/>
    <mergeCell ref="B4366:C4366"/>
    <mergeCell ref="B4369:C4369"/>
    <mergeCell ref="B4370:C4370"/>
    <mergeCell ref="B4372:C4372"/>
    <mergeCell ref="B4374:C4374"/>
    <mergeCell ref="B4376:C4376"/>
    <mergeCell ref="B4378:C4378"/>
    <mergeCell ref="B4380:C4380"/>
    <mergeCell ref="B4383:C4383"/>
    <mergeCell ref="B4385:C4385"/>
    <mergeCell ref="B4386:C4386"/>
    <mergeCell ref="B4388:C4388"/>
    <mergeCell ref="B4391:C4391"/>
    <mergeCell ref="B4393:C4393"/>
    <mergeCell ref="B4395:C4395"/>
    <mergeCell ref="B4396:C4396"/>
    <mergeCell ref="B4399:C4399"/>
    <mergeCell ref="B4401:C4401"/>
    <mergeCell ref="B4402:C4402"/>
    <mergeCell ref="B4405:C4405"/>
    <mergeCell ref="B4406:C4406"/>
    <mergeCell ref="B4408:C4408"/>
    <mergeCell ref="B4411:C4411"/>
    <mergeCell ref="B4413:C4413"/>
    <mergeCell ref="B4516:C4516"/>
    <mergeCell ref="B4518:C4518"/>
    <mergeCell ref="B4521:C4521"/>
    <mergeCell ref="B4523:C4523"/>
    <mergeCell ref="B4525:C4525"/>
    <mergeCell ref="B4526:C4526"/>
    <mergeCell ref="B4528:C4528"/>
    <mergeCell ref="B4530:C4530"/>
    <mergeCell ref="B4532:C4532"/>
    <mergeCell ref="B4534:C4534"/>
    <mergeCell ref="B4537:C4537"/>
    <mergeCell ref="B4539:C4539"/>
    <mergeCell ref="B4541:C4541"/>
    <mergeCell ref="B4543:C4543"/>
    <mergeCell ref="B4545:C4545"/>
    <mergeCell ref="B4547:C4547"/>
    <mergeCell ref="B4548:C4548"/>
    <mergeCell ref="B4550:C4550"/>
    <mergeCell ref="B4552:C4552"/>
    <mergeCell ref="B4554:C4554"/>
    <mergeCell ref="B4556:C4556"/>
    <mergeCell ref="B4559:C4559"/>
    <mergeCell ref="B4561:C4561"/>
    <mergeCell ref="B87:C87"/>
    <mergeCell ref="B88:C88"/>
    <mergeCell ref="B90:C90"/>
    <mergeCell ref="B92:C92"/>
    <mergeCell ref="B94:C94"/>
    <mergeCell ref="B96:C96"/>
    <mergeCell ref="B99:C99"/>
    <mergeCell ref="B100:C100"/>
    <mergeCell ref="B102:C102"/>
    <mergeCell ref="B104:C104"/>
    <mergeCell ref="B107:C107"/>
    <mergeCell ref="B108:C108"/>
    <mergeCell ref="B110:C110"/>
    <mergeCell ref="B113:C113"/>
    <mergeCell ref="B115:C115"/>
    <mergeCell ref="B117:C117"/>
    <mergeCell ref="B118:C118"/>
    <mergeCell ref="B121:C121"/>
    <mergeCell ref="B123:C123"/>
    <mergeCell ref="B124:C124"/>
    <mergeCell ref="B127:C127"/>
    <mergeCell ref="B128:C128"/>
    <mergeCell ref="B130:C130"/>
    <mergeCell ref="B132:C132"/>
    <mergeCell ref="B134:C134"/>
    <mergeCell ref="B137:C137"/>
    <mergeCell ref="B138:C138"/>
    <mergeCell ref="B141:C141"/>
    <mergeCell ref="B3:C3"/>
    <mergeCell ref="B4:C4"/>
    <mergeCell ref="B7:C7"/>
    <mergeCell ref="B8:C8"/>
    <mergeCell ref="B10:C10"/>
    <mergeCell ref="B12:C12"/>
    <mergeCell ref="B15:C15"/>
    <mergeCell ref="B16:C16"/>
    <mergeCell ref="B18:C18"/>
    <mergeCell ref="B20:C20"/>
    <mergeCell ref="B22:C22"/>
    <mergeCell ref="B24:C24"/>
    <mergeCell ref="B26:C26"/>
    <mergeCell ref="B29:C29"/>
    <mergeCell ref="B30:C30"/>
    <mergeCell ref="B32:C32"/>
    <mergeCell ref="B35:C35"/>
    <mergeCell ref="B36:C36"/>
    <mergeCell ref="B39:C39"/>
    <mergeCell ref="B41:C41"/>
    <mergeCell ref="B43:C43"/>
    <mergeCell ref="B45:C45"/>
    <mergeCell ref="B46:C46"/>
    <mergeCell ref="B48:C48"/>
    <mergeCell ref="B50:C50"/>
    <mergeCell ref="B52:C52"/>
    <mergeCell ref="B54:C54"/>
    <mergeCell ref="B57:C57"/>
    <mergeCell ref="B58:C58"/>
    <mergeCell ref="B61:C61"/>
    <mergeCell ref="B63:C63"/>
    <mergeCell ref="B64:C64"/>
    <mergeCell ref="B67:C67"/>
    <mergeCell ref="B68:C68"/>
    <mergeCell ref="B70:C70"/>
    <mergeCell ref="B72:C72"/>
    <mergeCell ref="B74:C74"/>
    <mergeCell ref="B77:C77"/>
    <mergeCell ref="B78:C78"/>
    <mergeCell ref="B81:C81"/>
    <mergeCell ref="B83:C83"/>
    <mergeCell ref="B84:C84"/>
    <mergeCell ref="B143:C143"/>
    <mergeCell ref="B144:C144"/>
    <mergeCell ref="B147:C147"/>
    <mergeCell ref="B148:C148"/>
    <mergeCell ref="B150:C150"/>
    <mergeCell ref="B152:C152"/>
    <mergeCell ref="B154:C154"/>
    <mergeCell ref="B352:C352"/>
    <mergeCell ref="B355:C355"/>
    <mergeCell ref="B357:C357"/>
    <mergeCell ref="B358:C358"/>
    <mergeCell ref="B361:C361"/>
    <mergeCell ref="B362:C362"/>
    <mergeCell ref="B364:C364"/>
    <mergeCell ref="B366:C366"/>
    <mergeCell ref="B369:C369"/>
    <mergeCell ref="B370:C370"/>
    <mergeCell ref="B372:C372"/>
    <mergeCell ref="B375:C375"/>
    <mergeCell ref="B377:C377"/>
    <mergeCell ref="B378:C378"/>
    <mergeCell ref="B157:C157"/>
    <mergeCell ref="B158:C158"/>
    <mergeCell ref="B161:C161"/>
    <mergeCell ref="B163:C163"/>
    <mergeCell ref="B164:C164"/>
    <mergeCell ref="B166:C166"/>
    <mergeCell ref="B169:C169"/>
    <mergeCell ref="B171:C171"/>
    <mergeCell ref="B173:C173"/>
    <mergeCell ref="B175:C175"/>
    <mergeCell ref="B177:C177"/>
    <mergeCell ref="B178:C178"/>
    <mergeCell ref="B181:C181"/>
    <mergeCell ref="B183:C183"/>
    <mergeCell ref="B184:C184"/>
    <mergeCell ref="B187:C187"/>
    <mergeCell ref="B188:C188"/>
    <mergeCell ref="B190:C190"/>
    <mergeCell ref="B192:C192"/>
    <mergeCell ref="B194:C194"/>
    <mergeCell ref="B197:C197"/>
    <mergeCell ref="B199:C199"/>
    <mergeCell ref="B200:C200"/>
    <mergeCell ref="B203:C203"/>
    <mergeCell ref="B204:C204"/>
    <mergeCell ref="B206:C206"/>
    <mergeCell ref="B208:C208"/>
    <mergeCell ref="B210:C210"/>
    <mergeCell ref="B324:C324"/>
    <mergeCell ref="B326:C326"/>
    <mergeCell ref="B328:C328"/>
    <mergeCell ref="B331:C331"/>
    <mergeCell ref="B332:C332"/>
    <mergeCell ref="B335:C335"/>
    <mergeCell ref="B337:C337"/>
    <mergeCell ref="B338:C338"/>
    <mergeCell ref="B341:C341"/>
    <mergeCell ref="B342:C342"/>
    <mergeCell ref="B344:C344"/>
    <mergeCell ref="B346:C346"/>
    <mergeCell ref="B348:C348"/>
    <mergeCell ref="B351:C351"/>
    <mergeCell ref="B381:C381"/>
    <mergeCell ref="B383:C383"/>
    <mergeCell ref="B385:C385"/>
    <mergeCell ref="B387:C387"/>
    <mergeCell ref="B389:C389"/>
    <mergeCell ref="B421:C421"/>
    <mergeCell ref="B423:C423"/>
    <mergeCell ref="B425:C425"/>
    <mergeCell ref="B427:C427"/>
    <mergeCell ref="B429:C429"/>
    <mergeCell ref="B431:C431"/>
    <mergeCell ref="B433:C433"/>
    <mergeCell ref="B434:C434"/>
    <mergeCell ref="B437:C437"/>
    <mergeCell ref="B439:C439"/>
    <mergeCell ref="B441:C441"/>
    <mergeCell ref="B443:C443"/>
    <mergeCell ref="B444:C444"/>
    <mergeCell ref="B447:C447"/>
    <mergeCell ref="B449:C449"/>
    <mergeCell ref="B450:C450"/>
    <mergeCell ref="B452:C452"/>
    <mergeCell ref="B454:C454"/>
    <mergeCell ref="B456:C456"/>
    <mergeCell ref="B458:C458"/>
    <mergeCell ref="B460:C460"/>
    <mergeCell ref="B462:C462"/>
    <mergeCell ref="B464:C464"/>
    <mergeCell ref="B467:C467"/>
    <mergeCell ref="B468:C468"/>
    <mergeCell ref="B470:C470"/>
    <mergeCell ref="B494:C494"/>
    <mergeCell ref="B497:C497"/>
    <mergeCell ref="B499:C499"/>
    <mergeCell ref="B500:C500"/>
    <mergeCell ref="B524:C524"/>
    <mergeCell ref="B526:C526"/>
    <mergeCell ref="B528:C528"/>
    <mergeCell ref="B530:C530"/>
    <mergeCell ref="B533:C533"/>
    <mergeCell ref="B534:C534"/>
    <mergeCell ref="B537:C537"/>
    <mergeCell ref="B539:C539"/>
    <mergeCell ref="B541:C541"/>
    <mergeCell ref="B543:C543"/>
    <mergeCell ref="B544:C544"/>
    <mergeCell ref="B546:C546"/>
    <mergeCell ref="B549:C549"/>
    <mergeCell ref="B550:C550"/>
    <mergeCell ref="B552:C552"/>
    <mergeCell ref="B554:C554"/>
    <mergeCell ref="B556:C556"/>
    <mergeCell ref="B559:C559"/>
    <mergeCell ref="B561:C561"/>
    <mergeCell ref="B562:C562"/>
    <mergeCell ref="B564:C564"/>
    <mergeCell ref="B566:C566"/>
    <mergeCell ref="B569:C569"/>
    <mergeCell ref="B571:C571"/>
    <mergeCell ref="B572:C572"/>
    <mergeCell ref="B574:C574"/>
    <mergeCell ref="B576:C576"/>
    <mergeCell ref="B579:C579"/>
    <mergeCell ref="B581:C581"/>
    <mergeCell ref="B582:C582"/>
    <mergeCell ref="B585:C585"/>
    <mergeCell ref="B597:C597"/>
    <mergeCell ref="B599:C599"/>
    <mergeCell ref="B600:C600"/>
    <mergeCell ref="B602:C602"/>
    <mergeCell ref="B605:C605"/>
    <mergeCell ref="B607:C607"/>
    <mergeCell ref="B609:C609"/>
    <mergeCell ref="B610:C610"/>
    <mergeCell ref="B613:C613"/>
    <mergeCell ref="B614:C614"/>
    <mergeCell ref="B617:C617"/>
    <mergeCell ref="B619:C619"/>
    <mergeCell ref="B621:C621"/>
    <mergeCell ref="B622:C622"/>
    <mergeCell ref="B625:C625"/>
    <mergeCell ref="B626:C626"/>
    <mergeCell ref="B629:C629"/>
    <mergeCell ref="B630:C630"/>
    <mergeCell ref="B633:C633"/>
    <mergeCell ref="B634:C634"/>
    <mergeCell ref="B637:C637"/>
    <mergeCell ref="B639:C639"/>
    <mergeCell ref="B640:C640"/>
    <mergeCell ref="B643:C643"/>
    <mergeCell ref="B644:C644"/>
    <mergeCell ref="B646:C646"/>
    <mergeCell ref="B648:C648"/>
    <mergeCell ref="B650:C650"/>
    <mergeCell ref="B653:C653"/>
    <mergeCell ref="B655:C655"/>
    <mergeCell ref="B656:C656"/>
    <mergeCell ref="B659:C659"/>
    <mergeCell ref="B661:C661"/>
    <mergeCell ref="B662:C662"/>
    <mergeCell ref="B838:C838"/>
    <mergeCell ref="B840:C840"/>
    <mergeCell ref="B842:C842"/>
    <mergeCell ref="B844:C844"/>
    <mergeCell ref="B846:C846"/>
    <mergeCell ref="B849:C849"/>
    <mergeCell ref="B850:C850"/>
    <mergeCell ref="B853:C853"/>
    <mergeCell ref="B854:C854"/>
    <mergeCell ref="B857:C857"/>
    <mergeCell ref="B858:C858"/>
    <mergeCell ref="B860:C860"/>
    <mergeCell ref="B862:C862"/>
    <mergeCell ref="B865:C865"/>
    <mergeCell ref="B866:C866"/>
    <mergeCell ref="B868:C868"/>
    <mergeCell ref="B870:C870"/>
    <mergeCell ref="B873:C873"/>
    <mergeCell ref="B875:C875"/>
    <mergeCell ref="B876:C876"/>
    <mergeCell ref="B879:C879"/>
    <mergeCell ref="B880:C880"/>
    <mergeCell ref="B882:C882"/>
    <mergeCell ref="B884:C884"/>
    <mergeCell ref="B887:C887"/>
    <mergeCell ref="B889:C889"/>
    <mergeCell ref="B891:C891"/>
    <mergeCell ref="B893:C893"/>
    <mergeCell ref="B894:C894"/>
    <mergeCell ref="B896:C896"/>
    <mergeCell ref="B898:C898"/>
    <mergeCell ref="B900:C900"/>
    <mergeCell ref="B903:C903"/>
    <mergeCell ref="B905:C905"/>
    <mergeCell ref="B907:C907"/>
    <mergeCell ref="B908:C908"/>
    <mergeCell ref="B911:C911"/>
    <mergeCell ref="B913:C913"/>
    <mergeCell ref="B914:C914"/>
    <mergeCell ref="B917:C917"/>
    <mergeCell ref="B918:C918"/>
    <mergeCell ref="B920:C920"/>
    <mergeCell ref="B922:C922"/>
    <mergeCell ref="B925:C925"/>
    <mergeCell ref="B926:C926"/>
    <mergeCell ref="B928:C928"/>
    <mergeCell ref="B930:C930"/>
    <mergeCell ref="B932:C932"/>
    <mergeCell ref="B935:C935"/>
    <mergeCell ref="B937:C937"/>
    <mergeCell ref="B938:C938"/>
    <mergeCell ref="B940:C940"/>
    <mergeCell ref="B943:C943"/>
    <mergeCell ref="B945:C945"/>
    <mergeCell ref="B947:C947"/>
    <mergeCell ref="B949:C949"/>
    <mergeCell ref="B951:C951"/>
    <mergeCell ref="B952:C952"/>
    <mergeCell ref="B955:C955"/>
    <mergeCell ref="B956:C956"/>
    <mergeCell ref="B958:C958"/>
    <mergeCell ref="B960:C960"/>
    <mergeCell ref="B962:C962"/>
    <mergeCell ref="B965:C965"/>
    <mergeCell ref="B966:C966"/>
    <mergeCell ref="B969:C969"/>
    <mergeCell ref="B971:C971"/>
    <mergeCell ref="B972:C972"/>
    <mergeCell ref="B975:C975"/>
    <mergeCell ref="B976:C976"/>
    <mergeCell ref="B978:C978"/>
    <mergeCell ref="B980:C980"/>
    <mergeCell ref="B982:C982"/>
    <mergeCell ref="B985:C985"/>
    <mergeCell ref="B987:C987"/>
    <mergeCell ref="B989:C989"/>
    <mergeCell ref="B990:C990"/>
    <mergeCell ref="B992:C992"/>
    <mergeCell ref="B995:C995"/>
    <mergeCell ref="B996:C996"/>
    <mergeCell ref="B998:C998"/>
    <mergeCell ref="B1003:C1003"/>
    <mergeCell ref="B1005:C1005"/>
    <mergeCell ref="B1007:C1007"/>
    <mergeCell ref="B1009:C1009"/>
    <mergeCell ref="B1010:C1010"/>
    <mergeCell ref="B1012:C1012"/>
    <mergeCell ref="B1015:C1015"/>
    <mergeCell ref="B1017:C1017"/>
    <mergeCell ref="B1018:C1018"/>
    <mergeCell ref="B1021:C1021"/>
    <mergeCell ref="B1022:C1022"/>
    <mergeCell ref="B1024:C1024"/>
    <mergeCell ref="B1027:C1027"/>
    <mergeCell ref="B1029:C1029"/>
    <mergeCell ref="B1031:C1031"/>
    <mergeCell ref="B1032:C1032"/>
    <mergeCell ref="B1035:C1035"/>
    <mergeCell ref="B1036:C1036"/>
    <mergeCell ref="B1038:C1038"/>
    <mergeCell ref="B1058:C1058"/>
    <mergeCell ref="B1060:C1060"/>
    <mergeCell ref="B1062:C1062"/>
    <mergeCell ref="B1148:C1148"/>
    <mergeCell ref="B1151:C1151"/>
    <mergeCell ref="B1153:C1153"/>
    <mergeCell ref="B1154:C1154"/>
    <mergeCell ref="B1157:C1157"/>
    <mergeCell ref="B1158:C1158"/>
    <mergeCell ref="B1160:C1160"/>
    <mergeCell ref="B1162:C1162"/>
    <mergeCell ref="B1164:C1164"/>
    <mergeCell ref="B1167:C1167"/>
    <mergeCell ref="B1168:C1168"/>
    <mergeCell ref="B1171:C1171"/>
    <mergeCell ref="B1173:C1173"/>
    <mergeCell ref="B1174:C1174"/>
    <mergeCell ref="B1177:C1177"/>
    <mergeCell ref="B1178:C1178"/>
    <mergeCell ref="B1180:C1180"/>
    <mergeCell ref="B1182:C1182"/>
    <mergeCell ref="B1184:C1184"/>
    <mergeCell ref="B1264:C1264"/>
    <mergeCell ref="B1267:C1267"/>
    <mergeCell ref="B1268:C1268"/>
    <mergeCell ref="B1271:C1271"/>
    <mergeCell ref="B1272:C1272"/>
    <mergeCell ref="B1275:C1275"/>
    <mergeCell ref="B1276:C1276"/>
    <mergeCell ref="B1278:C1278"/>
    <mergeCell ref="B1280:C1280"/>
    <mergeCell ref="B1282:C1282"/>
    <mergeCell ref="B1284:C1284"/>
    <mergeCell ref="B1287:C1287"/>
    <mergeCell ref="B1288:C1288"/>
    <mergeCell ref="B1291:C1291"/>
    <mergeCell ref="B1292:C1292"/>
    <mergeCell ref="B1295:C1295"/>
    <mergeCell ref="B1296:C1296"/>
    <mergeCell ref="B1298:C1298"/>
    <mergeCell ref="B1300:C1300"/>
    <mergeCell ref="B1303:C1303"/>
    <mergeCell ref="B1305:C1305"/>
    <mergeCell ref="B1307:C1307"/>
    <mergeCell ref="B1308:C1308"/>
    <mergeCell ref="B1065:C1065"/>
    <mergeCell ref="B1067:C1067"/>
    <mergeCell ref="B1068:C1068"/>
    <mergeCell ref="B1071:C1071"/>
    <mergeCell ref="B1073:C1073"/>
    <mergeCell ref="B1074:C1074"/>
    <mergeCell ref="B1077:C1077"/>
    <mergeCell ref="B1078:C1078"/>
    <mergeCell ref="B1080:C1080"/>
    <mergeCell ref="B1082:C1082"/>
    <mergeCell ref="B1084:C1084"/>
    <mergeCell ref="B1086:C1086"/>
    <mergeCell ref="B1089:C1089"/>
    <mergeCell ref="B1091:C1091"/>
    <mergeCell ref="B1093:C1093"/>
    <mergeCell ref="B1094:C1094"/>
    <mergeCell ref="B1096:C1096"/>
    <mergeCell ref="B1098:C1098"/>
    <mergeCell ref="B1100:C1100"/>
    <mergeCell ref="B1102:C1102"/>
    <mergeCell ref="B1105:C1105"/>
    <mergeCell ref="B1107:C1107"/>
    <mergeCell ref="B1108:C1108"/>
    <mergeCell ref="B1111:C1111"/>
    <mergeCell ref="B1113:C1113"/>
    <mergeCell ref="B1114:C1114"/>
    <mergeCell ref="B1116:C1116"/>
    <mergeCell ref="B1119:C1119"/>
    <mergeCell ref="B1121:C1121"/>
    <mergeCell ref="B1123:C1123"/>
    <mergeCell ref="B1125:C1125"/>
    <mergeCell ref="B1127:C1127"/>
    <mergeCell ref="B1128:C1128"/>
    <mergeCell ref="B1131:C1131"/>
    <mergeCell ref="B1132:C1132"/>
    <mergeCell ref="B1134:C1134"/>
    <mergeCell ref="B1136:C1136"/>
    <mergeCell ref="B1138:C1138"/>
    <mergeCell ref="B1140:C1140"/>
    <mergeCell ref="B1143:C1143"/>
    <mergeCell ref="B1145:C1145"/>
    <mergeCell ref="B1147:C1147"/>
    <mergeCell ref="B1310:C1310"/>
    <mergeCell ref="B1312:C1312"/>
    <mergeCell ref="B1314:C1314"/>
    <mergeCell ref="B1317:C1317"/>
    <mergeCell ref="B1318:C1318"/>
    <mergeCell ref="B1320:C1320"/>
    <mergeCell ref="B1323:C1323"/>
    <mergeCell ref="B1325:C1325"/>
    <mergeCell ref="B1326:C1326"/>
    <mergeCell ref="B1329:C1329"/>
    <mergeCell ref="B1331:C1331"/>
    <mergeCell ref="B1332:C1332"/>
    <mergeCell ref="B1335:C1335"/>
    <mergeCell ref="B1336:C1336"/>
    <mergeCell ref="B1338:C1338"/>
    <mergeCell ref="B1340:C1340"/>
    <mergeCell ref="B1342:C1342"/>
    <mergeCell ref="B1345:C1345"/>
    <mergeCell ref="B1347:C1347"/>
    <mergeCell ref="B1349:C1349"/>
    <mergeCell ref="B1351:C1351"/>
    <mergeCell ref="B1352:C1352"/>
    <mergeCell ref="B1354:C1354"/>
    <mergeCell ref="B1356:C1356"/>
    <mergeCell ref="B1359:C1359"/>
    <mergeCell ref="B1361:C1361"/>
    <mergeCell ref="B1363:C1363"/>
    <mergeCell ref="B1365:C1365"/>
    <mergeCell ref="B1367:C1367"/>
    <mergeCell ref="B1369:C1369"/>
    <mergeCell ref="B1370:C1370"/>
    <mergeCell ref="B1373:C1373"/>
    <mergeCell ref="B1374:C1374"/>
    <mergeCell ref="B1376:C1376"/>
    <mergeCell ref="B1378:C1378"/>
    <mergeCell ref="B1380:C1380"/>
    <mergeCell ref="B1382:C1382"/>
    <mergeCell ref="B1384:C1384"/>
    <mergeCell ref="B1386:C1386"/>
    <mergeCell ref="B1388:C1388"/>
    <mergeCell ref="B1391:C1391"/>
    <mergeCell ref="B1392:C1392"/>
    <mergeCell ref="B1394:C1394"/>
    <mergeCell ref="B1396:C1396"/>
    <mergeCell ref="B1398:C1398"/>
    <mergeCell ref="B1401:C1401"/>
    <mergeCell ref="B1402:C1402"/>
    <mergeCell ref="B1405:C1405"/>
    <mergeCell ref="B1407:C1407"/>
    <mergeCell ref="B1409:C1409"/>
    <mergeCell ref="B1410:C1410"/>
    <mergeCell ref="B1413:C1413"/>
    <mergeCell ref="B1415:C1415"/>
    <mergeCell ref="B1416:C1416"/>
    <mergeCell ref="B1418:C1418"/>
    <mergeCell ref="B1421:C1421"/>
    <mergeCell ref="B2128:C2128"/>
    <mergeCell ref="B2130:C2130"/>
    <mergeCell ref="B2132:C2132"/>
    <mergeCell ref="B2135:C2135"/>
    <mergeCell ref="B2136:C2136"/>
    <mergeCell ref="B2138:C2138"/>
    <mergeCell ref="B2141:C2141"/>
    <mergeCell ref="B2143:C2143"/>
    <mergeCell ref="B2144:C2144"/>
    <mergeCell ref="B2146:C2146"/>
    <mergeCell ref="B2148:C2148"/>
    <mergeCell ref="B2150:C2150"/>
    <mergeCell ref="B2153:C2153"/>
    <mergeCell ref="B2154:C2154"/>
    <mergeCell ref="B2044:C2044"/>
    <mergeCell ref="B2047:C2047"/>
    <mergeCell ref="B2048:C2048"/>
    <mergeCell ref="B2051:C2051"/>
    <mergeCell ref="B2053:C2053"/>
    <mergeCell ref="B2054:C2054"/>
    <mergeCell ref="B2057:C2057"/>
    <mergeCell ref="B2058:C2058"/>
    <mergeCell ref="B2061:C2061"/>
    <mergeCell ref="B2063:C2063"/>
    <mergeCell ref="B2064:C2064"/>
    <mergeCell ref="B2067:C2067"/>
    <mergeCell ref="B2068:C2068"/>
    <mergeCell ref="B2070:C2070"/>
    <mergeCell ref="B2072:C2072"/>
    <mergeCell ref="B2074:C2074"/>
    <mergeCell ref="B2077:C2077"/>
    <mergeCell ref="B2078:C2078"/>
    <mergeCell ref="B2081:C2081"/>
    <mergeCell ref="B2083:C2083"/>
    <mergeCell ref="B2084:C2084"/>
    <mergeCell ref="B2087:C2087"/>
    <mergeCell ref="B2088:C2088"/>
    <mergeCell ref="B2090:C2090"/>
    <mergeCell ref="B2092:C2092"/>
    <mergeCell ref="B2094:C2094"/>
    <mergeCell ref="B2096:C2096"/>
    <mergeCell ref="B2098:C2098"/>
    <mergeCell ref="B2100:C2100"/>
    <mergeCell ref="B2102:C2102"/>
    <mergeCell ref="B2104:C2104"/>
    <mergeCell ref="B2106:C2106"/>
    <mergeCell ref="B2108:C2108"/>
    <mergeCell ref="B2111:C2111"/>
    <mergeCell ref="B2112:C2112"/>
    <mergeCell ref="B2114:C2114"/>
    <mergeCell ref="B2117:C2117"/>
    <mergeCell ref="B2119:C2119"/>
    <mergeCell ref="B2121:C2121"/>
    <mergeCell ref="B2122:C2122"/>
    <mergeCell ref="B2125:C2125"/>
    <mergeCell ref="B2126:C2126"/>
    <mergeCell ref="B2157:C2157"/>
    <mergeCell ref="B2158:C2158"/>
    <mergeCell ref="B2161:C2161"/>
    <mergeCell ref="B2163:C2163"/>
    <mergeCell ref="B2164:C2164"/>
    <mergeCell ref="B2167:C2167"/>
    <mergeCell ref="B2168:C2168"/>
    <mergeCell ref="B1423:C1423"/>
    <mergeCell ref="B1425:C1425"/>
    <mergeCell ref="B1426:C1426"/>
    <mergeCell ref="B1429:C1429"/>
    <mergeCell ref="B1431:C1431"/>
    <mergeCell ref="B1432:C1432"/>
    <mergeCell ref="B1435:C1435"/>
    <mergeCell ref="B1436:C1436"/>
    <mergeCell ref="B1438:C1438"/>
    <mergeCell ref="B1440:C1440"/>
    <mergeCell ref="B1442:C1442"/>
    <mergeCell ref="B1445:C1445"/>
    <mergeCell ref="B1447:C1447"/>
    <mergeCell ref="B1449:C1449"/>
    <mergeCell ref="B1451:C1451"/>
    <mergeCell ref="B1453:C1453"/>
    <mergeCell ref="B1454:C1454"/>
    <mergeCell ref="B1456:C1456"/>
    <mergeCell ref="B1458:C1458"/>
    <mergeCell ref="B1460:C1460"/>
    <mergeCell ref="B1462:C1462"/>
    <mergeCell ref="B1465:C1465"/>
    <mergeCell ref="B1466:C1466"/>
    <mergeCell ref="B1469:C1469"/>
    <mergeCell ref="B1471:C1471"/>
    <mergeCell ref="B1472:C1472"/>
    <mergeCell ref="B1475:C1475"/>
    <mergeCell ref="B1476:C1476"/>
    <mergeCell ref="B1478:C1478"/>
    <mergeCell ref="B1480:C1480"/>
    <mergeCell ref="B1482:C1482"/>
    <mergeCell ref="B1484:C1484"/>
    <mergeCell ref="B1562:C1562"/>
    <mergeCell ref="B1565:C1565"/>
    <mergeCell ref="B1566:C1566"/>
    <mergeCell ref="B1568:C1568"/>
    <mergeCell ref="B1571:C1571"/>
    <mergeCell ref="B1573:C1573"/>
    <mergeCell ref="B1575:C1575"/>
    <mergeCell ref="B1576:C1576"/>
    <mergeCell ref="B1578:C1578"/>
    <mergeCell ref="B1580:C1580"/>
    <mergeCell ref="B1583:C1583"/>
    <mergeCell ref="B1585:C1585"/>
    <mergeCell ref="B1587:C1587"/>
    <mergeCell ref="B1588:C1588"/>
    <mergeCell ref="B1591:C1591"/>
    <mergeCell ref="B1593:C1593"/>
    <mergeCell ref="B1594:C1594"/>
    <mergeCell ref="B1778:C1778"/>
    <mergeCell ref="B1780:C1780"/>
    <mergeCell ref="B1782:C1782"/>
    <mergeCell ref="B1785:C1785"/>
    <mergeCell ref="B1786:C1786"/>
    <mergeCell ref="B1789:C1789"/>
    <mergeCell ref="B1791:C1791"/>
    <mergeCell ref="B1792:C1792"/>
    <mergeCell ref="B1794:C1794"/>
    <mergeCell ref="B1796:C1796"/>
    <mergeCell ref="B1798:C1798"/>
    <mergeCell ref="B1800:C1800"/>
    <mergeCell ref="B1803:C1803"/>
    <mergeCell ref="B1805:C1805"/>
    <mergeCell ref="B1596:C1596"/>
    <mergeCell ref="B1696:C1696"/>
    <mergeCell ref="B1698:C1698"/>
    <mergeCell ref="B1700:C1700"/>
    <mergeCell ref="B1702:C1702"/>
    <mergeCell ref="B1705:C1705"/>
    <mergeCell ref="B1707:C1707"/>
    <mergeCell ref="B1709:C1709"/>
    <mergeCell ref="B1710:C1710"/>
    <mergeCell ref="B1712:C1712"/>
    <mergeCell ref="B1714:C1714"/>
    <mergeCell ref="B1716:C1716"/>
    <mergeCell ref="B1719:C1719"/>
    <mergeCell ref="B1720:C1720"/>
    <mergeCell ref="B1723:C1723"/>
    <mergeCell ref="B1725:C1725"/>
    <mergeCell ref="B1726:C1726"/>
    <mergeCell ref="B1729:C1729"/>
    <mergeCell ref="B1731:C1731"/>
    <mergeCell ref="B1732:C1732"/>
    <mergeCell ref="B1735:C1735"/>
    <mergeCell ref="B1736:C1736"/>
    <mergeCell ref="B1738:C1738"/>
    <mergeCell ref="B1740:C1740"/>
    <mergeCell ref="B1742:C1742"/>
    <mergeCell ref="B1744:C1744"/>
    <mergeCell ref="B1747:C1747"/>
    <mergeCell ref="B1748:C1748"/>
    <mergeCell ref="B1750:C1750"/>
    <mergeCell ref="B1752:C1752"/>
    <mergeCell ref="B1754:C1754"/>
    <mergeCell ref="B1756:C1756"/>
    <mergeCell ref="B1758:C1758"/>
    <mergeCell ref="B1761:C1761"/>
    <mergeCell ref="B1763:C1763"/>
    <mergeCell ref="B1764:C1764"/>
    <mergeCell ref="B1766:C1766"/>
    <mergeCell ref="B1768:C1768"/>
    <mergeCell ref="B1771:C1771"/>
    <mergeCell ref="B1773:C1773"/>
    <mergeCell ref="B1774:C1774"/>
    <mergeCell ref="B1776:C1776"/>
    <mergeCell ref="B1807:C1807"/>
    <mergeCell ref="B1809:C1809"/>
    <mergeCell ref="B1811:C1811"/>
    <mergeCell ref="B1813:C1813"/>
    <mergeCell ref="B1814:C1814"/>
    <mergeCell ref="B1816:C1816"/>
    <mergeCell ref="B1818:C1818"/>
    <mergeCell ref="B1904:C1904"/>
    <mergeCell ref="B1906:C1906"/>
    <mergeCell ref="B1909:C1909"/>
    <mergeCell ref="B1911:C1911"/>
    <mergeCell ref="B1912:C1912"/>
    <mergeCell ref="B1914:C1914"/>
    <mergeCell ref="B1916:C1916"/>
    <mergeCell ref="B1918:C1918"/>
    <mergeCell ref="B1921:C1921"/>
    <mergeCell ref="B1923:C1923"/>
    <mergeCell ref="B1925:C1925"/>
    <mergeCell ref="B1926:C1926"/>
    <mergeCell ref="B1929:C1929"/>
    <mergeCell ref="B1930:C1930"/>
    <mergeCell ref="B1820:C1820"/>
    <mergeCell ref="B1822:C1822"/>
    <mergeCell ref="B1825:C1825"/>
    <mergeCell ref="B1827:C1827"/>
    <mergeCell ref="B1829:C1829"/>
    <mergeCell ref="B1830:C1830"/>
    <mergeCell ref="B1833:C1833"/>
    <mergeCell ref="B1834:C1834"/>
    <mergeCell ref="B1836:C1836"/>
    <mergeCell ref="B1838:C1838"/>
    <mergeCell ref="B1840:C1840"/>
    <mergeCell ref="B1842:C1842"/>
    <mergeCell ref="B1845:C1845"/>
    <mergeCell ref="B1847:C1847"/>
    <mergeCell ref="B1849:C1849"/>
    <mergeCell ref="B1850:C1850"/>
    <mergeCell ref="B1853:C1853"/>
    <mergeCell ref="B1854:C1854"/>
    <mergeCell ref="B1856:C1856"/>
    <mergeCell ref="B1858:C1858"/>
    <mergeCell ref="B1860:C1860"/>
    <mergeCell ref="B1862:C1862"/>
    <mergeCell ref="B1864:C1864"/>
    <mergeCell ref="B1866:C1866"/>
    <mergeCell ref="B1868:C1868"/>
    <mergeCell ref="B1870:C1870"/>
    <mergeCell ref="B1872:C1872"/>
    <mergeCell ref="B1874:C1874"/>
    <mergeCell ref="B1877:C1877"/>
    <mergeCell ref="B1878:C1878"/>
    <mergeCell ref="B1880:C1880"/>
    <mergeCell ref="B1883:C1883"/>
    <mergeCell ref="B1884:C1884"/>
    <mergeCell ref="B1886:C1886"/>
    <mergeCell ref="B1888:C1888"/>
    <mergeCell ref="B1891:C1891"/>
    <mergeCell ref="B1892:C1892"/>
    <mergeCell ref="B1894:C1894"/>
    <mergeCell ref="B1896:C1896"/>
    <mergeCell ref="B1898:C1898"/>
    <mergeCell ref="B1901:C1901"/>
    <mergeCell ref="B1903:C1903"/>
    <mergeCell ref="B1933:C1933"/>
    <mergeCell ref="B1935:C1935"/>
    <mergeCell ref="B1937:C1937"/>
    <mergeCell ref="B1938:C1938"/>
    <mergeCell ref="B1941:C1941"/>
    <mergeCell ref="B1943:C1943"/>
    <mergeCell ref="B1944:C1944"/>
    <mergeCell ref="B1947:C1947"/>
    <mergeCell ref="B1948:C1948"/>
    <mergeCell ref="B1950:C1950"/>
    <mergeCell ref="B1952:C1952"/>
    <mergeCell ref="B1954:C1954"/>
    <mergeCell ref="B1957:C1957"/>
    <mergeCell ref="B1958:C1958"/>
    <mergeCell ref="B1961:C1961"/>
    <mergeCell ref="B1963:C1963"/>
    <mergeCell ref="B1964:C1964"/>
    <mergeCell ref="B1967:C1967"/>
    <mergeCell ref="B1968:C1968"/>
    <mergeCell ref="B1970:C1970"/>
    <mergeCell ref="B1972:C1972"/>
    <mergeCell ref="B1974:C1974"/>
    <mergeCell ref="B1977:C1977"/>
    <mergeCell ref="B1978:C1978"/>
    <mergeCell ref="B1981:C1981"/>
    <mergeCell ref="B1983:C1983"/>
    <mergeCell ref="B1984:C1984"/>
    <mergeCell ref="B1987:C1987"/>
    <mergeCell ref="B1988:C1988"/>
    <mergeCell ref="B1990:C1990"/>
    <mergeCell ref="B1992:C1992"/>
    <mergeCell ref="B1994:C1994"/>
    <mergeCell ref="B1997:C1997"/>
    <mergeCell ref="B1999:C1999"/>
    <mergeCell ref="B2001:C2001"/>
    <mergeCell ref="B2003:C2003"/>
    <mergeCell ref="B2004:C2004"/>
    <mergeCell ref="B2006:C2006"/>
    <mergeCell ref="B2009:C2009"/>
    <mergeCell ref="B2011:C2011"/>
    <mergeCell ref="B2013:C2013"/>
    <mergeCell ref="B2014:C2014"/>
    <mergeCell ref="B2016:C2016"/>
    <mergeCell ref="B2018:C2018"/>
    <mergeCell ref="B2020:C2020"/>
    <mergeCell ref="B2022:C2022"/>
    <mergeCell ref="B2024:C2024"/>
    <mergeCell ref="B2026:C2026"/>
    <mergeCell ref="B2028:C2028"/>
    <mergeCell ref="B2031:C2031"/>
    <mergeCell ref="B2033:C2033"/>
    <mergeCell ref="B2034:C2034"/>
    <mergeCell ref="B2037:C2037"/>
    <mergeCell ref="B2039:C2039"/>
    <mergeCell ref="B2041:C2041"/>
    <mergeCell ref="B2043:C2043"/>
    <mergeCell ref="B2170:C2170"/>
    <mergeCell ref="B2172:C2172"/>
    <mergeCell ref="B2175:C2175"/>
    <mergeCell ref="B2177:C2177"/>
    <mergeCell ref="B2178:C2178"/>
    <mergeCell ref="B2180:C2180"/>
    <mergeCell ref="B2183:C2183"/>
    <mergeCell ref="B2185:C2185"/>
    <mergeCell ref="B2186:C2186"/>
    <mergeCell ref="B2188:C2188"/>
    <mergeCell ref="B2191:C2191"/>
    <mergeCell ref="B2193:C2193"/>
    <mergeCell ref="B2194:C2194"/>
    <mergeCell ref="B2196:C2196"/>
    <mergeCell ref="B2199:C2199"/>
    <mergeCell ref="B2201:C2201"/>
    <mergeCell ref="B2202:C2202"/>
    <mergeCell ref="B2205:C2205"/>
    <mergeCell ref="B2206:C2206"/>
    <mergeCell ref="B2208:C2208"/>
    <mergeCell ref="B2210:C2210"/>
    <mergeCell ref="B2212:C2212"/>
    <mergeCell ref="B2214:C2214"/>
    <mergeCell ref="B2217:C2217"/>
    <mergeCell ref="B2219:C2219"/>
    <mergeCell ref="B2221:C2221"/>
    <mergeCell ref="B2223:C2223"/>
    <mergeCell ref="B2224:C2224"/>
    <mergeCell ref="B2226:C2226"/>
    <mergeCell ref="B2228:C2228"/>
    <mergeCell ref="B2230:C2230"/>
    <mergeCell ref="B2232:C2232"/>
    <mergeCell ref="B2235:C2235"/>
    <mergeCell ref="B2237:C2237"/>
    <mergeCell ref="B2238:C2238"/>
    <mergeCell ref="B2240:C2240"/>
    <mergeCell ref="B2243:C2243"/>
    <mergeCell ref="B2245:C2245"/>
    <mergeCell ref="B2304:C2304"/>
    <mergeCell ref="B2307:C2307"/>
    <mergeCell ref="B2308:C2308"/>
    <mergeCell ref="B2310:C2310"/>
    <mergeCell ref="B2312:C2312"/>
    <mergeCell ref="B2314:C2314"/>
    <mergeCell ref="B2316:C2316"/>
    <mergeCell ref="B2319:C2319"/>
    <mergeCell ref="B2320:C2320"/>
    <mergeCell ref="B2323:C2323"/>
    <mergeCell ref="B2324:C2324"/>
    <mergeCell ref="B2327:C2327"/>
    <mergeCell ref="B2328:C2328"/>
    <mergeCell ref="B2330:C2330"/>
    <mergeCell ref="B2332:C2332"/>
    <mergeCell ref="B2335:C2335"/>
    <mergeCell ref="B2337:C2337"/>
    <mergeCell ref="B2338:C2338"/>
    <mergeCell ref="B2341:C2341"/>
    <mergeCell ref="B2343:C2343"/>
    <mergeCell ref="B2345:C2345"/>
    <mergeCell ref="B2347:C2347"/>
    <mergeCell ref="B2348:C2348"/>
    <mergeCell ref="B2351:C2351"/>
    <mergeCell ref="B2352:C2352"/>
    <mergeCell ref="B2354:C2354"/>
    <mergeCell ref="B2357:C2357"/>
    <mergeCell ref="B2358:C2358"/>
    <mergeCell ref="B2361:C2361"/>
    <mergeCell ref="B2363:C2363"/>
    <mergeCell ref="B2364:C2364"/>
    <mergeCell ref="B2367:C2367"/>
    <mergeCell ref="B2368:C2368"/>
    <mergeCell ref="B2370:C2370"/>
    <mergeCell ref="B2372:C2372"/>
    <mergeCell ref="B2374:C2374"/>
    <mergeCell ref="B2377:C2377"/>
    <mergeCell ref="B2379:C2379"/>
    <mergeCell ref="B2380:C2380"/>
    <mergeCell ref="B2383:C2383"/>
    <mergeCell ref="B2385:C2385"/>
    <mergeCell ref="B2407:C2407"/>
    <mergeCell ref="B2409:C2409"/>
    <mergeCell ref="B2410:C2410"/>
    <mergeCell ref="B2413:C2413"/>
    <mergeCell ref="B2415:C2415"/>
    <mergeCell ref="B2417:C2417"/>
    <mergeCell ref="B2418:C2418"/>
    <mergeCell ref="B2420:C2420"/>
    <mergeCell ref="B2422:C2422"/>
    <mergeCell ref="B2425:C2425"/>
    <mergeCell ref="B2427:C2427"/>
    <mergeCell ref="B2429:C2429"/>
    <mergeCell ref="B2430:C2430"/>
    <mergeCell ref="B2432:C2432"/>
    <mergeCell ref="B2434:C2434"/>
    <mergeCell ref="B2436:C2436"/>
    <mergeCell ref="B2439:C2439"/>
    <mergeCell ref="B2441:C2441"/>
    <mergeCell ref="B2442:C2442"/>
    <mergeCell ref="B2688:C2688"/>
    <mergeCell ref="B2690:C2690"/>
    <mergeCell ref="B2693:C2693"/>
    <mergeCell ref="B2695:C2695"/>
    <mergeCell ref="B2696:C2696"/>
    <mergeCell ref="B2699:C2699"/>
    <mergeCell ref="B2701:C2701"/>
    <mergeCell ref="B2702:C2702"/>
    <mergeCell ref="B2705:C2705"/>
    <mergeCell ref="B2707:C2707"/>
    <mergeCell ref="B2708:C2708"/>
    <mergeCell ref="B2710:C2710"/>
    <mergeCell ref="B2713:C2713"/>
    <mergeCell ref="B2714:C2714"/>
    <mergeCell ref="B2445:C2445"/>
    <mergeCell ref="B2447:C2447"/>
    <mergeCell ref="B2449:C2449"/>
    <mergeCell ref="B2451:C2451"/>
    <mergeCell ref="B2452:C2452"/>
    <mergeCell ref="B2455:C2455"/>
    <mergeCell ref="B2457:C2457"/>
    <mergeCell ref="B2458:C2458"/>
    <mergeCell ref="B2461:C2461"/>
    <mergeCell ref="B2463:C2463"/>
    <mergeCell ref="B2465:C2465"/>
    <mergeCell ref="B2467:C2467"/>
    <mergeCell ref="B2468:C2468"/>
    <mergeCell ref="B2470:C2470"/>
    <mergeCell ref="B2472:C2472"/>
    <mergeCell ref="B2474:C2474"/>
    <mergeCell ref="B2477:C2477"/>
    <mergeCell ref="B2638:C2638"/>
    <mergeCell ref="B2640:C2640"/>
    <mergeCell ref="B2643:C2643"/>
    <mergeCell ref="B2645:C2645"/>
    <mergeCell ref="B2647:C2647"/>
    <mergeCell ref="B2648:C2648"/>
    <mergeCell ref="B2650:C2650"/>
    <mergeCell ref="B2652:C2652"/>
    <mergeCell ref="B2655:C2655"/>
    <mergeCell ref="B2656:C2656"/>
    <mergeCell ref="B2659:C2659"/>
    <mergeCell ref="B2661:C2661"/>
    <mergeCell ref="B2662:C2662"/>
    <mergeCell ref="B2665:C2665"/>
    <mergeCell ref="B2666:C2666"/>
    <mergeCell ref="B2668:C2668"/>
    <mergeCell ref="B2671:C2671"/>
    <mergeCell ref="B2672:C2672"/>
    <mergeCell ref="B2675:C2675"/>
    <mergeCell ref="B2676:C2676"/>
    <mergeCell ref="B2678:C2678"/>
    <mergeCell ref="B2680:C2680"/>
    <mergeCell ref="B2683:C2683"/>
    <mergeCell ref="B2685:C2685"/>
    <mergeCell ref="B2686:C2686"/>
    <mergeCell ref="B2717:C2717"/>
    <mergeCell ref="B2718:C2718"/>
    <mergeCell ref="B2721:C2721"/>
    <mergeCell ref="B2723:C2723"/>
    <mergeCell ref="B2725:C2725"/>
    <mergeCell ref="B2727:C2727"/>
    <mergeCell ref="B2728:C2728"/>
    <mergeCell ref="B2878:C2878"/>
    <mergeCell ref="B2881:C2881"/>
    <mergeCell ref="B2882:C2882"/>
    <mergeCell ref="B2884:C2884"/>
    <mergeCell ref="B2887:C2887"/>
    <mergeCell ref="B2889:C2889"/>
    <mergeCell ref="B2891:C2891"/>
    <mergeCell ref="B2892:C2892"/>
    <mergeCell ref="B2895:C2895"/>
    <mergeCell ref="B2896:C2896"/>
    <mergeCell ref="B2898:C2898"/>
    <mergeCell ref="B2901:C2901"/>
    <mergeCell ref="B2902:C2902"/>
    <mergeCell ref="B2904:C2904"/>
    <mergeCell ref="B2730:C2730"/>
    <mergeCell ref="B2733:C2733"/>
    <mergeCell ref="B2734:C2734"/>
    <mergeCell ref="B2737:C2737"/>
    <mergeCell ref="B2738:C2738"/>
    <mergeCell ref="B2741:C2741"/>
    <mergeCell ref="B2743:C2743"/>
    <mergeCell ref="B2744:C2744"/>
    <mergeCell ref="B2747:C2747"/>
    <mergeCell ref="B2748:C2748"/>
    <mergeCell ref="B2750:C2750"/>
    <mergeCell ref="B2752:C2752"/>
    <mergeCell ref="B2754:C2754"/>
    <mergeCell ref="B2757:C2757"/>
    <mergeCell ref="B2759:C2759"/>
    <mergeCell ref="B2760:C2760"/>
    <mergeCell ref="B2762:C2762"/>
    <mergeCell ref="B2764:C2764"/>
    <mergeCell ref="B2766:C2766"/>
    <mergeCell ref="B2769:C2769"/>
    <mergeCell ref="B2770:C2770"/>
    <mergeCell ref="B2772:C2772"/>
    <mergeCell ref="B2775:C2775"/>
    <mergeCell ref="B2776:C2776"/>
    <mergeCell ref="B2779:C2779"/>
    <mergeCell ref="B2781:C2781"/>
    <mergeCell ref="B2847:C2847"/>
    <mergeCell ref="B2848:C2848"/>
    <mergeCell ref="B2851:C2851"/>
    <mergeCell ref="B2853:C2853"/>
    <mergeCell ref="B2854:C2854"/>
    <mergeCell ref="B2857:C2857"/>
    <mergeCell ref="B2858:C2858"/>
    <mergeCell ref="B2860:C2860"/>
    <mergeCell ref="B2862:C2862"/>
    <mergeCell ref="B2864:C2864"/>
    <mergeCell ref="B2866:C2866"/>
    <mergeCell ref="B2868:C2868"/>
    <mergeCell ref="B2870:C2870"/>
    <mergeCell ref="B2872:C2872"/>
    <mergeCell ref="B2874:C2874"/>
    <mergeCell ref="B2876:C2876"/>
    <mergeCell ref="B2907:C2907"/>
    <mergeCell ref="B2909:C2909"/>
    <mergeCell ref="B2911:C2911"/>
    <mergeCell ref="B2913:C2913"/>
    <mergeCell ref="B2915:C2915"/>
    <mergeCell ref="B2917:C2917"/>
    <mergeCell ref="B2918:C2918"/>
    <mergeCell ref="B3004:C3004"/>
    <mergeCell ref="B3006:C3006"/>
    <mergeCell ref="B3009:C3009"/>
    <mergeCell ref="B3011:C3011"/>
    <mergeCell ref="B3028:C3028"/>
    <mergeCell ref="B3031:C3031"/>
    <mergeCell ref="B3033:C3033"/>
    <mergeCell ref="B3034:C3034"/>
    <mergeCell ref="B3037:C3037"/>
    <mergeCell ref="B3038:C3038"/>
    <mergeCell ref="B3040:C3040"/>
    <mergeCell ref="B3042:C3042"/>
    <mergeCell ref="B3044:C3044"/>
    <mergeCell ref="B3046:C3046"/>
    <mergeCell ref="B2920:C2920"/>
    <mergeCell ref="B2922:C2922"/>
    <mergeCell ref="B2925:C2925"/>
    <mergeCell ref="B2926:C2926"/>
    <mergeCell ref="B2929:C2929"/>
    <mergeCell ref="B2930:C2930"/>
    <mergeCell ref="B2933:C2933"/>
    <mergeCell ref="B2934:C2934"/>
    <mergeCell ref="B2936:C2936"/>
    <mergeCell ref="B2938:C2938"/>
    <mergeCell ref="B2941:C2941"/>
    <mergeCell ref="B2943:C2943"/>
    <mergeCell ref="B2945:C2945"/>
    <mergeCell ref="B2947:C2947"/>
    <mergeCell ref="B2948:C2948"/>
    <mergeCell ref="B2950:C2950"/>
    <mergeCell ref="B2953:C2953"/>
    <mergeCell ref="B2954:C2954"/>
    <mergeCell ref="B2957:C2957"/>
    <mergeCell ref="B2958:C2958"/>
    <mergeCell ref="B2960:C2960"/>
    <mergeCell ref="B2963:C2963"/>
    <mergeCell ref="B2965:C2965"/>
    <mergeCell ref="B2967:C2967"/>
    <mergeCell ref="B2968:C2968"/>
    <mergeCell ref="B2971:C2971"/>
    <mergeCell ref="B2973:C2973"/>
    <mergeCell ref="B2974:C2974"/>
    <mergeCell ref="B2977:C2977"/>
    <mergeCell ref="B2978:C2978"/>
    <mergeCell ref="B2981:C2981"/>
    <mergeCell ref="B2982:C2982"/>
    <mergeCell ref="B2984:C2984"/>
    <mergeCell ref="B2987:C2987"/>
    <mergeCell ref="B2989:C2989"/>
    <mergeCell ref="B2991:C2991"/>
    <mergeCell ref="B2992:C2992"/>
    <mergeCell ref="B2995:C2995"/>
    <mergeCell ref="B2996:C2996"/>
    <mergeCell ref="B2998:C2998"/>
    <mergeCell ref="B3000:C3000"/>
    <mergeCell ref="B3002:C3002"/>
    <mergeCell ref="B3048:C3048"/>
    <mergeCell ref="B3050:C3050"/>
    <mergeCell ref="B3052:C3052"/>
    <mergeCell ref="B3055:C3055"/>
    <mergeCell ref="B3056:C3056"/>
    <mergeCell ref="B3059:C3059"/>
    <mergeCell ref="B3061:C3061"/>
    <mergeCell ref="B3998:C3998"/>
    <mergeCell ref="B4001:C4001"/>
    <mergeCell ref="B4002:C4002"/>
    <mergeCell ref="B4005:C4005"/>
    <mergeCell ref="B4006:C4006"/>
    <mergeCell ref="B4009:C4009"/>
    <mergeCell ref="B4011:C4011"/>
    <mergeCell ref="B4012:C4012"/>
    <mergeCell ref="B4015:C4015"/>
    <mergeCell ref="B4016:C4016"/>
    <mergeCell ref="B4018:C4018"/>
    <mergeCell ref="B4020:C4020"/>
    <mergeCell ref="B4022:C4022"/>
    <mergeCell ref="B4024:C4024"/>
    <mergeCell ref="B3915:C3915"/>
    <mergeCell ref="B3917:C3917"/>
    <mergeCell ref="B3919:C3919"/>
    <mergeCell ref="B3920:C3920"/>
    <mergeCell ref="B3922:C3922"/>
    <mergeCell ref="B3925:C3925"/>
    <mergeCell ref="B3926:C3926"/>
    <mergeCell ref="B3928:C3928"/>
    <mergeCell ref="B3931:C3931"/>
    <mergeCell ref="B3932:C3932"/>
    <mergeCell ref="B3935:C3935"/>
    <mergeCell ref="B3937:C3937"/>
    <mergeCell ref="B3939:C3939"/>
    <mergeCell ref="B3940:C3940"/>
    <mergeCell ref="B3942:C3942"/>
    <mergeCell ref="B3945:C3945"/>
    <mergeCell ref="B3946:C3946"/>
    <mergeCell ref="B3949:C3949"/>
    <mergeCell ref="B3951:C3951"/>
    <mergeCell ref="B3952:C3952"/>
    <mergeCell ref="B3955:C3955"/>
    <mergeCell ref="B3956:C3956"/>
    <mergeCell ref="B3958:C3958"/>
    <mergeCell ref="B3960:C3960"/>
    <mergeCell ref="B3962:C3962"/>
    <mergeCell ref="B3964:C3964"/>
    <mergeCell ref="B3967:C3967"/>
    <mergeCell ref="B3968:C3968"/>
    <mergeCell ref="B3970:C3970"/>
    <mergeCell ref="B3973:C3973"/>
    <mergeCell ref="B3975:C3975"/>
    <mergeCell ref="B3976:C3976"/>
    <mergeCell ref="B3978:C3978"/>
    <mergeCell ref="B3980:C3980"/>
    <mergeCell ref="B3982:C3982"/>
    <mergeCell ref="B3985:C3985"/>
    <mergeCell ref="B3986:C3986"/>
    <mergeCell ref="B3989:C3989"/>
    <mergeCell ref="B3991:C3991"/>
    <mergeCell ref="B3993:C3993"/>
    <mergeCell ref="B3995:C3995"/>
    <mergeCell ref="B3996:C3996"/>
    <mergeCell ref="B4026:C4026"/>
    <mergeCell ref="B4028:C4028"/>
    <mergeCell ref="B4031:C4031"/>
    <mergeCell ref="B4033:C4033"/>
    <mergeCell ref="B4034:C4034"/>
    <mergeCell ref="B4037:C4037"/>
    <mergeCell ref="B4038:C4038"/>
    <mergeCell ref="B4320:C4320"/>
    <mergeCell ref="B4322:C4322"/>
    <mergeCell ref="B4324:C4324"/>
    <mergeCell ref="B4327:C4327"/>
    <mergeCell ref="B4328:C4328"/>
    <mergeCell ref="B4330:C4330"/>
    <mergeCell ref="B4333:C4333"/>
    <mergeCell ref="B4335:C4335"/>
    <mergeCell ref="B4336:C4336"/>
    <mergeCell ref="B4339:C4339"/>
    <mergeCell ref="B4340:C4340"/>
    <mergeCell ref="B4343:C4343"/>
    <mergeCell ref="B4345:C4345"/>
    <mergeCell ref="B4346:C4346"/>
    <mergeCell ref="B4237:C4237"/>
    <mergeCell ref="B4238:C4238"/>
    <mergeCell ref="B4240:C4240"/>
    <mergeCell ref="B4242:C4242"/>
    <mergeCell ref="B4245:C4245"/>
    <mergeCell ref="B4247:C4247"/>
    <mergeCell ref="B4248:C4248"/>
    <mergeCell ref="B4250:C4250"/>
    <mergeCell ref="B4252:C4252"/>
    <mergeCell ref="B4255:C4255"/>
    <mergeCell ref="B4257:C4257"/>
    <mergeCell ref="B4258:C4258"/>
    <mergeCell ref="B4260:C4260"/>
    <mergeCell ref="B4263:C4263"/>
    <mergeCell ref="B4265:C4265"/>
    <mergeCell ref="B4266:C4266"/>
    <mergeCell ref="B4268:C4268"/>
    <mergeCell ref="B4270:C4270"/>
    <mergeCell ref="B4273:C4273"/>
    <mergeCell ref="B4274:C4274"/>
    <mergeCell ref="B4277:C4277"/>
    <mergeCell ref="B4279:C4279"/>
    <mergeCell ref="B4281:C4281"/>
    <mergeCell ref="B4282:C4282"/>
    <mergeCell ref="B4285:C4285"/>
    <mergeCell ref="B4286:C4286"/>
    <mergeCell ref="B4288:C4288"/>
    <mergeCell ref="B4291:C4291"/>
    <mergeCell ref="B4292:C4292"/>
    <mergeCell ref="B4295:C4295"/>
    <mergeCell ref="B4296:C4296"/>
    <mergeCell ref="B4299:C4299"/>
    <mergeCell ref="B4301:C4301"/>
    <mergeCell ref="B4303:C4303"/>
    <mergeCell ref="B4305:C4305"/>
    <mergeCell ref="B4306:C4306"/>
    <mergeCell ref="B4308:C4308"/>
    <mergeCell ref="B4311:C4311"/>
    <mergeCell ref="B4313:C4313"/>
    <mergeCell ref="B4314:C4314"/>
    <mergeCell ref="B4317:C4317"/>
    <mergeCell ref="B4318:C4318"/>
    <mergeCell ref="B4349:C4349"/>
    <mergeCell ref="B4350:C4350"/>
    <mergeCell ref="B4352:C4352"/>
    <mergeCell ref="B4354:C4354"/>
    <mergeCell ref="B4356:C4356"/>
    <mergeCell ref="B4359:C4359"/>
    <mergeCell ref="B4360:C4360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2" max="2" width="16.57"/>
    <col customWidth="1" min="3" max="3" width="21.57"/>
    <col customWidth="1" min="4" max="4" width="28.29"/>
    <col customWidth="1" min="8" max="8" width="18.57"/>
    <col customWidth="1" min="9" max="9" width="36.0"/>
  </cols>
  <sheetData>
    <row r="1" ht="39.0" customHeight="1">
      <c r="A1" s="159" t="s">
        <v>11573</v>
      </c>
      <c r="B1" s="159" t="s">
        <v>11574</v>
      </c>
      <c r="C1" s="159" t="s">
        <v>11575</v>
      </c>
      <c r="D1" s="159" t="s">
        <v>228</v>
      </c>
      <c r="E1" s="159" t="s">
        <v>11576</v>
      </c>
      <c r="F1" s="159" t="s">
        <v>11577</v>
      </c>
      <c r="G1" s="159" t="s">
        <v>11578</v>
      </c>
      <c r="H1" s="159" t="s">
        <v>11579</v>
      </c>
      <c r="I1" s="159" t="s">
        <v>11580</v>
      </c>
      <c r="J1" s="159" t="s">
        <v>11581</v>
      </c>
      <c r="K1" s="160" t="s">
        <v>11582</v>
      </c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</row>
    <row r="2">
      <c r="A2" s="161">
        <v>43006.0</v>
      </c>
      <c r="B2" s="162">
        <v>43556.0</v>
      </c>
      <c r="C2" s="148" t="s">
        <v>11583</v>
      </c>
      <c r="D2" s="148" t="s">
        <v>11584</v>
      </c>
      <c r="E2" s="150" t="s">
        <v>11585</v>
      </c>
      <c r="F2" s="88" t="s">
        <v>11586</v>
      </c>
      <c r="G2" s="133" t="s">
        <v>11587</v>
      </c>
      <c r="H2" s="29"/>
      <c r="I2" s="89" t="s">
        <v>11588</v>
      </c>
      <c r="K2" s="163" t="s">
        <v>11586</v>
      </c>
    </row>
    <row r="3">
      <c r="A3" s="161">
        <v>43006.0</v>
      </c>
      <c r="B3" s="162">
        <v>43556.0</v>
      </c>
      <c r="C3" s="148" t="s">
        <v>11589</v>
      </c>
      <c r="D3" s="148" t="s">
        <v>11590</v>
      </c>
      <c r="E3" s="150" t="s">
        <v>11591</v>
      </c>
      <c r="F3" s="88" t="s">
        <v>11586</v>
      </c>
      <c r="G3" s="133" t="s">
        <v>11587</v>
      </c>
      <c r="H3" s="29"/>
      <c r="I3" s="89" t="s">
        <v>11592</v>
      </c>
      <c r="K3" s="163" t="s">
        <v>11586</v>
      </c>
    </row>
    <row r="4">
      <c r="A4" s="161">
        <v>43008.0</v>
      </c>
      <c r="B4" s="162">
        <v>43556.0</v>
      </c>
      <c r="C4" s="148" t="s">
        <v>11593</v>
      </c>
      <c r="D4" s="148" t="s">
        <v>11594</v>
      </c>
      <c r="E4" s="150" t="s">
        <v>11595</v>
      </c>
      <c r="F4" s="88" t="s">
        <v>11586</v>
      </c>
      <c r="G4" s="133" t="s">
        <v>11587</v>
      </c>
      <c r="H4" s="29"/>
      <c r="I4" s="89" t="s">
        <v>11596</v>
      </c>
      <c r="K4" s="163" t="s">
        <v>11586</v>
      </c>
    </row>
    <row r="5">
      <c r="A5" s="161">
        <v>43008.0</v>
      </c>
      <c r="B5" s="162">
        <v>43556.0</v>
      </c>
      <c r="C5" s="148" t="s">
        <v>11597</v>
      </c>
      <c r="D5" s="148" t="s">
        <v>11598</v>
      </c>
      <c r="E5" s="150" t="s">
        <v>11599</v>
      </c>
      <c r="F5" s="88" t="s">
        <v>11586</v>
      </c>
      <c r="G5" s="133" t="s">
        <v>11587</v>
      </c>
      <c r="H5" s="29"/>
      <c r="I5" s="89" t="s">
        <v>11600</v>
      </c>
      <c r="K5" s="163" t="s">
        <v>11586</v>
      </c>
    </row>
    <row r="6">
      <c r="A6" s="161">
        <v>43008.0</v>
      </c>
      <c r="B6" s="162">
        <v>43556.0</v>
      </c>
      <c r="C6" s="148" t="s">
        <v>11601</v>
      </c>
      <c r="D6" s="148" t="s">
        <v>11602</v>
      </c>
      <c r="E6" s="150" t="s">
        <v>11603</v>
      </c>
      <c r="F6" s="88" t="s">
        <v>11586</v>
      </c>
      <c r="G6" s="133" t="s">
        <v>11587</v>
      </c>
      <c r="H6" s="29"/>
      <c r="I6" s="89" t="s">
        <v>11604</v>
      </c>
      <c r="K6" s="163" t="s">
        <v>11586</v>
      </c>
    </row>
    <row r="7">
      <c r="A7" s="29"/>
      <c r="B7" s="29"/>
      <c r="C7" s="29"/>
      <c r="D7" s="29"/>
      <c r="E7" s="29"/>
      <c r="F7" s="29"/>
      <c r="G7" s="29"/>
      <c r="H7" s="29"/>
      <c r="I7" s="89"/>
    </row>
    <row r="8">
      <c r="A8" s="29"/>
      <c r="B8" s="29"/>
      <c r="C8" s="29"/>
      <c r="D8" s="29"/>
      <c r="E8" s="29"/>
      <c r="F8" s="29"/>
      <c r="G8" s="29"/>
      <c r="H8" s="29"/>
      <c r="I8" s="29"/>
    </row>
    <row r="9">
      <c r="A9" s="29"/>
      <c r="B9" s="29"/>
      <c r="C9" s="29"/>
      <c r="D9" s="29"/>
      <c r="E9" s="29"/>
      <c r="F9" s="29"/>
      <c r="G9" s="29"/>
      <c r="H9" s="29"/>
      <c r="I9" s="29"/>
    </row>
    <row r="10">
      <c r="A10" s="29"/>
      <c r="B10" s="29"/>
      <c r="C10" s="29"/>
      <c r="D10" s="29"/>
      <c r="E10" s="29"/>
      <c r="F10" s="29"/>
      <c r="G10" s="29"/>
      <c r="H10" s="29"/>
      <c r="I10" s="29"/>
    </row>
    <row r="11">
      <c r="A11" s="29"/>
      <c r="B11" s="29"/>
      <c r="C11" s="29"/>
      <c r="D11" s="29"/>
      <c r="E11" s="29"/>
      <c r="F11" s="29"/>
      <c r="G11" s="29"/>
      <c r="H11" s="29"/>
      <c r="I11" s="29"/>
    </row>
    <row r="12">
      <c r="A12" s="29"/>
      <c r="B12" s="29"/>
      <c r="C12" s="29"/>
      <c r="D12" s="29"/>
      <c r="E12" s="29"/>
      <c r="F12" s="29"/>
      <c r="G12" s="29"/>
      <c r="H12" s="29"/>
      <c r="I12" s="29"/>
    </row>
    <row r="13">
      <c r="A13" s="29"/>
      <c r="B13" s="29"/>
      <c r="C13" s="29"/>
      <c r="D13" s="29"/>
      <c r="E13" s="29"/>
      <c r="F13" s="29"/>
      <c r="G13" s="29"/>
      <c r="H13" s="29"/>
      <c r="I13" s="29"/>
    </row>
    <row r="14">
      <c r="A14" s="29"/>
      <c r="B14" s="29"/>
      <c r="C14" s="29"/>
      <c r="D14" s="29"/>
      <c r="E14" s="29"/>
      <c r="F14" s="29"/>
      <c r="G14" s="29"/>
      <c r="H14" s="29"/>
      <c r="I14" s="29"/>
    </row>
    <row r="15">
      <c r="A15" s="29"/>
      <c r="B15" s="29"/>
      <c r="C15" s="29"/>
      <c r="D15" s="29"/>
      <c r="E15" s="29"/>
      <c r="F15" s="29"/>
      <c r="G15" s="29"/>
      <c r="H15" s="29"/>
      <c r="I15" s="29"/>
    </row>
    <row r="16">
      <c r="A16" s="29"/>
      <c r="B16" s="29"/>
      <c r="C16" s="29"/>
      <c r="D16" s="29"/>
      <c r="E16" s="29"/>
      <c r="F16" s="29"/>
      <c r="G16" s="29"/>
      <c r="H16" s="29"/>
      <c r="I16" s="29"/>
    </row>
    <row r="17">
      <c r="A17" s="29"/>
      <c r="B17" s="29"/>
      <c r="C17" s="29"/>
      <c r="D17" s="29"/>
      <c r="E17" s="29"/>
      <c r="F17" s="29"/>
      <c r="G17" s="29"/>
      <c r="H17" s="29"/>
      <c r="I17" s="29"/>
    </row>
    <row r="18">
      <c r="A18" s="29"/>
      <c r="B18" s="29"/>
      <c r="C18" s="29"/>
      <c r="D18" s="29"/>
      <c r="E18" s="29"/>
      <c r="F18" s="29"/>
      <c r="G18" s="29"/>
      <c r="H18" s="29"/>
      <c r="I18" s="29"/>
    </row>
    <row r="19">
      <c r="A19" s="29"/>
      <c r="B19" s="29"/>
      <c r="C19" s="29"/>
      <c r="D19" s="29"/>
      <c r="E19" s="29"/>
      <c r="F19" s="29"/>
      <c r="G19" s="29"/>
      <c r="H19" s="29"/>
      <c r="I19" s="29"/>
    </row>
    <row r="20">
      <c r="A20" s="29"/>
      <c r="B20" s="29"/>
      <c r="C20" s="29"/>
      <c r="D20" s="29"/>
      <c r="E20" s="29"/>
      <c r="F20" s="29"/>
      <c r="G20" s="29"/>
      <c r="H20" s="29"/>
      <c r="I20" s="29"/>
    </row>
    <row r="21">
      <c r="A21" s="29"/>
      <c r="B21" s="29"/>
      <c r="C21" s="29"/>
      <c r="D21" s="29"/>
      <c r="E21" s="29"/>
      <c r="F21" s="29"/>
      <c r="G21" s="29"/>
      <c r="H21" s="29"/>
      <c r="I21" s="29"/>
    </row>
    <row r="22">
      <c r="A22" s="29"/>
      <c r="B22" s="29"/>
      <c r="C22" s="29"/>
      <c r="D22" s="29"/>
      <c r="E22" s="29"/>
      <c r="F22" s="29"/>
      <c r="G22" s="29"/>
      <c r="H22" s="29"/>
      <c r="I22" s="29"/>
    </row>
    <row r="23">
      <c r="A23" s="29"/>
      <c r="B23" s="29"/>
      <c r="C23" s="29"/>
      <c r="D23" s="29"/>
      <c r="E23" s="29"/>
      <c r="F23" s="29"/>
      <c r="G23" s="29"/>
      <c r="H23" s="29"/>
      <c r="I23" s="29"/>
    </row>
    <row r="24">
      <c r="A24" s="29"/>
      <c r="B24" s="29"/>
      <c r="C24" s="29"/>
      <c r="D24" s="29"/>
      <c r="E24" s="29"/>
      <c r="F24" s="29"/>
      <c r="G24" s="29"/>
      <c r="H24" s="29"/>
      <c r="I24" s="29"/>
    </row>
    <row r="25">
      <c r="A25" s="29"/>
      <c r="B25" s="29"/>
      <c r="C25" s="29"/>
      <c r="D25" s="29"/>
      <c r="E25" s="29"/>
      <c r="F25" s="29"/>
      <c r="G25" s="29"/>
      <c r="H25" s="29"/>
      <c r="I25" s="29"/>
    </row>
    <row r="26">
      <c r="A26" s="29"/>
      <c r="B26" s="29"/>
      <c r="C26" s="29"/>
      <c r="D26" s="29"/>
      <c r="E26" s="29"/>
      <c r="F26" s="29"/>
      <c r="G26" s="29"/>
      <c r="H26" s="29"/>
      <c r="I26" s="29"/>
    </row>
    <row r="27">
      <c r="A27" s="29"/>
      <c r="B27" s="29"/>
      <c r="C27" s="29"/>
      <c r="D27" s="29"/>
      <c r="E27" s="29"/>
      <c r="F27" s="29"/>
      <c r="G27" s="29"/>
      <c r="H27" s="29"/>
      <c r="I27" s="29"/>
    </row>
    <row r="28">
      <c r="A28" s="29"/>
      <c r="B28" s="29"/>
      <c r="C28" s="29"/>
      <c r="D28" s="29"/>
      <c r="E28" s="29"/>
      <c r="F28" s="29"/>
      <c r="G28" s="29"/>
      <c r="H28" s="29"/>
      <c r="I28" s="29"/>
    </row>
    <row r="29">
      <c r="A29" s="29"/>
      <c r="B29" s="29"/>
      <c r="C29" s="29"/>
      <c r="D29" s="29"/>
      <c r="E29" s="29"/>
      <c r="F29" s="29"/>
      <c r="G29" s="29"/>
      <c r="H29" s="29"/>
      <c r="I29" s="29"/>
    </row>
    <row r="30">
      <c r="A30" s="29"/>
      <c r="B30" s="29"/>
      <c r="C30" s="29"/>
      <c r="D30" s="29"/>
      <c r="E30" s="29"/>
      <c r="F30" s="29"/>
      <c r="G30" s="29"/>
      <c r="H30" s="29"/>
      <c r="I30" s="29"/>
    </row>
    <row r="31">
      <c r="A31" s="29"/>
      <c r="B31" s="29"/>
      <c r="C31" s="29"/>
      <c r="D31" s="29"/>
      <c r="E31" s="29"/>
      <c r="F31" s="29"/>
      <c r="G31" s="29"/>
      <c r="H31" s="29"/>
      <c r="I31" s="29"/>
    </row>
    <row r="32">
      <c r="A32" s="29"/>
      <c r="B32" s="29"/>
      <c r="C32" s="29"/>
      <c r="D32" s="29"/>
      <c r="E32" s="29"/>
      <c r="F32" s="29"/>
      <c r="G32" s="29"/>
      <c r="H32" s="29"/>
      <c r="I32" s="29"/>
    </row>
    <row r="33">
      <c r="A33" s="29"/>
      <c r="B33" s="29"/>
      <c r="C33" s="29"/>
      <c r="D33" s="29"/>
      <c r="E33" s="29"/>
      <c r="F33" s="29"/>
      <c r="G33" s="29"/>
      <c r="H33" s="29"/>
      <c r="I33" s="29"/>
    </row>
    <row r="34">
      <c r="A34" s="29"/>
      <c r="B34" s="29"/>
      <c r="C34" s="29"/>
      <c r="D34" s="29"/>
      <c r="E34" s="29"/>
      <c r="F34" s="29"/>
      <c r="G34" s="29"/>
      <c r="H34" s="29"/>
      <c r="I34" s="29"/>
    </row>
    <row r="35">
      <c r="A35" s="29"/>
      <c r="B35" s="29"/>
      <c r="C35" s="29"/>
      <c r="D35" s="29"/>
      <c r="E35" s="29"/>
      <c r="F35" s="29"/>
      <c r="G35" s="29"/>
      <c r="H35" s="29"/>
      <c r="I35" s="29"/>
    </row>
    <row r="36">
      <c r="A36" s="29"/>
      <c r="B36" s="29"/>
      <c r="C36" s="29"/>
      <c r="D36" s="29"/>
      <c r="E36" s="29"/>
      <c r="F36" s="29"/>
      <c r="G36" s="29"/>
      <c r="H36" s="29"/>
      <c r="I36" s="29"/>
    </row>
    <row r="37">
      <c r="A37" s="29"/>
      <c r="B37" s="29"/>
      <c r="C37" s="29"/>
      <c r="D37" s="29"/>
      <c r="E37" s="29"/>
      <c r="F37" s="29"/>
      <c r="G37" s="29"/>
      <c r="H37" s="29"/>
      <c r="I37" s="29"/>
    </row>
    <row r="38">
      <c r="A38" s="29"/>
      <c r="B38" s="29"/>
      <c r="C38" s="29"/>
      <c r="D38" s="29"/>
      <c r="E38" s="29"/>
      <c r="F38" s="29"/>
      <c r="G38" s="29"/>
      <c r="H38" s="29"/>
      <c r="I38" s="29"/>
    </row>
    <row r="39">
      <c r="A39" s="29"/>
      <c r="B39" s="29"/>
      <c r="C39" s="29"/>
      <c r="D39" s="29"/>
      <c r="E39" s="29"/>
      <c r="F39" s="29"/>
      <c r="G39" s="29"/>
      <c r="H39" s="29"/>
      <c r="I39" s="29"/>
    </row>
    <row r="40">
      <c r="A40" s="29"/>
      <c r="B40" s="29"/>
      <c r="C40" s="29"/>
      <c r="D40" s="29"/>
      <c r="E40" s="29"/>
      <c r="F40" s="29"/>
      <c r="G40" s="29"/>
      <c r="H40" s="29"/>
      <c r="I40" s="29"/>
    </row>
    <row r="41">
      <c r="A41" s="29"/>
      <c r="B41" s="29"/>
      <c r="C41" s="29"/>
      <c r="D41" s="29"/>
      <c r="E41" s="29"/>
      <c r="F41" s="29"/>
      <c r="G41" s="29"/>
      <c r="H41" s="29"/>
      <c r="I41" s="29"/>
    </row>
    <row r="42">
      <c r="A42" s="29"/>
      <c r="B42" s="29"/>
      <c r="C42" s="29"/>
      <c r="D42" s="29"/>
      <c r="E42" s="29"/>
      <c r="F42" s="29"/>
      <c r="G42" s="29"/>
      <c r="H42" s="29"/>
      <c r="I42" s="29"/>
    </row>
    <row r="43">
      <c r="A43" s="29"/>
      <c r="B43" s="29"/>
      <c r="C43" s="29"/>
      <c r="D43" s="29"/>
      <c r="E43" s="29"/>
      <c r="F43" s="29"/>
      <c r="G43" s="29"/>
      <c r="H43" s="29"/>
      <c r="I43" s="29"/>
    </row>
    <row r="44">
      <c r="A44" s="29"/>
      <c r="B44" s="29"/>
      <c r="C44" s="29"/>
      <c r="D44" s="29"/>
      <c r="E44" s="29"/>
      <c r="F44" s="29"/>
      <c r="G44" s="29"/>
      <c r="H44" s="29"/>
      <c r="I44" s="29"/>
    </row>
    <row r="45">
      <c r="A45" s="29"/>
      <c r="B45" s="29"/>
      <c r="C45" s="29"/>
      <c r="D45" s="29"/>
      <c r="E45" s="29"/>
      <c r="F45" s="29"/>
      <c r="G45" s="29"/>
      <c r="H45" s="29"/>
      <c r="I45" s="29"/>
    </row>
    <row r="46">
      <c r="A46" s="29"/>
      <c r="B46" s="29"/>
      <c r="C46" s="29"/>
      <c r="D46" s="29"/>
      <c r="E46" s="29"/>
      <c r="F46" s="29"/>
      <c r="G46" s="29"/>
      <c r="H46" s="29"/>
      <c r="I46" s="29"/>
    </row>
    <row r="47">
      <c r="A47" s="29"/>
      <c r="B47" s="29"/>
      <c r="C47" s="29"/>
      <c r="D47" s="29"/>
      <c r="E47" s="29"/>
      <c r="F47" s="29"/>
      <c r="G47" s="29"/>
      <c r="H47" s="29"/>
      <c r="I47" s="29"/>
    </row>
    <row r="48">
      <c r="A48" s="29"/>
      <c r="B48" s="29"/>
      <c r="C48" s="29"/>
      <c r="D48" s="29"/>
      <c r="E48" s="29"/>
      <c r="F48" s="29"/>
      <c r="G48" s="29"/>
      <c r="H48" s="29"/>
      <c r="I48" s="29"/>
    </row>
    <row r="49">
      <c r="A49" s="29"/>
      <c r="B49" s="29"/>
      <c r="C49" s="29"/>
      <c r="D49" s="29"/>
      <c r="E49" s="29"/>
      <c r="F49" s="29"/>
      <c r="G49" s="29"/>
      <c r="H49" s="29"/>
      <c r="I49" s="29"/>
    </row>
    <row r="50">
      <c r="A50" s="29"/>
      <c r="B50" s="29"/>
      <c r="C50" s="29"/>
      <c r="D50" s="29"/>
      <c r="E50" s="29"/>
      <c r="F50" s="29"/>
      <c r="G50" s="29"/>
      <c r="H50" s="29"/>
      <c r="I50" s="29"/>
    </row>
    <row r="51">
      <c r="A51" s="29"/>
      <c r="B51" s="29"/>
      <c r="C51" s="29"/>
      <c r="D51" s="29"/>
      <c r="E51" s="29"/>
      <c r="F51" s="29"/>
      <c r="G51" s="29"/>
      <c r="H51" s="29"/>
      <c r="I51" s="29"/>
    </row>
    <row r="52">
      <c r="A52" s="29"/>
      <c r="B52" s="29"/>
      <c r="C52" s="29"/>
      <c r="D52" s="29"/>
      <c r="E52" s="29"/>
      <c r="F52" s="29"/>
      <c r="G52" s="29"/>
      <c r="H52" s="29"/>
      <c r="I52" s="29"/>
    </row>
    <row r="53">
      <c r="A53" s="29"/>
      <c r="B53" s="29"/>
      <c r="C53" s="29"/>
      <c r="D53" s="29"/>
      <c r="E53" s="29"/>
      <c r="F53" s="29"/>
      <c r="G53" s="29"/>
      <c r="H53" s="29"/>
      <c r="I53" s="29"/>
    </row>
    <row r="54">
      <c r="A54" s="29"/>
      <c r="B54" s="29"/>
      <c r="C54" s="29"/>
      <c r="D54" s="29"/>
      <c r="E54" s="29"/>
      <c r="F54" s="29"/>
      <c r="G54" s="29"/>
      <c r="H54" s="29"/>
      <c r="I54" s="29"/>
    </row>
    <row r="55">
      <c r="A55" s="29"/>
      <c r="B55" s="29"/>
      <c r="C55" s="29"/>
      <c r="D55" s="29"/>
      <c r="E55" s="29"/>
      <c r="F55" s="29"/>
      <c r="G55" s="29"/>
      <c r="H55" s="29"/>
      <c r="I55" s="29"/>
    </row>
    <row r="56">
      <c r="A56" s="29"/>
      <c r="B56" s="29"/>
      <c r="C56" s="29"/>
      <c r="D56" s="29"/>
      <c r="E56" s="29"/>
      <c r="F56" s="29"/>
      <c r="G56" s="29"/>
      <c r="H56" s="29"/>
      <c r="I56" s="29"/>
    </row>
    <row r="57">
      <c r="A57" s="29"/>
      <c r="B57" s="29"/>
      <c r="C57" s="29"/>
      <c r="D57" s="29"/>
      <c r="E57" s="29"/>
      <c r="F57" s="29"/>
      <c r="G57" s="29"/>
      <c r="H57" s="29"/>
      <c r="I57" s="29"/>
    </row>
    <row r="58">
      <c r="A58" s="29"/>
      <c r="B58" s="29"/>
      <c r="C58" s="29"/>
      <c r="D58" s="29"/>
      <c r="E58" s="29"/>
      <c r="F58" s="29"/>
      <c r="G58" s="29"/>
      <c r="H58" s="29"/>
      <c r="I58" s="29"/>
    </row>
    <row r="59">
      <c r="A59" s="29"/>
      <c r="B59" s="29"/>
      <c r="C59" s="29"/>
      <c r="D59" s="29"/>
      <c r="E59" s="29"/>
      <c r="F59" s="29"/>
      <c r="G59" s="29"/>
      <c r="H59" s="29"/>
      <c r="I59" s="29"/>
    </row>
    <row r="60">
      <c r="A60" s="29"/>
      <c r="B60" s="29"/>
      <c r="C60" s="29"/>
      <c r="D60" s="29"/>
      <c r="E60" s="29"/>
      <c r="F60" s="29"/>
      <c r="G60" s="29"/>
      <c r="H60" s="29"/>
      <c r="I60" s="29"/>
    </row>
    <row r="61">
      <c r="A61" s="29"/>
      <c r="B61" s="29"/>
      <c r="C61" s="29"/>
      <c r="D61" s="29"/>
      <c r="E61" s="29"/>
      <c r="F61" s="29"/>
      <c r="G61" s="29"/>
      <c r="H61" s="29"/>
      <c r="I61" s="29"/>
    </row>
    <row r="62">
      <c r="A62" s="29"/>
      <c r="B62" s="29"/>
      <c r="C62" s="29"/>
      <c r="D62" s="29"/>
      <c r="E62" s="29"/>
      <c r="F62" s="29"/>
      <c r="G62" s="29"/>
      <c r="H62" s="29"/>
      <c r="I62" s="29"/>
    </row>
    <row r="63">
      <c r="A63" s="29"/>
      <c r="B63" s="29"/>
      <c r="C63" s="29"/>
      <c r="D63" s="29"/>
      <c r="E63" s="29"/>
      <c r="F63" s="29"/>
      <c r="G63" s="29"/>
      <c r="H63" s="29"/>
      <c r="I63" s="29"/>
    </row>
    <row r="64">
      <c r="A64" s="29"/>
      <c r="B64" s="29"/>
      <c r="C64" s="29"/>
      <c r="D64" s="29"/>
      <c r="E64" s="29"/>
      <c r="F64" s="29"/>
      <c r="G64" s="29"/>
      <c r="H64" s="29"/>
      <c r="I64" s="29"/>
    </row>
    <row r="65">
      <c r="A65" s="29"/>
      <c r="B65" s="29"/>
      <c r="C65" s="29"/>
      <c r="D65" s="29"/>
      <c r="E65" s="29"/>
      <c r="F65" s="29"/>
      <c r="G65" s="29"/>
      <c r="H65" s="29"/>
      <c r="I65" s="29"/>
    </row>
    <row r="66">
      <c r="A66" s="29"/>
      <c r="B66" s="29"/>
      <c r="C66" s="29"/>
      <c r="D66" s="29"/>
      <c r="E66" s="29"/>
      <c r="F66" s="29"/>
      <c r="G66" s="29"/>
      <c r="H66" s="29"/>
      <c r="I66" s="29"/>
    </row>
    <row r="67">
      <c r="A67" s="29"/>
      <c r="B67" s="29"/>
      <c r="C67" s="29"/>
      <c r="D67" s="29"/>
      <c r="E67" s="29"/>
      <c r="F67" s="29"/>
      <c r="G67" s="29"/>
      <c r="H67" s="29"/>
      <c r="I67" s="29"/>
    </row>
    <row r="68">
      <c r="A68" s="29"/>
      <c r="B68" s="29"/>
      <c r="C68" s="29"/>
      <c r="D68" s="29"/>
      <c r="E68" s="29"/>
      <c r="F68" s="29"/>
      <c r="G68" s="29"/>
      <c r="H68" s="29"/>
      <c r="I68" s="29"/>
    </row>
    <row r="69">
      <c r="A69" s="29"/>
      <c r="B69" s="29"/>
      <c r="C69" s="29"/>
      <c r="D69" s="29"/>
      <c r="E69" s="29"/>
      <c r="F69" s="29"/>
      <c r="G69" s="29"/>
      <c r="H69" s="29"/>
      <c r="I69" s="29"/>
    </row>
    <row r="70">
      <c r="A70" s="29"/>
      <c r="B70" s="29"/>
      <c r="C70" s="29"/>
      <c r="D70" s="29"/>
      <c r="E70" s="29"/>
      <c r="F70" s="29"/>
      <c r="G70" s="29"/>
      <c r="H70" s="29"/>
      <c r="I70" s="29"/>
    </row>
    <row r="71">
      <c r="A71" s="29"/>
      <c r="B71" s="29"/>
      <c r="C71" s="29"/>
      <c r="D71" s="29"/>
      <c r="E71" s="29"/>
      <c r="F71" s="29"/>
      <c r="G71" s="29"/>
      <c r="H71" s="29"/>
      <c r="I71" s="29"/>
    </row>
    <row r="72">
      <c r="A72" s="29"/>
      <c r="B72" s="29"/>
      <c r="C72" s="29"/>
      <c r="D72" s="29"/>
      <c r="E72" s="29"/>
      <c r="F72" s="29"/>
      <c r="G72" s="29"/>
      <c r="H72" s="29"/>
      <c r="I72" s="29"/>
    </row>
    <row r="73">
      <c r="A73" s="29"/>
      <c r="B73" s="29"/>
      <c r="C73" s="29"/>
      <c r="D73" s="29"/>
      <c r="E73" s="29"/>
      <c r="F73" s="29"/>
      <c r="G73" s="29"/>
      <c r="H73" s="29"/>
      <c r="I73" s="29"/>
    </row>
    <row r="74">
      <c r="A74" s="29"/>
      <c r="B74" s="29"/>
      <c r="C74" s="29"/>
      <c r="D74" s="29"/>
      <c r="E74" s="29"/>
      <c r="F74" s="29"/>
      <c r="G74" s="29"/>
      <c r="H74" s="29"/>
      <c r="I74" s="29"/>
    </row>
    <row r="75">
      <c r="A75" s="29"/>
      <c r="B75" s="29"/>
      <c r="C75" s="29"/>
      <c r="D75" s="29"/>
      <c r="E75" s="29"/>
      <c r="F75" s="29"/>
      <c r="G75" s="29"/>
      <c r="H75" s="29"/>
      <c r="I75" s="29"/>
    </row>
    <row r="76">
      <c r="A76" s="29"/>
      <c r="B76" s="29"/>
      <c r="C76" s="29"/>
      <c r="D76" s="29"/>
      <c r="E76" s="29"/>
      <c r="F76" s="29"/>
      <c r="G76" s="29"/>
      <c r="H76" s="29"/>
      <c r="I76" s="29"/>
    </row>
    <row r="77">
      <c r="A77" s="29"/>
      <c r="B77" s="29"/>
      <c r="C77" s="29"/>
      <c r="D77" s="29"/>
      <c r="E77" s="29"/>
      <c r="F77" s="29"/>
      <c r="G77" s="29"/>
      <c r="H77" s="29"/>
      <c r="I77" s="29"/>
    </row>
    <row r="78">
      <c r="A78" s="29"/>
      <c r="B78" s="29"/>
      <c r="C78" s="29"/>
      <c r="D78" s="29"/>
      <c r="E78" s="29"/>
      <c r="F78" s="29"/>
      <c r="G78" s="29"/>
      <c r="H78" s="29"/>
      <c r="I78" s="29"/>
    </row>
    <row r="79">
      <c r="A79" s="29"/>
      <c r="B79" s="29"/>
      <c r="C79" s="29"/>
      <c r="D79" s="29"/>
      <c r="E79" s="29"/>
      <c r="F79" s="29"/>
      <c r="G79" s="29"/>
      <c r="H79" s="29"/>
      <c r="I79" s="29"/>
    </row>
    <row r="80">
      <c r="A80" s="29"/>
      <c r="B80" s="29"/>
      <c r="C80" s="29"/>
      <c r="D80" s="29"/>
      <c r="E80" s="29"/>
      <c r="F80" s="29"/>
      <c r="G80" s="29"/>
      <c r="H80" s="29"/>
      <c r="I80" s="29"/>
    </row>
    <row r="81">
      <c r="A81" s="29"/>
      <c r="B81" s="29"/>
      <c r="C81" s="29"/>
      <c r="D81" s="29"/>
      <c r="E81" s="29"/>
      <c r="F81" s="29"/>
      <c r="G81" s="29"/>
      <c r="H81" s="29"/>
      <c r="I81" s="29"/>
    </row>
    <row r="82">
      <c r="A82" s="29"/>
      <c r="B82" s="29"/>
      <c r="C82" s="29"/>
      <c r="D82" s="29"/>
      <c r="E82" s="29"/>
      <c r="F82" s="29"/>
      <c r="G82" s="29"/>
      <c r="H82" s="29"/>
      <c r="I82" s="29"/>
    </row>
    <row r="83">
      <c r="A83" s="29"/>
      <c r="B83" s="29"/>
      <c r="C83" s="29"/>
      <c r="D83" s="29"/>
      <c r="E83" s="29"/>
      <c r="F83" s="29"/>
      <c r="G83" s="29"/>
      <c r="H83" s="29"/>
      <c r="I83" s="29"/>
    </row>
    <row r="84">
      <c r="A84" s="29"/>
      <c r="B84" s="29"/>
      <c r="C84" s="29"/>
      <c r="D84" s="29"/>
      <c r="E84" s="29"/>
      <c r="F84" s="29"/>
      <c r="G84" s="29"/>
      <c r="H84" s="29"/>
      <c r="I84" s="29"/>
    </row>
    <row r="85">
      <c r="A85" s="29"/>
      <c r="B85" s="29"/>
      <c r="C85" s="29"/>
      <c r="D85" s="29"/>
      <c r="E85" s="29"/>
      <c r="F85" s="29"/>
      <c r="G85" s="29"/>
      <c r="H85" s="29"/>
      <c r="I85" s="29"/>
    </row>
    <row r="86">
      <c r="A86" s="29"/>
      <c r="B86" s="29"/>
      <c r="C86" s="29"/>
      <c r="D86" s="29"/>
      <c r="E86" s="29"/>
      <c r="F86" s="29"/>
      <c r="G86" s="29"/>
      <c r="H86" s="29"/>
      <c r="I86" s="29"/>
    </row>
    <row r="87">
      <c r="A87" s="29"/>
      <c r="B87" s="29"/>
      <c r="C87" s="29"/>
      <c r="D87" s="29"/>
      <c r="E87" s="29"/>
      <c r="F87" s="29"/>
      <c r="G87" s="29"/>
      <c r="H87" s="29"/>
      <c r="I87" s="29"/>
    </row>
    <row r="88">
      <c r="A88" s="29"/>
      <c r="B88" s="29"/>
      <c r="C88" s="29"/>
      <c r="D88" s="29"/>
      <c r="E88" s="29"/>
      <c r="F88" s="29"/>
      <c r="G88" s="29"/>
      <c r="H88" s="29"/>
      <c r="I88" s="29"/>
    </row>
    <row r="89">
      <c r="A89" s="29"/>
      <c r="B89" s="29"/>
      <c r="C89" s="29"/>
      <c r="D89" s="29"/>
      <c r="E89" s="29"/>
      <c r="F89" s="29"/>
      <c r="G89" s="29"/>
      <c r="H89" s="29"/>
      <c r="I89" s="29"/>
    </row>
    <row r="90">
      <c r="A90" s="29"/>
      <c r="B90" s="29"/>
      <c r="C90" s="29"/>
      <c r="D90" s="29"/>
      <c r="E90" s="29"/>
      <c r="F90" s="29"/>
      <c r="G90" s="29"/>
      <c r="H90" s="29"/>
      <c r="I90" s="29"/>
    </row>
    <row r="91">
      <c r="A91" s="29"/>
      <c r="B91" s="29"/>
      <c r="C91" s="29"/>
      <c r="D91" s="29"/>
      <c r="E91" s="29"/>
      <c r="F91" s="29"/>
      <c r="G91" s="29"/>
      <c r="H91" s="29"/>
      <c r="I91" s="29"/>
    </row>
    <row r="92">
      <c r="A92" s="29"/>
      <c r="B92" s="29"/>
      <c r="C92" s="29"/>
      <c r="D92" s="29"/>
      <c r="E92" s="29"/>
      <c r="F92" s="29"/>
      <c r="G92" s="29"/>
      <c r="H92" s="29"/>
      <c r="I92" s="29"/>
    </row>
    <row r="93">
      <c r="A93" s="29"/>
      <c r="B93" s="29"/>
      <c r="C93" s="29"/>
      <c r="D93" s="29"/>
      <c r="E93" s="29"/>
      <c r="F93" s="29"/>
      <c r="G93" s="29"/>
      <c r="H93" s="29"/>
      <c r="I93" s="29"/>
    </row>
    <row r="94">
      <c r="A94" s="29"/>
      <c r="B94" s="29"/>
      <c r="C94" s="29"/>
      <c r="D94" s="29"/>
      <c r="E94" s="29"/>
      <c r="F94" s="29"/>
      <c r="G94" s="29"/>
      <c r="H94" s="29"/>
      <c r="I94" s="29"/>
    </row>
    <row r="95">
      <c r="A95" s="29"/>
      <c r="B95" s="29"/>
      <c r="C95" s="29"/>
      <c r="D95" s="29"/>
      <c r="E95" s="29"/>
      <c r="F95" s="29"/>
      <c r="G95" s="29"/>
      <c r="H95" s="29"/>
      <c r="I95" s="29"/>
    </row>
    <row r="96">
      <c r="A96" s="29"/>
      <c r="B96" s="29"/>
      <c r="C96" s="29"/>
      <c r="D96" s="29"/>
      <c r="E96" s="29"/>
      <c r="F96" s="29"/>
      <c r="G96" s="29"/>
      <c r="H96" s="29"/>
      <c r="I96" s="29"/>
    </row>
    <row r="97">
      <c r="A97" s="29"/>
      <c r="B97" s="29"/>
      <c r="C97" s="29"/>
      <c r="D97" s="29"/>
      <c r="E97" s="29"/>
      <c r="F97" s="29"/>
      <c r="G97" s="29"/>
      <c r="H97" s="29"/>
      <c r="I97" s="29"/>
    </row>
    <row r="98">
      <c r="A98" s="29"/>
      <c r="B98" s="29"/>
      <c r="C98" s="29"/>
      <c r="D98" s="29"/>
      <c r="E98" s="29"/>
      <c r="F98" s="29"/>
      <c r="G98" s="29"/>
      <c r="H98" s="29"/>
      <c r="I98" s="29"/>
    </row>
    <row r="99">
      <c r="A99" s="29"/>
      <c r="B99" s="29"/>
      <c r="C99" s="29"/>
      <c r="D99" s="29"/>
      <c r="E99" s="29"/>
      <c r="F99" s="29"/>
      <c r="G99" s="29"/>
      <c r="H99" s="29"/>
      <c r="I99" s="29"/>
    </row>
    <row r="100">
      <c r="A100" s="29"/>
      <c r="B100" s="29"/>
      <c r="C100" s="29"/>
      <c r="D100" s="29"/>
      <c r="E100" s="29"/>
      <c r="F100" s="29"/>
      <c r="G100" s="29"/>
      <c r="H100" s="29"/>
      <c r="I100" s="29"/>
    </row>
    <row r="101">
      <c r="A101" s="29"/>
      <c r="B101" s="29"/>
      <c r="C101" s="29"/>
      <c r="D101" s="29"/>
      <c r="E101" s="29"/>
      <c r="F101" s="29"/>
      <c r="G101" s="29"/>
      <c r="H101" s="29"/>
      <c r="I101" s="29"/>
    </row>
    <row r="102">
      <c r="A102" s="29"/>
      <c r="B102" s="29"/>
      <c r="C102" s="29"/>
      <c r="D102" s="29"/>
      <c r="E102" s="29"/>
      <c r="F102" s="29"/>
      <c r="G102" s="29"/>
      <c r="H102" s="29"/>
      <c r="I102" s="29"/>
    </row>
    <row r="103">
      <c r="A103" s="29"/>
      <c r="B103" s="29"/>
      <c r="C103" s="29"/>
      <c r="D103" s="29"/>
      <c r="E103" s="29"/>
      <c r="F103" s="29"/>
      <c r="G103" s="29"/>
      <c r="H103" s="29"/>
      <c r="I103" s="29"/>
    </row>
    <row r="104">
      <c r="A104" s="29"/>
      <c r="B104" s="29"/>
      <c r="C104" s="29"/>
      <c r="D104" s="29"/>
      <c r="E104" s="29"/>
      <c r="F104" s="29"/>
      <c r="G104" s="29"/>
      <c r="H104" s="29"/>
      <c r="I104" s="29"/>
    </row>
    <row r="105">
      <c r="A105" s="29"/>
      <c r="B105" s="29"/>
      <c r="C105" s="29"/>
      <c r="D105" s="29"/>
      <c r="E105" s="29"/>
      <c r="F105" s="29"/>
      <c r="G105" s="29"/>
      <c r="H105" s="29"/>
      <c r="I105" s="29"/>
    </row>
    <row r="106">
      <c r="A106" s="29"/>
      <c r="B106" s="29"/>
      <c r="C106" s="29"/>
      <c r="D106" s="29"/>
      <c r="E106" s="29"/>
      <c r="F106" s="29"/>
      <c r="G106" s="29"/>
      <c r="H106" s="29"/>
      <c r="I106" s="29"/>
    </row>
    <row r="107">
      <c r="A107" s="29"/>
      <c r="B107" s="29"/>
      <c r="C107" s="29"/>
      <c r="D107" s="29"/>
      <c r="E107" s="29"/>
      <c r="F107" s="29"/>
      <c r="G107" s="29"/>
      <c r="H107" s="29"/>
      <c r="I107" s="29"/>
    </row>
    <row r="108">
      <c r="A108" s="29"/>
      <c r="B108" s="29"/>
      <c r="C108" s="29"/>
      <c r="D108" s="29"/>
      <c r="E108" s="29"/>
      <c r="F108" s="29"/>
      <c r="G108" s="29"/>
      <c r="H108" s="29"/>
      <c r="I108" s="29"/>
    </row>
    <row r="109">
      <c r="A109" s="29"/>
      <c r="B109" s="29"/>
      <c r="C109" s="29"/>
      <c r="D109" s="29"/>
      <c r="E109" s="29"/>
      <c r="F109" s="29"/>
      <c r="G109" s="29"/>
      <c r="H109" s="29"/>
      <c r="I109" s="29"/>
    </row>
    <row r="110">
      <c r="A110" s="29"/>
      <c r="B110" s="29"/>
      <c r="C110" s="29"/>
      <c r="D110" s="29"/>
      <c r="E110" s="29"/>
      <c r="F110" s="29"/>
      <c r="G110" s="29"/>
      <c r="H110" s="29"/>
      <c r="I110" s="29"/>
    </row>
    <row r="111">
      <c r="A111" s="29"/>
      <c r="B111" s="29"/>
      <c r="C111" s="29"/>
      <c r="D111" s="29"/>
      <c r="E111" s="29"/>
      <c r="F111" s="29"/>
      <c r="G111" s="29"/>
      <c r="H111" s="29"/>
      <c r="I111" s="29"/>
    </row>
    <row r="112">
      <c r="A112" s="29"/>
      <c r="B112" s="29"/>
      <c r="C112" s="29"/>
      <c r="D112" s="29"/>
      <c r="E112" s="29"/>
      <c r="F112" s="29"/>
      <c r="G112" s="29"/>
      <c r="H112" s="29"/>
      <c r="I112" s="29"/>
    </row>
    <row r="113">
      <c r="A113" s="29"/>
      <c r="B113" s="29"/>
      <c r="C113" s="29"/>
      <c r="D113" s="29"/>
      <c r="E113" s="29"/>
      <c r="F113" s="29"/>
      <c r="G113" s="29"/>
      <c r="H113" s="29"/>
      <c r="I113" s="29"/>
    </row>
    <row r="114">
      <c r="A114" s="29"/>
      <c r="B114" s="29"/>
      <c r="C114" s="29"/>
      <c r="D114" s="29"/>
      <c r="E114" s="29"/>
      <c r="F114" s="29"/>
      <c r="G114" s="29"/>
      <c r="H114" s="29"/>
      <c r="I114" s="29"/>
    </row>
    <row r="115">
      <c r="A115" s="29"/>
      <c r="B115" s="29"/>
      <c r="C115" s="29"/>
      <c r="D115" s="29"/>
      <c r="E115" s="29"/>
      <c r="F115" s="29"/>
      <c r="G115" s="29"/>
      <c r="H115" s="29"/>
      <c r="I115" s="29"/>
    </row>
    <row r="116">
      <c r="A116" s="29"/>
      <c r="B116" s="29"/>
      <c r="C116" s="29"/>
      <c r="D116" s="29"/>
      <c r="E116" s="29"/>
      <c r="F116" s="29"/>
      <c r="G116" s="29"/>
      <c r="H116" s="29"/>
      <c r="I116" s="29"/>
    </row>
    <row r="117">
      <c r="A117" s="29"/>
      <c r="B117" s="29"/>
      <c r="C117" s="29"/>
      <c r="D117" s="29"/>
      <c r="E117" s="29"/>
      <c r="F117" s="29"/>
      <c r="G117" s="29"/>
      <c r="H117" s="29"/>
      <c r="I117" s="29"/>
    </row>
    <row r="118">
      <c r="A118" s="29"/>
      <c r="B118" s="29"/>
      <c r="C118" s="29"/>
      <c r="D118" s="29"/>
      <c r="E118" s="29"/>
      <c r="F118" s="29"/>
      <c r="G118" s="29"/>
      <c r="H118" s="29"/>
      <c r="I118" s="29"/>
    </row>
    <row r="119">
      <c r="A119" s="29"/>
      <c r="B119" s="29"/>
      <c r="C119" s="29"/>
      <c r="D119" s="29"/>
      <c r="E119" s="29"/>
      <c r="F119" s="29"/>
      <c r="G119" s="29"/>
      <c r="H119" s="29"/>
      <c r="I119" s="29"/>
    </row>
    <row r="120">
      <c r="A120" s="29"/>
      <c r="B120" s="29"/>
      <c r="C120" s="29"/>
      <c r="D120" s="29"/>
      <c r="E120" s="29"/>
      <c r="F120" s="29"/>
      <c r="G120" s="29"/>
      <c r="H120" s="29"/>
      <c r="I120" s="29"/>
    </row>
    <row r="121">
      <c r="A121" s="29"/>
      <c r="B121" s="29"/>
      <c r="C121" s="29"/>
      <c r="D121" s="29"/>
      <c r="E121" s="29"/>
      <c r="F121" s="29"/>
      <c r="G121" s="29"/>
      <c r="H121" s="29"/>
      <c r="I121" s="29"/>
    </row>
    <row r="122">
      <c r="A122" s="29"/>
      <c r="B122" s="29"/>
      <c r="C122" s="29"/>
      <c r="D122" s="29"/>
      <c r="E122" s="29"/>
      <c r="F122" s="29"/>
      <c r="G122" s="29"/>
      <c r="H122" s="29"/>
      <c r="I122" s="29"/>
    </row>
    <row r="123">
      <c r="A123" s="29"/>
      <c r="B123" s="29"/>
      <c r="C123" s="29"/>
      <c r="D123" s="29"/>
      <c r="E123" s="29"/>
      <c r="F123" s="29"/>
      <c r="G123" s="29"/>
      <c r="H123" s="29"/>
      <c r="I123" s="29"/>
    </row>
    <row r="124">
      <c r="A124" s="29"/>
      <c r="B124" s="29"/>
      <c r="C124" s="29"/>
      <c r="D124" s="29"/>
      <c r="E124" s="29"/>
      <c r="F124" s="29"/>
      <c r="G124" s="29"/>
      <c r="H124" s="29"/>
      <c r="I124" s="29"/>
    </row>
    <row r="125">
      <c r="A125" s="29"/>
      <c r="B125" s="29"/>
      <c r="C125" s="29"/>
      <c r="D125" s="29"/>
      <c r="E125" s="29"/>
      <c r="F125" s="29"/>
      <c r="G125" s="29"/>
      <c r="H125" s="29"/>
      <c r="I125" s="29"/>
    </row>
    <row r="126">
      <c r="A126" s="29"/>
      <c r="B126" s="29"/>
      <c r="C126" s="29"/>
      <c r="D126" s="29"/>
      <c r="E126" s="29"/>
      <c r="F126" s="29"/>
      <c r="G126" s="29"/>
      <c r="H126" s="29"/>
      <c r="I126" s="29"/>
    </row>
    <row r="127">
      <c r="A127" s="29"/>
      <c r="B127" s="29"/>
      <c r="C127" s="29"/>
      <c r="D127" s="29"/>
      <c r="E127" s="29"/>
      <c r="F127" s="29"/>
      <c r="G127" s="29"/>
      <c r="H127" s="29"/>
      <c r="I127" s="29"/>
    </row>
    <row r="128">
      <c r="A128" s="29"/>
      <c r="B128" s="29"/>
      <c r="C128" s="29"/>
      <c r="D128" s="29"/>
      <c r="E128" s="29"/>
      <c r="F128" s="29"/>
      <c r="G128" s="29"/>
      <c r="H128" s="29"/>
      <c r="I128" s="29"/>
    </row>
    <row r="129">
      <c r="A129" s="29"/>
      <c r="B129" s="29"/>
      <c r="C129" s="29"/>
      <c r="D129" s="29"/>
      <c r="E129" s="29"/>
      <c r="F129" s="29"/>
      <c r="G129" s="29"/>
      <c r="H129" s="29"/>
      <c r="I129" s="29"/>
    </row>
    <row r="130">
      <c r="A130" s="29"/>
      <c r="B130" s="29"/>
      <c r="C130" s="29"/>
      <c r="D130" s="29"/>
      <c r="E130" s="29"/>
      <c r="F130" s="29"/>
      <c r="G130" s="29"/>
      <c r="H130" s="29"/>
      <c r="I130" s="29"/>
    </row>
    <row r="131">
      <c r="A131" s="29"/>
      <c r="B131" s="29"/>
      <c r="C131" s="29"/>
      <c r="D131" s="29"/>
      <c r="E131" s="29"/>
      <c r="F131" s="29"/>
      <c r="G131" s="29"/>
      <c r="H131" s="29"/>
      <c r="I131" s="29"/>
    </row>
    <row r="132">
      <c r="A132" s="29"/>
      <c r="B132" s="29"/>
      <c r="C132" s="29"/>
      <c r="D132" s="29"/>
      <c r="E132" s="29"/>
      <c r="F132" s="29"/>
      <c r="G132" s="29"/>
      <c r="H132" s="29"/>
      <c r="I132" s="29"/>
    </row>
    <row r="133">
      <c r="A133" s="29"/>
      <c r="B133" s="29"/>
      <c r="C133" s="29"/>
      <c r="D133" s="29"/>
      <c r="E133" s="29"/>
      <c r="F133" s="29"/>
      <c r="G133" s="29"/>
      <c r="H133" s="29"/>
      <c r="I133" s="29"/>
    </row>
    <row r="134">
      <c r="A134" s="29"/>
      <c r="B134" s="29"/>
      <c r="C134" s="29"/>
      <c r="D134" s="29"/>
      <c r="E134" s="29"/>
      <c r="F134" s="29"/>
      <c r="G134" s="29"/>
      <c r="H134" s="29"/>
      <c r="I134" s="29"/>
    </row>
    <row r="135">
      <c r="A135" s="29"/>
      <c r="B135" s="29"/>
      <c r="C135" s="29"/>
      <c r="D135" s="29"/>
      <c r="E135" s="29"/>
      <c r="F135" s="29"/>
      <c r="G135" s="29"/>
      <c r="H135" s="29"/>
      <c r="I135" s="29"/>
    </row>
    <row r="136">
      <c r="A136" s="29"/>
      <c r="B136" s="29"/>
      <c r="C136" s="29"/>
      <c r="D136" s="29"/>
      <c r="E136" s="29"/>
      <c r="F136" s="29"/>
      <c r="G136" s="29"/>
      <c r="H136" s="29"/>
      <c r="I136" s="29"/>
    </row>
    <row r="137">
      <c r="A137" s="29"/>
      <c r="B137" s="29"/>
      <c r="C137" s="29"/>
      <c r="D137" s="29"/>
      <c r="E137" s="29"/>
      <c r="F137" s="29"/>
      <c r="G137" s="29"/>
      <c r="H137" s="29"/>
      <c r="I137" s="29"/>
    </row>
    <row r="138">
      <c r="A138" s="29"/>
      <c r="B138" s="29"/>
      <c r="C138" s="29"/>
      <c r="D138" s="29"/>
      <c r="E138" s="29"/>
      <c r="F138" s="29"/>
      <c r="G138" s="29"/>
      <c r="H138" s="29"/>
      <c r="I138" s="29"/>
    </row>
    <row r="139">
      <c r="A139" s="29"/>
      <c r="B139" s="29"/>
      <c r="C139" s="29"/>
      <c r="D139" s="29"/>
      <c r="E139" s="29"/>
      <c r="F139" s="29"/>
      <c r="G139" s="29"/>
      <c r="H139" s="29"/>
      <c r="I139" s="29"/>
    </row>
    <row r="140">
      <c r="A140" s="29"/>
      <c r="B140" s="29"/>
      <c r="C140" s="29"/>
      <c r="D140" s="29"/>
      <c r="E140" s="29"/>
      <c r="F140" s="29"/>
      <c r="G140" s="29"/>
      <c r="H140" s="29"/>
      <c r="I140" s="29"/>
    </row>
    <row r="141">
      <c r="A141" s="29"/>
      <c r="B141" s="29"/>
      <c r="C141" s="29"/>
      <c r="D141" s="29"/>
      <c r="E141" s="29"/>
      <c r="F141" s="29"/>
      <c r="G141" s="29"/>
      <c r="H141" s="29"/>
      <c r="I141" s="29"/>
    </row>
    <row r="142">
      <c r="A142" s="29"/>
      <c r="B142" s="29"/>
      <c r="C142" s="29"/>
      <c r="D142" s="29"/>
      <c r="E142" s="29"/>
      <c r="F142" s="29"/>
      <c r="G142" s="29"/>
      <c r="H142" s="29"/>
      <c r="I142" s="29"/>
    </row>
    <row r="143">
      <c r="A143" s="29"/>
      <c r="B143" s="29"/>
      <c r="C143" s="29"/>
      <c r="D143" s="29"/>
      <c r="E143" s="29"/>
      <c r="F143" s="29"/>
      <c r="G143" s="29"/>
      <c r="H143" s="29"/>
      <c r="I143" s="29"/>
    </row>
    <row r="144">
      <c r="A144" s="29"/>
      <c r="B144" s="29"/>
      <c r="C144" s="29"/>
      <c r="D144" s="29"/>
      <c r="E144" s="29"/>
      <c r="F144" s="29"/>
      <c r="G144" s="29"/>
      <c r="H144" s="29"/>
      <c r="I144" s="29"/>
    </row>
    <row r="145">
      <c r="A145" s="29"/>
      <c r="B145" s="29"/>
      <c r="C145" s="29"/>
      <c r="D145" s="29"/>
      <c r="E145" s="29"/>
      <c r="F145" s="29"/>
      <c r="G145" s="29"/>
      <c r="H145" s="29"/>
      <c r="I145" s="29"/>
    </row>
    <row r="146">
      <c r="A146" s="29"/>
      <c r="B146" s="29"/>
      <c r="C146" s="29"/>
      <c r="D146" s="29"/>
      <c r="E146" s="29"/>
      <c r="F146" s="29"/>
      <c r="G146" s="29"/>
      <c r="H146" s="29"/>
      <c r="I146" s="29"/>
    </row>
    <row r="147">
      <c r="A147" s="29"/>
      <c r="B147" s="29"/>
      <c r="C147" s="29"/>
      <c r="D147" s="29"/>
      <c r="E147" s="29"/>
      <c r="F147" s="29"/>
      <c r="G147" s="29"/>
      <c r="H147" s="29"/>
      <c r="I147" s="29"/>
    </row>
    <row r="148">
      <c r="A148" s="29"/>
      <c r="B148" s="29"/>
      <c r="C148" s="29"/>
      <c r="D148" s="29"/>
      <c r="E148" s="29"/>
      <c r="F148" s="29"/>
      <c r="G148" s="29"/>
      <c r="H148" s="29"/>
      <c r="I148" s="29"/>
    </row>
    <row r="149">
      <c r="A149" s="29"/>
      <c r="B149" s="29"/>
      <c r="C149" s="29"/>
      <c r="D149" s="29"/>
      <c r="E149" s="29"/>
      <c r="F149" s="29"/>
      <c r="G149" s="29"/>
      <c r="H149" s="29"/>
      <c r="I149" s="29"/>
    </row>
    <row r="150">
      <c r="A150" s="29"/>
      <c r="B150" s="29"/>
      <c r="C150" s="29"/>
      <c r="D150" s="29"/>
      <c r="E150" s="29"/>
      <c r="F150" s="29"/>
      <c r="G150" s="29"/>
      <c r="H150" s="29"/>
      <c r="I150" s="29"/>
    </row>
    <row r="151">
      <c r="A151" s="29"/>
      <c r="B151" s="29"/>
      <c r="C151" s="29"/>
      <c r="D151" s="29"/>
      <c r="E151" s="29"/>
      <c r="F151" s="29"/>
      <c r="G151" s="29"/>
      <c r="H151" s="29"/>
      <c r="I151" s="29"/>
    </row>
    <row r="152">
      <c r="A152" s="29"/>
      <c r="B152" s="29"/>
      <c r="C152" s="29"/>
      <c r="D152" s="29"/>
      <c r="E152" s="29"/>
      <c r="F152" s="29"/>
      <c r="G152" s="29"/>
      <c r="H152" s="29"/>
      <c r="I152" s="29"/>
    </row>
    <row r="153">
      <c r="A153" s="29"/>
      <c r="B153" s="29"/>
      <c r="C153" s="29"/>
      <c r="D153" s="29"/>
      <c r="E153" s="29"/>
      <c r="F153" s="29"/>
      <c r="G153" s="29"/>
      <c r="H153" s="29"/>
      <c r="I153" s="29"/>
    </row>
    <row r="154">
      <c r="A154" s="29"/>
      <c r="B154" s="29"/>
      <c r="C154" s="29"/>
      <c r="D154" s="29"/>
      <c r="E154" s="29"/>
      <c r="F154" s="29"/>
      <c r="G154" s="29"/>
      <c r="H154" s="29"/>
      <c r="I154" s="29"/>
    </row>
    <row r="155">
      <c r="A155" s="29"/>
      <c r="B155" s="29"/>
      <c r="C155" s="29"/>
      <c r="D155" s="29"/>
      <c r="E155" s="29"/>
      <c r="F155" s="29"/>
      <c r="G155" s="29"/>
      <c r="H155" s="29"/>
      <c r="I155" s="29"/>
    </row>
    <row r="156">
      <c r="A156" s="29"/>
      <c r="B156" s="29"/>
      <c r="C156" s="29"/>
      <c r="D156" s="29"/>
      <c r="E156" s="29"/>
      <c r="F156" s="29"/>
      <c r="G156" s="29"/>
      <c r="H156" s="29"/>
      <c r="I156" s="29"/>
    </row>
    <row r="157">
      <c r="A157" s="29"/>
      <c r="B157" s="29"/>
      <c r="C157" s="29"/>
      <c r="D157" s="29"/>
      <c r="E157" s="29"/>
      <c r="F157" s="29"/>
      <c r="G157" s="29"/>
      <c r="H157" s="29"/>
      <c r="I157" s="29"/>
    </row>
    <row r="158">
      <c r="A158" s="29"/>
      <c r="B158" s="29"/>
      <c r="C158" s="29"/>
      <c r="D158" s="29"/>
      <c r="E158" s="29"/>
      <c r="F158" s="29"/>
      <c r="G158" s="29"/>
      <c r="H158" s="29"/>
      <c r="I158" s="29"/>
    </row>
    <row r="159">
      <c r="A159" s="29"/>
      <c r="B159" s="29"/>
      <c r="C159" s="29"/>
      <c r="D159" s="29"/>
      <c r="E159" s="29"/>
      <c r="F159" s="29"/>
      <c r="G159" s="29"/>
      <c r="H159" s="29"/>
      <c r="I159" s="29"/>
    </row>
    <row r="160">
      <c r="A160" s="29"/>
      <c r="B160" s="29"/>
      <c r="C160" s="29"/>
      <c r="D160" s="29"/>
      <c r="E160" s="29"/>
      <c r="F160" s="29"/>
      <c r="G160" s="29"/>
      <c r="H160" s="29"/>
      <c r="I160" s="29"/>
    </row>
    <row r="161">
      <c r="A161" s="29"/>
      <c r="B161" s="29"/>
      <c r="C161" s="29"/>
      <c r="D161" s="29"/>
      <c r="E161" s="29"/>
      <c r="F161" s="29"/>
      <c r="G161" s="29"/>
      <c r="H161" s="29"/>
      <c r="I161" s="29"/>
    </row>
    <row r="162">
      <c r="A162" s="29"/>
      <c r="B162" s="29"/>
      <c r="C162" s="29"/>
      <c r="D162" s="29"/>
      <c r="E162" s="29"/>
      <c r="F162" s="29"/>
      <c r="G162" s="29"/>
      <c r="H162" s="29"/>
      <c r="I162" s="29"/>
    </row>
    <row r="163">
      <c r="A163" s="29"/>
      <c r="B163" s="29"/>
      <c r="C163" s="29"/>
      <c r="D163" s="29"/>
      <c r="E163" s="29"/>
      <c r="F163" s="29"/>
      <c r="G163" s="29"/>
      <c r="H163" s="29"/>
      <c r="I163" s="29"/>
    </row>
    <row r="164">
      <c r="A164" s="29"/>
      <c r="B164" s="29"/>
      <c r="C164" s="29"/>
      <c r="D164" s="29"/>
      <c r="E164" s="29"/>
      <c r="F164" s="29"/>
      <c r="G164" s="29"/>
      <c r="H164" s="29"/>
      <c r="I164" s="29"/>
    </row>
    <row r="165">
      <c r="A165" s="29"/>
      <c r="B165" s="29"/>
      <c r="C165" s="29"/>
      <c r="D165" s="29"/>
      <c r="E165" s="29"/>
      <c r="F165" s="29"/>
      <c r="G165" s="29"/>
      <c r="H165" s="29"/>
      <c r="I165" s="29"/>
    </row>
    <row r="166">
      <c r="A166" s="29"/>
      <c r="B166" s="29"/>
      <c r="C166" s="29"/>
      <c r="D166" s="29"/>
      <c r="E166" s="29"/>
      <c r="F166" s="29"/>
      <c r="G166" s="29"/>
      <c r="H166" s="29"/>
      <c r="I166" s="29"/>
    </row>
    <row r="167">
      <c r="A167" s="29"/>
      <c r="B167" s="29"/>
      <c r="C167" s="29"/>
      <c r="D167" s="29"/>
      <c r="E167" s="29"/>
      <c r="F167" s="29"/>
      <c r="G167" s="29"/>
      <c r="H167" s="29"/>
      <c r="I167" s="29"/>
    </row>
    <row r="168">
      <c r="A168" s="29"/>
      <c r="B168" s="29"/>
      <c r="C168" s="29"/>
      <c r="D168" s="29"/>
      <c r="E168" s="29"/>
      <c r="F168" s="29"/>
      <c r="G168" s="29"/>
      <c r="H168" s="29"/>
      <c r="I168" s="29"/>
    </row>
    <row r="169">
      <c r="A169" s="29"/>
      <c r="B169" s="29"/>
      <c r="C169" s="29"/>
      <c r="D169" s="29"/>
      <c r="E169" s="29"/>
      <c r="F169" s="29"/>
      <c r="G169" s="29"/>
      <c r="H169" s="29"/>
      <c r="I169" s="29"/>
    </row>
    <row r="170">
      <c r="A170" s="29"/>
      <c r="B170" s="29"/>
      <c r="C170" s="29"/>
      <c r="D170" s="29"/>
      <c r="E170" s="29"/>
      <c r="F170" s="29"/>
      <c r="G170" s="29"/>
      <c r="H170" s="29"/>
      <c r="I170" s="29"/>
    </row>
    <row r="171">
      <c r="A171" s="29"/>
      <c r="B171" s="29"/>
      <c r="C171" s="29"/>
      <c r="D171" s="29"/>
      <c r="E171" s="29"/>
      <c r="F171" s="29"/>
      <c r="G171" s="29"/>
      <c r="H171" s="29"/>
      <c r="I171" s="29"/>
    </row>
    <row r="172">
      <c r="A172" s="29"/>
      <c r="B172" s="29"/>
      <c r="C172" s="29"/>
      <c r="D172" s="29"/>
      <c r="E172" s="29"/>
      <c r="F172" s="29"/>
      <c r="G172" s="29"/>
      <c r="H172" s="29"/>
      <c r="I172" s="29"/>
    </row>
    <row r="173">
      <c r="A173" s="29"/>
      <c r="B173" s="29"/>
      <c r="C173" s="29"/>
      <c r="D173" s="29"/>
      <c r="E173" s="29"/>
      <c r="F173" s="29"/>
      <c r="G173" s="29"/>
      <c r="H173" s="29"/>
      <c r="I173" s="29"/>
    </row>
    <row r="174">
      <c r="A174" s="29"/>
      <c r="B174" s="29"/>
      <c r="C174" s="29"/>
      <c r="D174" s="29"/>
      <c r="E174" s="29"/>
      <c r="F174" s="29"/>
      <c r="G174" s="29"/>
      <c r="H174" s="29"/>
      <c r="I174" s="29"/>
    </row>
    <row r="175">
      <c r="A175" s="29"/>
      <c r="B175" s="29"/>
      <c r="C175" s="29"/>
      <c r="D175" s="29"/>
      <c r="E175" s="29"/>
      <c r="F175" s="29"/>
      <c r="G175" s="29"/>
      <c r="H175" s="29"/>
      <c r="I175" s="29"/>
    </row>
    <row r="176">
      <c r="A176" s="29"/>
      <c r="B176" s="29"/>
      <c r="C176" s="29"/>
      <c r="D176" s="29"/>
      <c r="E176" s="29"/>
      <c r="F176" s="29"/>
      <c r="G176" s="29"/>
      <c r="H176" s="29"/>
      <c r="I176" s="29"/>
    </row>
    <row r="177">
      <c r="A177" s="29"/>
      <c r="B177" s="29"/>
      <c r="C177" s="29"/>
      <c r="D177" s="29"/>
      <c r="E177" s="29"/>
      <c r="F177" s="29"/>
      <c r="G177" s="29"/>
      <c r="H177" s="29"/>
      <c r="I177" s="29"/>
    </row>
    <row r="178">
      <c r="A178" s="29"/>
      <c r="B178" s="29"/>
      <c r="C178" s="29"/>
      <c r="D178" s="29"/>
      <c r="E178" s="29"/>
      <c r="F178" s="29"/>
      <c r="G178" s="29"/>
      <c r="H178" s="29"/>
      <c r="I178" s="29"/>
    </row>
    <row r="179">
      <c r="A179" s="29"/>
      <c r="B179" s="29"/>
      <c r="C179" s="29"/>
      <c r="D179" s="29"/>
      <c r="E179" s="29"/>
      <c r="F179" s="29"/>
      <c r="G179" s="29"/>
      <c r="H179" s="29"/>
      <c r="I179" s="29"/>
    </row>
    <row r="180">
      <c r="A180" s="29"/>
      <c r="B180" s="29"/>
      <c r="C180" s="29"/>
      <c r="D180" s="29"/>
      <c r="E180" s="29"/>
      <c r="F180" s="29"/>
      <c r="G180" s="29"/>
      <c r="H180" s="29"/>
      <c r="I180" s="29"/>
    </row>
    <row r="181">
      <c r="A181" s="29"/>
      <c r="B181" s="29"/>
      <c r="C181" s="29"/>
      <c r="D181" s="29"/>
      <c r="E181" s="29"/>
      <c r="F181" s="29"/>
      <c r="G181" s="29"/>
      <c r="H181" s="29"/>
      <c r="I181" s="29"/>
    </row>
    <row r="182">
      <c r="A182" s="29"/>
      <c r="B182" s="29"/>
      <c r="C182" s="29"/>
      <c r="D182" s="29"/>
      <c r="E182" s="29"/>
      <c r="F182" s="29"/>
      <c r="G182" s="29"/>
      <c r="H182" s="29"/>
      <c r="I182" s="29"/>
    </row>
    <row r="183">
      <c r="A183" s="29"/>
      <c r="B183" s="29"/>
      <c r="C183" s="29"/>
      <c r="D183" s="29"/>
      <c r="E183" s="29"/>
      <c r="F183" s="29"/>
      <c r="G183" s="29"/>
      <c r="H183" s="29"/>
      <c r="I183" s="29"/>
    </row>
    <row r="184">
      <c r="A184" s="29"/>
      <c r="B184" s="29"/>
      <c r="C184" s="29"/>
      <c r="D184" s="29"/>
      <c r="E184" s="29"/>
      <c r="F184" s="29"/>
      <c r="G184" s="29"/>
      <c r="H184" s="29"/>
      <c r="I184" s="29"/>
    </row>
    <row r="185">
      <c r="A185" s="29"/>
      <c r="B185" s="29"/>
      <c r="C185" s="29"/>
      <c r="D185" s="29"/>
      <c r="E185" s="29"/>
      <c r="F185" s="29"/>
      <c r="G185" s="29"/>
      <c r="H185" s="29"/>
      <c r="I185" s="29"/>
    </row>
    <row r="186">
      <c r="A186" s="29"/>
      <c r="B186" s="29"/>
      <c r="C186" s="29"/>
      <c r="D186" s="29"/>
      <c r="E186" s="29"/>
      <c r="F186" s="29"/>
      <c r="G186" s="29"/>
      <c r="H186" s="29"/>
      <c r="I186" s="29"/>
    </row>
    <row r="187">
      <c r="A187" s="29"/>
      <c r="B187" s="29"/>
      <c r="C187" s="29"/>
      <c r="D187" s="29"/>
      <c r="E187" s="29"/>
      <c r="F187" s="29"/>
      <c r="G187" s="29"/>
      <c r="H187" s="29"/>
      <c r="I187" s="29"/>
    </row>
    <row r="188">
      <c r="A188" s="29"/>
      <c r="B188" s="29"/>
      <c r="C188" s="29"/>
      <c r="D188" s="29"/>
      <c r="E188" s="29"/>
      <c r="F188" s="29"/>
      <c r="G188" s="29"/>
      <c r="H188" s="29"/>
      <c r="I188" s="29"/>
    </row>
    <row r="189">
      <c r="A189" s="29"/>
      <c r="B189" s="29"/>
      <c r="C189" s="29"/>
      <c r="D189" s="29"/>
      <c r="E189" s="29"/>
      <c r="F189" s="29"/>
      <c r="G189" s="29"/>
      <c r="H189" s="29"/>
      <c r="I189" s="29"/>
    </row>
    <row r="190">
      <c r="A190" s="29"/>
      <c r="B190" s="29"/>
      <c r="C190" s="29"/>
      <c r="D190" s="29"/>
      <c r="E190" s="29"/>
      <c r="F190" s="29"/>
      <c r="G190" s="29"/>
      <c r="H190" s="29"/>
      <c r="I190" s="29"/>
    </row>
    <row r="191">
      <c r="A191" s="29"/>
      <c r="B191" s="29"/>
      <c r="C191" s="29"/>
      <c r="D191" s="29"/>
      <c r="E191" s="29"/>
      <c r="F191" s="29"/>
      <c r="G191" s="29"/>
      <c r="H191" s="29"/>
      <c r="I191" s="29"/>
    </row>
    <row r="192">
      <c r="A192" s="29"/>
      <c r="B192" s="29"/>
      <c r="C192" s="29"/>
      <c r="D192" s="29"/>
      <c r="E192" s="29"/>
      <c r="F192" s="29"/>
      <c r="G192" s="29"/>
      <c r="H192" s="29"/>
      <c r="I192" s="29"/>
    </row>
    <row r="193">
      <c r="A193" s="29"/>
      <c r="B193" s="29"/>
      <c r="C193" s="29"/>
      <c r="D193" s="29"/>
      <c r="E193" s="29"/>
      <c r="F193" s="29"/>
      <c r="G193" s="29"/>
      <c r="H193" s="29"/>
      <c r="I193" s="29"/>
    </row>
    <row r="194">
      <c r="A194" s="29"/>
      <c r="B194" s="29"/>
      <c r="C194" s="29"/>
      <c r="D194" s="29"/>
      <c r="E194" s="29"/>
      <c r="F194" s="29"/>
      <c r="G194" s="29"/>
      <c r="H194" s="29"/>
      <c r="I194" s="29"/>
    </row>
    <row r="195">
      <c r="A195" s="29"/>
      <c r="B195" s="29"/>
      <c r="C195" s="29"/>
      <c r="D195" s="29"/>
      <c r="E195" s="29"/>
      <c r="F195" s="29"/>
      <c r="G195" s="29"/>
      <c r="H195" s="29"/>
      <c r="I195" s="29"/>
    </row>
    <row r="196">
      <c r="A196" s="29"/>
      <c r="B196" s="29"/>
      <c r="C196" s="29"/>
      <c r="D196" s="29"/>
      <c r="E196" s="29"/>
      <c r="F196" s="29"/>
      <c r="G196" s="29"/>
      <c r="H196" s="29"/>
      <c r="I196" s="29"/>
    </row>
    <row r="197">
      <c r="A197" s="29"/>
      <c r="B197" s="29"/>
      <c r="C197" s="29"/>
      <c r="D197" s="29"/>
      <c r="E197" s="29"/>
      <c r="F197" s="29"/>
      <c r="G197" s="29"/>
      <c r="H197" s="29"/>
      <c r="I197" s="29"/>
    </row>
    <row r="198">
      <c r="A198" s="29"/>
      <c r="B198" s="29"/>
      <c r="C198" s="29"/>
      <c r="D198" s="29"/>
      <c r="E198" s="29"/>
      <c r="F198" s="29"/>
      <c r="G198" s="29"/>
      <c r="H198" s="29"/>
      <c r="I198" s="29"/>
    </row>
    <row r="199">
      <c r="A199" s="29"/>
      <c r="B199" s="29"/>
      <c r="C199" s="29"/>
      <c r="D199" s="29"/>
      <c r="E199" s="29"/>
      <c r="F199" s="29"/>
      <c r="G199" s="29"/>
      <c r="H199" s="29"/>
      <c r="I199" s="29"/>
    </row>
    <row r="200">
      <c r="A200" s="29"/>
      <c r="B200" s="29"/>
      <c r="C200" s="29"/>
      <c r="D200" s="29"/>
      <c r="E200" s="29"/>
      <c r="F200" s="29"/>
      <c r="G200" s="29"/>
      <c r="H200" s="29"/>
      <c r="I200" s="29"/>
    </row>
    <row r="201">
      <c r="A201" s="29"/>
      <c r="B201" s="29"/>
      <c r="C201" s="29"/>
      <c r="D201" s="29"/>
      <c r="E201" s="29"/>
      <c r="F201" s="29"/>
      <c r="G201" s="29"/>
      <c r="H201" s="29"/>
      <c r="I201" s="29"/>
    </row>
    <row r="202">
      <c r="A202" s="29"/>
      <c r="B202" s="29"/>
      <c r="C202" s="29"/>
      <c r="D202" s="29"/>
      <c r="E202" s="29"/>
      <c r="F202" s="29"/>
      <c r="G202" s="29"/>
      <c r="H202" s="29"/>
      <c r="I202" s="29"/>
    </row>
    <row r="203">
      <c r="A203" s="29"/>
      <c r="B203" s="29"/>
      <c r="C203" s="29"/>
      <c r="D203" s="29"/>
      <c r="E203" s="29"/>
      <c r="F203" s="29"/>
      <c r="G203" s="29"/>
      <c r="H203" s="29"/>
      <c r="I203" s="29"/>
    </row>
    <row r="204">
      <c r="A204" s="29"/>
      <c r="B204" s="29"/>
      <c r="C204" s="29"/>
      <c r="D204" s="29"/>
      <c r="E204" s="29"/>
      <c r="F204" s="29"/>
      <c r="G204" s="29"/>
      <c r="H204" s="29"/>
      <c r="I204" s="29"/>
    </row>
    <row r="205">
      <c r="A205" s="29"/>
      <c r="B205" s="29"/>
      <c r="C205" s="29"/>
      <c r="D205" s="29"/>
      <c r="E205" s="29"/>
      <c r="F205" s="29"/>
      <c r="G205" s="29"/>
      <c r="H205" s="29"/>
      <c r="I205" s="29"/>
    </row>
    <row r="206">
      <c r="A206" s="29"/>
      <c r="B206" s="29"/>
      <c r="C206" s="29"/>
      <c r="D206" s="29"/>
      <c r="E206" s="29"/>
      <c r="F206" s="29"/>
      <c r="G206" s="29"/>
      <c r="H206" s="29"/>
      <c r="I206" s="29"/>
    </row>
    <row r="207">
      <c r="A207" s="29"/>
      <c r="B207" s="29"/>
      <c r="C207" s="29"/>
      <c r="D207" s="29"/>
      <c r="E207" s="29"/>
      <c r="F207" s="29"/>
      <c r="G207" s="29"/>
      <c r="H207" s="29"/>
      <c r="I207" s="29"/>
    </row>
    <row r="208">
      <c r="A208" s="29"/>
      <c r="B208" s="29"/>
      <c r="C208" s="29"/>
      <c r="D208" s="29"/>
      <c r="E208" s="29"/>
      <c r="F208" s="29"/>
      <c r="G208" s="29"/>
      <c r="H208" s="29"/>
      <c r="I208" s="29"/>
    </row>
    <row r="209">
      <c r="A209" s="29"/>
      <c r="B209" s="29"/>
      <c r="C209" s="29"/>
      <c r="D209" s="29"/>
      <c r="E209" s="29"/>
      <c r="F209" s="29"/>
      <c r="G209" s="29"/>
      <c r="H209" s="29"/>
      <c r="I209" s="29"/>
    </row>
    <row r="210">
      <c r="A210" s="29"/>
      <c r="B210" s="29"/>
      <c r="C210" s="29"/>
      <c r="D210" s="29"/>
      <c r="E210" s="29"/>
      <c r="F210" s="29"/>
      <c r="G210" s="29"/>
      <c r="H210" s="29"/>
      <c r="I210" s="29"/>
    </row>
    <row r="211">
      <c r="A211" s="29"/>
      <c r="B211" s="29"/>
      <c r="C211" s="29"/>
      <c r="D211" s="29"/>
      <c r="E211" s="29"/>
      <c r="F211" s="29"/>
      <c r="G211" s="29"/>
      <c r="H211" s="29"/>
      <c r="I211" s="29"/>
    </row>
    <row r="212">
      <c r="A212" s="29"/>
      <c r="B212" s="29"/>
      <c r="C212" s="29"/>
      <c r="D212" s="29"/>
      <c r="E212" s="29"/>
      <c r="F212" s="29"/>
      <c r="G212" s="29"/>
      <c r="H212" s="29"/>
      <c r="I212" s="29"/>
    </row>
    <row r="213">
      <c r="A213" s="29"/>
      <c r="B213" s="29"/>
      <c r="C213" s="29"/>
      <c r="D213" s="29"/>
      <c r="E213" s="29"/>
      <c r="F213" s="29"/>
      <c r="G213" s="29"/>
      <c r="H213" s="29"/>
      <c r="I213" s="29"/>
    </row>
    <row r="214">
      <c r="A214" s="29"/>
      <c r="B214" s="29"/>
      <c r="C214" s="29"/>
      <c r="D214" s="29"/>
      <c r="E214" s="29"/>
      <c r="F214" s="29"/>
      <c r="G214" s="29"/>
      <c r="H214" s="29"/>
      <c r="I214" s="29"/>
    </row>
    <row r="215">
      <c r="A215" s="29"/>
      <c r="B215" s="29"/>
      <c r="C215" s="29"/>
      <c r="D215" s="29"/>
      <c r="E215" s="29"/>
      <c r="F215" s="29"/>
      <c r="G215" s="29"/>
      <c r="H215" s="29"/>
      <c r="I215" s="29"/>
    </row>
    <row r="216">
      <c r="A216" s="29"/>
      <c r="B216" s="29"/>
      <c r="C216" s="29"/>
      <c r="D216" s="29"/>
      <c r="E216" s="29"/>
      <c r="F216" s="29"/>
      <c r="G216" s="29"/>
      <c r="H216" s="29"/>
      <c r="I216" s="29"/>
    </row>
    <row r="217">
      <c r="A217" s="29"/>
      <c r="B217" s="29"/>
      <c r="C217" s="29"/>
      <c r="D217" s="29"/>
      <c r="E217" s="29"/>
      <c r="F217" s="29"/>
      <c r="G217" s="29"/>
      <c r="H217" s="29"/>
      <c r="I217" s="29"/>
    </row>
    <row r="218">
      <c r="A218" s="29"/>
      <c r="B218" s="29"/>
      <c r="C218" s="29"/>
      <c r="D218" s="29"/>
      <c r="E218" s="29"/>
      <c r="F218" s="29"/>
      <c r="G218" s="29"/>
      <c r="H218" s="29"/>
      <c r="I218" s="29"/>
    </row>
    <row r="219">
      <c r="A219" s="29"/>
      <c r="B219" s="29"/>
      <c r="C219" s="29"/>
      <c r="D219" s="29"/>
      <c r="E219" s="29"/>
      <c r="F219" s="29"/>
      <c r="G219" s="29"/>
      <c r="H219" s="29"/>
      <c r="I219" s="29"/>
    </row>
    <row r="220">
      <c r="A220" s="29"/>
      <c r="B220" s="29"/>
      <c r="C220" s="29"/>
      <c r="D220" s="29"/>
      <c r="E220" s="29"/>
      <c r="F220" s="29"/>
      <c r="G220" s="29"/>
      <c r="H220" s="29"/>
      <c r="I220" s="29"/>
    </row>
    <row r="221">
      <c r="A221" s="29"/>
      <c r="B221" s="29"/>
      <c r="C221" s="29"/>
      <c r="D221" s="29"/>
      <c r="E221" s="29"/>
      <c r="F221" s="29"/>
      <c r="G221" s="29"/>
      <c r="H221" s="29"/>
      <c r="I221" s="29"/>
    </row>
    <row r="222">
      <c r="A222" s="29"/>
      <c r="B222" s="29"/>
      <c r="C222" s="29"/>
      <c r="D222" s="29"/>
      <c r="E222" s="29"/>
      <c r="F222" s="29"/>
      <c r="G222" s="29"/>
      <c r="H222" s="29"/>
      <c r="I222" s="29"/>
    </row>
    <row r="223">
      <c r="A223" s="29"/>
      <c r="B223" s="29"/>
      <c r="C223" s="29"/>
      <c r="D223" s="29"/>
      <c r="E223" s="29"/>
      <c r="F223" s="29"/>
      <c r="G223" s="29"/>
      <c r="H223" s="29"/>
      <c r="I223" s="29"/>
    </row>
    <row r="224">
      <c r="A224" s="29"/>
      <c r="B224" s="29"/>
      <c r="C224" s="29"/>
      <c r="D224" s="29"/>
      <c r="E224" s="29"/>
      <c r="F224" s="29"/>
      <c r="G224" s="29"/>
      <c r="H224" s="29"/>
      <c r="I224" s="29"/>
    </row>
    <row r="225">
      <c r="A225" s="29"/>
      <c r="B225" s="29"/>
      <c r="C225" s="29"/>
      <c r="D225" s="29"/>
      <c r="E225" s="29"/>
      <c r="F225" s="29"/>
      <c r="G225" s="29"/>
      <c r="H225" s="29"/>
      <c r="I225" s="29"/>
    </row>
    <row r="226">
      <c r="A226" s="29"/>
      <c r="B226" s="29"/>
      <c r="C226" s="29"/>
      <c r="D226" s="29"/>
      <c r="E226" s="29"/>
      <c r="F226" s="29"/>
      <c r="G226" s="29"/>
      <c r="H226" s="29"/>
      <c r="I226" s="29"/>
    </row>
    <row r="227">
      <c r="A227" s="29"/>
      <c r="B227" s="29"/>
      <c r="C227" s="29"/>
      <c r="D227" s="29"/>
      <c r="E227" s="29"/>
      <c r="F227" s="29"/>
      <c r="G227" s="29"/>
      <c r="H227" s="29"/>
      <c r="I227" s="29"/>
    </row>
    <row r="228">
      <c r="A228" s="29"/>
      <c r="B228" s="29"/>
      <c r="C228" s="29"/>
      <c r="D228" s="29"/>
      <c r="E228" s="29"/>
      <c r="F228" s="29"/>
      <c r="G228" s="29"/>
      <c r="H228" s="29"/>
      <c r="I228" s="29"/>
    </row>
    <row r="229">
      <c r="A229" s="29"/>
      <c r="B229" s="29"/>
      <c r="C229" s="29"/>
      <c r="D229" s="29"/>
      <c r="E229" s="29"/>
      <c r="F229" s="29"/>
      <c r="G229" s="29"/>
      <c r="H229" s="29"/>
      <c r="I229" s="29"/>
    </row>
    <row r="230">
      <c r="A230" s="29"/>
      <c r="B230" s="29"/>
      <c r="C230" s="29"/>
      <c r="D230" s="29"/>
      <c r="E230" s="29"/>
      <c r="F230" s="29"/>
      <c r="G230" s="29"/>
      <c r="H230" s="29"/>
      <c r="I230" s="29"/>
    </row>
    <row r="231">
      <c r="A231" s="29"/>
      <c r="B231" s="29"/>
      <c r="C231" s="29"/>
      <c r="D231" s="29"/>
      <c r="E231" s="29"/>
      <c r="F231" s="29"/>
      <c r="G231" s="29"/>
      <c r="H231" s="29"/>
      <c r="I231" s="29"/>
    </row>
    <row r="232">
      <c r="A232" s="29"/>
      <c r="B232" s="29"/>
      <c r="C232" s="29"/>
      <c r="D232" s="29"/>
      <c r="E232" s="29"/>
      <c r="F232" s="29"/>
      <c r="G232" s="29"/>
      <c r="H232" s="29"/>
      <c r="I232" s="29"/>
    </row>
    <row r="233">
      <c r="A233" s="29"/>
      <c r="B233" s="29"/>
      <c r="C233" s="29"/>
      <c r="D233" s="29"/>
      <c r="E233" s="29"/>
      <c r="F233" s="29"/>
      <c r="G233" s="29"/>
      <c r="H233" s="29"/>
      <c r="I233" s="29"/>
    </row>
    <row r="234">
      <c r="A234" s="29"/>
      <c r="B234" s="29"/>
      <c r="C234" s="29"/>
      <c r="D234" s="29"/>
      <c r="E234" s="29"/>
      <c r="F234" s="29"/>
      <c r="G234" s="29"/>
      <c r="H234" s="29"/>
      <c r="I234" s="29"/>
    </row>
    <row r="235">
      <c r="A235" s="29"/>
      <c r="B235" s="29"/>
      <c r="C235" s="29"/>
      <c r="D235" s="29"/>
      <c r="E235" s="29"/>
      <c r="F235" s="29"/>
      <c r="G235" s="29"/>
      <c r="H235" s="29"/>
      <c r="I235" s="29"/>
    </row>
    <row r="236">
      <c r="A236" s="29"/>
      <c r="B236" s="29"/>
      <c r="C236" s="29"/>
      <c r="D236" s="29"/>
      <c r="E236" s="29"/>
      <c r="F236" s="29"/>
      <c r="G236" s="29"/>
      <c r="H236" s="29"/>
      <c r="I236" s="29"/>
    </row>
    <row r="237">
      <c r="A237" s="29"/>
      <c r="B237" s="29"/>
      <c r="C237" s="29"/>
      <c r="D237" s="29"/>
      <c r="E237" s="29"/>
      <c r="F237" s="29"/>
      <c r="G237" s="29"/>
      <c r="H237" s="29"/>
      <c r="I237" s="29"/>
    </row>
    <row r="238">
      <c r="A238" s="29"/>
      <c r="B238" s="29"/>
      <c r="C238" s="29"/>
      <c r="D238" s="29"/>
      <c r="E238" s="29"/>
      <c r="F238" s="29"/>
      <c r="G238" s="29"/>
      <c r="H238" s="29"/>
      <c r="I238" s="29"/>
    </row>
    <row r="239">
      <c r="A239" s="29"/>
      <c r="B239" s="29"/>
      <c r="C239" s="29"/>
      <c r="D239" s="29"/>
      <c r="E239" s="29"/>
      <c r="F239" s="29"/>
      <c r="G239" s="29"/>
      <c r="H239" s="29"/>
      <c r="I239" s="29"/>
    </row>
    <row r="240">
      <c r="A240" s="29"/>
      <c r="B240" s="29"/>
      <c r="C240" s="29"/>
      <c r="D240" s="29"/>
      <c r="E240" s="29"/>
      <c r="F240" s="29"/>
      <c r="G240" s="29"/>
      <c r="H240" s="29"/>
      <c r="I240" s="29"/>
    </row>
    <row r="241">
      <c r="A241" s="29"/>
      <c r="B241" s="29"/>
      <c r="C241" s="29"/>
      <c r="D241" s="29"/>
      <c r="E241" s="29"/>
      <c r="F241" s="29"/>
      <c r="G241" s="29"/>
      <c r="H241" s="29"/>
      <c r="I241" s="29"/>
    </row>
    <row r="242">
      <c r="A242" s="29"/>
      <c r="B242" s="29"/>
      <c r="C242" s="29"/>
      <c r="D242" s="29"/>
      <c r="E242" s="29"/>
      <c r="F242" s="29"/>
      <c r="G242" s="29"/>
      <c r="H242" s="29"/>
      <c r="I242" s="29"/>
    </row>
    <row r="243">
      <c r="A243" s="29"/>
      <c r="B243" s="29"/>
      <c r="C243" s="29"/>
      <c r="D243" s="29"/>
      <c r="E243" s="29"/>
      <c r="F243" s="29"/>
      <c r="G243" s="29"/>
      <c r="H243" s="29"/>
      <c r="I243" s="29"/>
    </row>
    <row r="244">
      <c r="A244" s="29"/>
      <c r="B244" s="29"/>
      <c r="C244" s="29"/>
      <c r="D244" s="29"/>
      <c r="E244" s="29"/>
      <c r="F244" s="29"/>
      <c r="G244" s="29"/>
      <c r="H244" s="29"/>
      <c r="I244" s="29"/>
    </row>
    <row r="245">
      <c r="A245" s="29"/>
      <c r="B245" s="29"/>
      <c r="C245" s="29"/>
      <c r="D245" s="29"/>
      <c r="E245" s="29"/>
      <c r="F245" s="29"/>
      <c r="G245" s="29"/>
      <c r="H245" s="29"/>
      <c r="I245" s="29"/>
    </row>
    <row r="246">
      <c r="A246" s="29"/>
      <c r="B246" s="29"/>
      <c r="C246" s="29"/>
      <c r="D246" s="29"/>
      <c r="E246" s="29"/>
      <c r="F246" s="29"/>
      <c r="G246" s="29"/>
      <c r="H246" s="29"/>
      <c r="I246" s="29"/>
    </row>
    <row r="247">
      <c r="A247" s="29"/>
      <c r="B247" s="29"/>
      <c r="C247" s="29"/>
      <c r="D247" s="29"/>
      <c r="E247" s="29"/>
      <c r="F247" s="29"/>
      <c r="G247" s="29"/>
      <c r="H247" s="29"/>
      <c r="I247" s="29"/>
    </row>
    <row r="248">
      <c r="A248" s="29"/>
      <c r="B248" s="29"/>
      <c r="C248" s="29"/>
      <c r="D248" s="29"/>
      <c r="E248" s="29"/>
      <c r="F248" s="29"/>
      <c r="G248" s="29"/>
      <c r="H248" s="29"/>
      <c r="I248" s="29"/>
    </row>
    <row r="249">
      <c r="A249" s="29"/>
      <c r="B249" s="29"/>
      <c r="C249" s="29"/>
      <c r="D249" s="29"/>
      <c r="E249" s="29"/>
      <c r="F249" s="29"/>
      <c r="G249" s="29"/>
      <c r="H249" s="29"/>
      <c r="I249" s="29"/>
    </row>
    <row r="250">
      <c r="A250" s="29"/>
      <c r="B250" s="29"/>
      <c r="C250" s="29"/>
      <c r="D250" s="29"/>
      <c r="E250" s="29"/>
      <c r="F250" s="29"/>
      <c r="G250" s="29"/>
      <c r="H250" s="29"/>
      <c r="I250" s="29"/>
    </row>
    <row r="251">
      <c r="A251" s="29"/>
      <c r="B251" s="29"/>
      <c r="C251" s="29"/>
      <c r="D251" s="29"/>
      <c r="E251" s="29"/>
      <c r="F251" s="29"/>
      <c r="G251" s="29"/>
      <c r="H251" s="29"/>
      <c r="I251" s="29"/>
    </row>
    <row r="252">
      <c r="A252" s="29"/>
      <c r="B252" s="29"/>
      <c r="C252" s="29"/>
      <c r="D252" s="29"/>
      <c r="E252" s="29"/>
      <c r="F252" s="29"/>
      <c r="G252" s="29"/>
      <c r="H252" s="29"/>
      <c r="I252" s="29"/>
    </row>
    <row r="253">
      <c r="A253" s="29"/>
      <c r="B253" s="29"/>
      <c r="C253" s="29"/>
      <c r="D253" s="29"/>
      <c r="E253" s="29"/>
      <c r="F253" s="29"/>
      <c r="G253" s="29"/>
      <c r="H253" s="29"/>
      <c r="I253" s="29"/>
    </row>
    <row r="254">
      <c r="A254" s="29"/>
      <c r="B254" s="29"/>
      <c r="C254" s="29"/>
      <c r="D254" s="29"/>
      <c r="E254" s="29"/>
      <c r="F254" s="29"/>
      <c r="G254" s="29"/>
      <c r="H254" s="29"/>
      <c r="I254" s="29"/>
    </row>
    <row r="255">
      <c r="A255" s="29"/>
      <c r="B255" s="29"/>
      <c r="C255" s="29"/>
      <c r="D255" s="29"/>
      <c r="E255" s="29"/>
      <c r="F255" s="29"/>
      <c r="G255" s="29"/>
      <c r="H255" s="29"/>
      <c r="I255" s="29"/>
    </row>
    <row r="256">
      <c r="A256" s="29"/>
      <c r="B256" s="29"/>
      <c r="C256" s="29"/>
      <c r="D256" s="29"/>
      <c r="E256" s="29"/>
      <c r="F256" s="29"/>
      <c r="G256" s="29"/>
      <c r="H256" s="29"/>
      <c r="I256" s="29"/>
    </row>
    <row r="257">
      <c r="A257" s="29"/>
      <c r="B257" s="29"/>
      <c r="C257" s="29"/>
      <c r="D257" s="29"/>
      <c r="E257" s="29"/>
      <c r="F257" s="29"/>
      <c r="G257" s="29"/>
      <c r="H257" s="29"/>
      <c r="I257" s="29"/>
    </row>
    <row r="258">
      <c r="A258" s="29"/>
      <c r="B258" s="29"/>
      <c r="C258" s="29"/>
      <c r="D258" s="29"/>
      <c r="E258" s="29"/>
      <c r="F258" s="29"/>
      <c r="G258" s="29"/>
      <c r="H258" s="29"/>
      <c r="I258" s="29"/>
    </row>
    <row r="259">
      <c r="A259" s="29"/>
      <c r="B259" s="29"/>
      <c r="C259" s="29"/>
      <c r="D259" s="29"/>
      <c r="E259" s="29"/>
      <c r="F259" s="29"/>
      <c r="G259" s="29"/>
      <c r="H259" s="29"/>
      <c r="I259" s="29"/>
    </row>
    <row r="260">
      <c r="A260" s="29"/>
      <c r="B260" s="29"/>
      <c r="C260" s="29"/>
      <c r="D260" s="29"/>
      <c r="E260" s="29"/>
      <c r="F260" s="29"/>
      <c r="G260" s="29"/>
      <c r="H260" s="29"/>
      <c r="I260" s="29"/>
    </row>
    <row r="261">
      <c r="A261" s="29"/>
      <c r="B261" s="29"/>
      <c r="C261" s="29"/>
      <c r="D261" s="29"/>
      <c r="E261" s="29"/>
      <c r="F261" s="29"/>
      <c r="G261" s="29"/>
      <c r="H261" s="29"/>
      <c r="I261" s="29"/>
    </row>
    <row r="262">
      <c r="A262" s="29"/>
      <c r="B262" s="29"/>
      <c r="C262" s="29"/>
      <c r="D262" s="29"/>
      <c r="E262" s="29"/>
      <c r="F262" s="29"/>
      <c r="G262" s="29"/>
      <c r="H262" s="29"/>
      <c r="I262" s="29"/>
    </row>
    <row r="263">
      <c r="A263" s="29"/>
      <c r="B263" s="29"/>
      <c r="C263" s="29"/>
      <c r="D263" s="29"/>
      <c r="E263" s="29"/>
      <c r="F263" s="29"/>
      <c r="G263" s="29"/>
      <c r="H263" s="29"/>
      <c r="I263" s="29"/>
    </row>
    <row r="264">
      <c r="A264" s="29"/>
      <c r="B264" s="29"/>
      <c r="C264" s="29"/>
      <c r="D264" s="29"/>
      <c r="E264" s="29"/>
      <c r="F264" s="29"/>
      <c r="G264" s="29"/>
      <c r="H264" s="29"/>
      <c r="I264" s="29"/>
    </row>
    <row r="265">
      <c r="A265" s="29"/>
      <c r="B265" s="29"/>
      <c r="C265" s="29"/>
      <c r="D265" s="29"/>
      <c r="E265" s="29"/>
      <c r="F265" s="29"/>
      <c r="G265" s="29"/>
      <c r="H265" s="29"/>
      <c r="I265" s="29"/>
    </row>
    <row r="266">
      <c r="A266" s="29"/>
      <c r="B266" s="29"/>
      <c r="C266" s="29"/>
      <c r="D266" s="29"/>
      <c r="E266" s="29"/>
      <c r="F266" s="29"/>
      <c r="G266" s="29"/>
      <c r="H266" s="29"/>
      <c r="I266" s="29"/>
    </row>
    <row r="267">
      <c r="A267" s="29"/>
      <c r="B267" s="29"/>
      <c r="C267" s="29"/>
      <c r="D267" s="29"/>
      <c r="E267" s="29"/>
      <c r="F267" s="29"/>
      <c r="G267" s="29"/>
      <c r="H267" s="29"/>
      <c r="I267" s="29"/>
    </row>
    <row r="268">
      <c r="A268" s="29"/>
      <c r="B268" s="29"/>
      <c r="C268" s="29"/>
      <c r="D268" s="29"/>
      <c r="E268" s="29"/>
      <c r="F268" s="29"/>
      <c r="G268" s="29"/>
      <c r="H268" s="29"/>
      <c r="I268" s="29"/>
    </row>
    <row r="269">
      <c r="A269" s="29"/>
      <c r="B269" s="29"/>
      <c r="C269" s="29"/>
      <c r="D269" s="29"/>
      <c r="E269" s="29"/>
      <c r="F269" s="29"/>
      <c r="G269" s="29"/>
      <c r="H269" s="29"/>
      <c r="I269" s="29"/>
    </row>
    <row r="270">
      <c r="A270" s="29"/>
      <c r="B270" s="29"/>
      <c r="C270" s="29"/>
      <c r="D270" s="29"/>
      <c r="E270" s="29"/>
      <c r="F270" s="29"/>
      <c r="G270" s="29"/>
      <c r="H270" s="29"/>
      <c r="I270" s="29"/>
    </row>
    <row r="271">
      <c r="A271" s="29"/>
      <c r="B271" s="29"/>
      <c r="C271" s="29"/>
      <c r="D271" s="29"/>
      <c r="E271" s="29"/>
      <c r="F271" s="29"/>
      <c r="G271" s="29"/>
      <c r="H271" s="29"/>
      <c r="I271" s="29"/>
    </row>
    <row r="272">
      <c r="A272" s="29"/>
      <c r="B272" s="29"/>
      <c r="C272" s="29"/>
      <c r="D272" s="29"/>
      <c r="E272" s="29"/>
      <c r="F272" s="29"/>
      <c r="G272" s="29"/>
      <c r="H272" s="29"/>
      <c r="I272" s="29"/>
    </row>
    <row r="273">
      <c r="A273" s="29"/>
      <c r="B273" s="29"/>
      <c r="C273" s="29"/>
      <c r="D273" s="29"/>
      <c r="E273" s="29"/>
      <c r="F273" s="29"/>
      <c r="G273" s="29"/>
      <c r="H273" s="29"/>
      <c r="I273" s="29"/>
    </row>
    <row r="274">
      <c r="A274" s="29"/>
      <c r="B274" s="29"/>
      <c r="C274" s="29"/>
      <c r="D274" s="29"/>
      <c r="E274" s="29"/>
      <c r="F274" s="29"/>
      <c r="G274" s="29"/>
      <c r="H274" s="29"/>
      <c r="I274" s="29"/>
    </row>
    <row r="275">
      <c r="A275" s="29"/>
      <c r="B275" s="29"/>
      <c r="C275" s="29"/>
      <c r="D275" s="29"/>
      <c r="E275" s="29"/>
      <c r="F275" s="29"/>
      <c r="G275" s="29"/>
      <c r="H275" s="29"/>
      <c r="I275" s="29"/>
    </row>
    <row r="276">
      <c r="A276" s="29"/>
      <c r="B276" s="29"/>
      <c r="C276" s="29"/>
      <c r="D276" s="29"/>
      <c r="E276" s="29"/>
      <c r="F276" s="29"/>
      <c r="G276" s="29"/>
      <c r="H276" s="29"/>
      <c r="I276" s="29"/>
    </row>
    <row r="277">
      <c r="A277" s="29"/>
      <c r="B277" s="29"/>
      <c r="C277" s="29"/>
      <c r="D277" s="29"/>
      <c r="E277" s="29"/>
      <c r="F277" s="29"/>
      <c r="G277" s="29"/>
      <c r="H277" s="29"/>
      <c r="I277" s="29"/>
    </row>
    <row r="278">
      <c r="A278" s="29"/>
      <c r="B278" s="29"/>
      <c r="C278" s="29"/>
      <c r="D278" s="29"/>
      <c r="E278" s="29"/>
      <c r="F278" s="29"/>
      <c r="G278" s="29"/>
      <c r="H278" s="29"/>
      <c r="I278" s="29"/>
    </row>
    <row r="279">
      <c r="A279" s="29"/>
      <c r="B279" s="29"/>
      <c r="C279" s="29"/>
      <c r="D279" s="29"/>
      <c r="E279" s="29"/>
      <c r="F279" s="29"/>
      <c r="G279" s="29"/>
      <c r="H279" s="29"/>
      <c r="I279" s="29"/>
    </row>
    <row r="280">
      <c r="A280" s="29"/>
      <c r="B280" s="29"/>
      <c r="C280" s="29"/>
      <c r="D280" s="29"/>
      <c r="E280" s="29"/>
      <c r="F280" s="29"/>
      <c r="G280" s="29"/>
      <c r="H280" s="29"/>
      <c r="I280" s="29"/>
    </row>
    <row r="281">
      <c r="A281" s="29"/>
      <c r="B281" s="29"/>
      <c r="C281" s="29"/>
      <c r="D281" s="29"/>
      <c r="E281" s="29"/>
      <c r="F281" s="29"/>
      <c r="G281" s="29"/>
      <c r="H281" s="29"/>
      <c r="I281" s="29"/>
    </row>
    <row r="282">
      <c r="A282" s="29"/>
      <c r="B282" s="29"/>
      <c r="C282" s="29"/>
      <c r="D282" s="29"/>
      <c r="E282" s="29"/>
      <c r="F282" s="29"/>
      <c r="G282" s="29"/>
      <c r="H282" s="29"/>
      <c r="I282" s="29"/>
    </row>
    <row r="283">
      <c r="A283" s="29"/>
      <c r="B283" s="29"/>
      <c r="C283" s="29"/>
      <c r="D283" s="29"/>
      <c r="E283" s="29"/>
      <c r="F283" s="29"/>
      <c r="G283" s="29"/>
      <c r="H283" s="29"/>
      <c r="I283" s="29"/>
    </row>
    <row r="284">
      <c r="A284" s="29"/>
      <c r="B284" s="29"/>
      <c r="C284" s="29"/>
      <c r="D284" s="29"/>
      <c r="E284" s="29"/>
      <c r="F284" s="29"/>
      <c r="G284" s="29"/>
      <c r="H284" s="29"/>
      <c r="I284" s="29"/>
    </row>
    <row r="285">
      <c r="A285" s="29"/>
      <c r="B285" s="29"/>
      <c r="C285" s="29"/>
      <c r="D285" s="29"/>
      <c r="E285" s="29"/>
      <c r="F285" s="29"/>
      <c r="G285" s="29"/>
      <c r="H285" s="29"/>
      <c r="I285" s="29"/>
    </row>
    <row r="286">
      <c r="A286" s="29"/>
      <c r="B286" s="29"/>
      <c r="C286" s="29"/>
      <c r="D286" s="29"/>
      <c r="E286" s="29"/>
      <c r="F286" s="29"/>
      <c r="G286" s="29"/>
      <c r="H286" s="29"/>
      <c r="I286" s="29"/>
    </row>
    <row r="287">
      <c r="A287" s="29"/>
      <c r="B287" s="29"/>
      <c r="C287" s="29"/>
      <c r="D287" s="29"/>
      <c r="E287" s="29"/>
      <c r="F287" s="29"/>
      <c r="G287" s="29"/>
      <c r="H287" s="29"/>
      <c r="I287" s="29"/>
    </row>
    <row r="288">
      <c r="A288" s="29"/>
      <c r="B288" s="29"/>
      <c r="C288" s="29"/>
      <c r="D288" s="29"/>
      <c r="E288" s="29"/>
      <c r="F288" s="29"/>
      <c r="G288" s="29"/>
      <c r="H288" s="29"/>
      <c r="I288" s="29"/>
    </row>
    <row r="289">
      <c r="A289" s="29"/>
      <c r="B289" s="29"/>
      <c r="C289" s="29"/>
      <c r="D289" s="29"/>
      <c r="E289" s="29"/>
      <c r="F289" s="29"/>
      <c r="G289" s="29"/>
      <c r="H289" s="29"/>
      <c r="I289" s="29"/>
    </row>
    <row r="290">
      <c r="A290" s="29"/>
      <c r="B290" s="29"/>
      <c r="C290" s="29"/>
      <c r="D290" s="29"/>
      <c r="E290" s="29"/>
      <c r="F290" s="29"/>
      <c r="G290" s="29"/>
      <c r="H290" s="29"/>
      <c r="I290" s="29"/>
    </row>
    <row r="291">
      <c r="A291" s="29"/>
      <c r="B291" s="29"/>
      <c r="C291" s="29"/>
      <c r="D291" s="29"/>
      <c r="E291" s="29"/>
      <c r="F291" s="29"/>
      <c r="G291" s="29"/>
      <c r="H291" s="29"/>
      <c r="I291" s="29"/>
    </row>
    <row r="292">
      <c r="A292" s="29"/>
      <c r="B292" s="29"/>
      <c r="C292" s="29"/>
      <c r="D292" s="29"/>
      <c r="E292" s="29"/>
      <c r="F292" s="29"/>
      <c r="G292" s="29"/>
      <c r="H292" s="29"/>
      <c r="I292" s="29"/>
    </row>
    <row r="293">
      <c r="A293" s="29"/>
      <c r="B293" s="29"/>
      <c r="C293" s="29"/>
      <c r="D293" s="29"/>
      <c r="E293" s="29"/>
      <c r="F293" s="29"/>
      <c r="G293" s="29"/>
      <c r="H293" s="29"/>
      <c r="I293" s="29"/>
    </row>
    <row r="294">
      <c r="A294" s="29"/>
      <c r="B294" s="29"/>
      <c r="C294" s="29"/>
      <c r="D294" s="29"/>
      <c r="E294" s="29"/>
      <c r="F294" s="29"/>
      <c r="G294" s="29"/>
      <c r="H294" s="29"/>
      <c r="I294" s="29"/>
    </row>
    <row r="295">
      <c r="A295" s="29"/>
      <c r="B295" s="29"/>
      <c r="C295" s="29"/>
      <c r="D295" s="29"/>
      <c r="E295" s="29"/>
      <c r="F295" s="29"/>
      <c r="G295" s="29"/>
      <c r="H295" s="29"/>
      <c r="I295" s="29"/>
    </row>
    <row r="296">
      <c r="A296" s="29"/>
      <c r="B296" s="29"/>
      <c r="C296" s="29"/>
      <c r="D296" s="29"/>
      <c r="E296" s="29"/>
      <c r="F296" s="29"/>
      <c r="G296" s="29"/>
      <c r="H296" s="29"/>
      <c r="I296" s="29"/>
    </row>
    <row r="297">
      <c r="A297" s="29"/>
      <c r="B297" s="29"/>
      <c r="C297" s="29"/>
      <c r="D297" s="29"/>
      <c r="E297" s="29"/>
      <c r="F297" s="29"/>
      <c r="G297" s="29"/>
      <c r="H297" s="29"/>
      <c r="I297" s="29"/>
    </row>
    <row r="298">
      <c r="A298" s="29"/>
      <c r="B298" s="29"/>
      <c r="C298" s="29"/>
      <c r="D298" s="29"/>
      <c r="E298" s="29"/>
      <c r="F298" s="29"/>
      <c r="G298" s="29"/>
      <c r="H298" s="29"/>
      <c r="I298" s="29"/>
    </row>
    <row r="299">
      <c r="A299" s="29"/>
      <c r="B299" s="29"/>
      <c r="C299" s="29"/>
      <c r="D299" s="29"/>
      <c r="E299" s="29"/>
      <c r="F299" s="29"/>
      <c r="G299" s="29"/>
      <c r="H299" s="29"/>
      <c r="I299" s="29"/>
    </row>
    <row r="300">
      <c r="A300" s="29"/>
      <c r="B300" s="29"/>
      <c r="C300" s="29"/>
      <c r="D300" s="29"/>
      <c r="E300" s="29"/>
      <c r="F300" s="29"/>
      <c r="G300" s="29"/>
      <c r="H300" s="29"/>
      <c r="I300" s="29"/>
    </row>
    <row r="301">
      <c r="A301" s="29"/>
      <c r="B301" s="29"/>
      <c r="C301" s="29"/>
      <c r="D301" s="29"/>
      <c r="E301" s="29"/>
      <c r="F301" s="29"/>
      <c r="G301" s="29"/>
      <c r="H301" s="29"/>
      <c r="I301" s="29"/>
    </row>
    <row r="302">
      <c r="A302" s="29"/>
      <c r="B302" s="29"/>
      <c r="C302" s="29"/>
      <c r="D302" s="29"/>
      <c r="E302" s="29"/>
      <c r="F302" s="29"/>
      <c r="G302" s="29"/>
      <c r="H302" s="29"/>
      <c r="I302" s="29"/>
    </row>
    <row r="303">
      <c r="A303" s="29"/>
      <c r="B303" s="29"/>
      <c r="C303" s="29"/>
      <c r="D303" s="29"/>
      <c r="E303" s="29"/>
      <c r="F303" s="29"/>
      <c r="G303" s="29"/>
      <c r="H303" s="29"/>
      <c r="I303" s="29"/>
    </row>
    <row r="304">
      <c r="A304" s="29"/>
      <c r="B304" s="29"/>
      <c r="C304" s="29"/>
      <c r="D304" s="29"/>
      <c r="E304" s="29"/>
      <c r="F304" s="29"/>
      <c r="G304" s="29"/>
      <c r="H304" s="29"/>
      <c r="I304" s="29"/>
    </row>
    <row r="305">
      <c r="A305" s="29"/>
      <c r="B305" s="29"/>
      <c r="C305" s="29"/>
      <c r="D305" s="29"/>
      <c r="E305" s="29"/>
      <c r="F305" s="29"/>
      <c r="G305" s="29"/>
      <c r="H305" s="29"/>
      <c r="I305" s="29"/>
    </row>
    <row r="306">
      <c r="A306" s="29"/>
      <c r="B306" s="29"/>
      <c r="C306" s="29"/>
      <c r="D306" s="29"/>
      <c r="E306" s="29"/>
      <c r="F306" s="29"/>
      <c r="G306" s="29"/>
      <c r="H306" s="29"/>
      <c r="I306" s="29"/>
    </row>
    <row r="307">
      <c r="A307" s="29"/>
      <c r="B307" s="29"/>
      <c r="C307" s="29"/>
      <c r="D307" s="29"/>
      <c r="E307" s="29"/>
      <c r="F307" s="29"/>
      <c r="G307" s="29"/>
      <c r="H307" s="29"/>
      <c r="I307" s="29"/>
    </row>
    <row r="308">
      <c r="A308" s="29"/>
      <c r="B308" s="29"/>
      <c r="C308" s="29"/>
      <c r="D308" s="29"/>
      <c r="E308" s="29"/>
      <c r="F308" s="29"/>
      <c r="G308" s="29"/>
      <c r="H308" s="29"/>
      <c r="I308" s="29"/>
    </row>
    <row r="309">
      <c r="A309" s="29"/>
      <c r="B309" s="29"/>
      <c r="C309" s="29"/>
      <c r="D309" s="29"/>
      <c r="E309" s="29"/>
      <c r="F309" s="29"/>
      <c r="G309" s="29"/>
      <c r="H309" s="29"/>
      <c r="I309" s="29"/>
    </row>
    <row r="310">
      <c r="A310" s="29"/>
      <c r="B310" s="29"/>
      <c r="C310" s="29"/>
      <c r="D310" s="29"/>
      <c r="E310" s="29"/>
      <c r="F310" s="29"/>
      <c r="G310" s="29"/>
      <c r="H310" s="29"/>
      <c r="I310" s="29"/>
    </row>
    <row r="311">
      <c r="A311" s="29"/>
      <c r="B311" s="29"/>
      <c r="C311" s="29"/>
      <c r="D311" s="29"/>
      <c r="E311" s="29"/>
      <c r="F311" s="29"/>
      <c r="G311" s="29"/>
      <c r="H311" s="29"/>
      <c r="I311" s="29"/>
    </row>
    <row r="312">
      <c r="A312" s="29"/>
      <c r="B312" s="29"/>
      <c r="C312" s="29"/>
      <c r="D312" s="29"/>
      <c r="E312" s="29"/>
      <c r="F312" s="29"/>
      <c r="G312" s="29"/>
      <c r="H312" s="29"/>
      <c r="I312" s="29"/>
    </row>
    <row r="313">
      <c r="A313" s="29"/>
      <c r="B313" s="29"/>
      <c r="C313" s="29"/>
      <c r="D313" s="29"/>
      <c r="E313" s="29"/>
      <c r="F313" s="29"/>
      <c r="G313" s="29"/>
      <c r="H313" s="29"/>
      <c r="I313" s="29"/>
    </row>
    <row r="314">
      <c r="A314" s="29"/>
      <c r="B314" s="29"/>
      <c r="C314" s="29"/>
      <c r="D314" s="29"/>
      <c r="E314" s="29"/>
      <c r="F314" s="29"/>
      <c r="G314" s="29"/>
      <c r="H314" s="29"/>
      <c r="I314" s="29"/>
    </row>
    <row r="315">
      <c r="A315" s="29"/>
      <c r="B315" s="29"/>
      <c r="C315" s="29"/>
      <c r="D315" s="29"/>
      <c r="E315" s="29"/>
      <c r="F315" s="29"/>
      <c r="G315" s="29"/>
      <c r="H315" s="29"/>
      <c r="I315" s="29"/>
    </row>
    <row r="316">
      <c r="A316" s="29"/>
      <c r="B316" s="29"/>
      <c r="C316" s="29"/>
      <c r="D316" s="29"/>
      <c r="E316" s="29"/>
      <c r="F316" s="29"/>
      <c r="G316" s="29"/>
      <c r="H316" s="29"/>
      <c r="I316" s="29"/>
    </row>
    <row r="317">
      <c r="A317" s="29"/>
      <c r="B317" s="29"/>
      <c r="C317" s="29"/>
      <c r="D317" s="29"/>
      <c r="E317" s="29"/>
      <c r="F317" s="29"/>
      <c r="G317" s="29"/>
      <c r="H317" s="29"/>
      <c r="I317" s="29"/>
    </row>
    <row r="318">
      <c r="A318" s="29"/>
      <c r="B318" s="29"/>
      <c r="C318" s="29"/>
      <c r="D318" s="29"/>
      <c r="E318" s="29"/>
      <c r="F318" s="29"/>
      <c r="G318" s="29"/>
      <c r="H318" s="29"/>
      <c r="I318" s="29"/>
    </row>
    <row r="319">
      <c r="A319" s="29"/>
      <c r="B319" s="29"/>
      <c r="C319" s="29"/>
      <c r="D319" s="29"/>
      <c r="E319" s="29"/>
      <c r="F319" s="29"/>
      <c r="G319" s="29"/>
      <c r="H319" s="29"/>
      <c r="I319" s="29"/>
    </row>
    <row r="320">
      <c r="A320" s="29"/>
      <c r="B320" s="29"/>
      <c r="C320" s="29"/>
      <c r="D320" s="29"/>
      <c r="E320" s="29"/>
      <c r="F320" s="29"/>
      <c r="G320" s="29"/>
      <c r="H320" s="29"/>
      <c r="I320" s="29"/>
    </row>
    <row r="321">
      <c r="A321" s="29"/>
      <c r="B321" s="29"/>
      <c r="C321" s="29"/>
      <c r="D321" s="29"/>
      <c r="E321" s="29"/>
      <c r="F321" s="29"/>
      <c r="G321" s="29"/>
      <c r="H321" s="29"/>
      <c r="I321" s="29"/>
    </row>
    <row r="322">
      <c r="A322" s="29"/>
      <c r="B322" s="29"/>
      <c r="C322" s="29"/>
      <c r="D322" s="29"/>
      <c r="E322" s="29"/>
      <c r="F322" s="29"/>
      <c r="G322" s="29"/>
      <c r="H322" s="29"/>
      <c r="I322" s="29"/>
    </row>
    <row r="323">
      <c r="A323" s="29"/>
      <c r="B323" s="29"/>
      <c r="C323" s="29"/>
      <c r="D323" s="29"/>
      <c r="E323" s="29"/>
      <c r="F323" s="29"/>
      <c r="G323" s="29"/>
      <c r="H323" s="29"/>
      <c r="I323" s="29"/>
    </row>
    <row r="324">
      <c r="A324" s="29"/>
      <c r="B324" s="29"/>
      <c r="C324" s="29"/>
      <c r="D324" s="29"/>
      <c r="E324" s="29"/>
      <c r="F324" s="29"/>
      <c r="G324" s="29"/>
      <c r="H324" s="29"/>
      <c r="I324" s="29"/>
    </row>
    <row r="325">
      <c r="A325" s="29"/>
      <c r="B325" s="29"/>
      <c r="C325" s="29"/>
      <c r="D325" s="29"/>
      <c r="E325" s="29"/>
      <c r="F325" s="29"/>
      <c r="G325" s="29"/>
      <c r="H325" s="29"/>
      <c r="I325" s="29"/>
    </row>
    <row r="326">
      <c r="A326" s="29"/>
      <c r="B326" s="29"/>
      <c r="C326" s="29"/>
      <c r="D326" s="29"/>
      <c r="E326" s="29"/>
      <c r="F326" s="29"/>
      <c r="G326" s="29"/>
      <c r="H326" s="29"/>
      <c r="I326" s="29"/>
    </row>
    <row r="327">
      <c r="A327" s="29"/>
      <c r="B327" s="29"/>
      <c r="C327" s="29"/>
      <c r="D327" s="29"/>
      <c r="E327" s="29"/>
      <c r="F327" s="29"/>
      <c r="G327" s="29"/>
      <c r="H327" s="29"/>
      <c r="I327" s="29"/>
    </row>
    <row r="328">
      <c r="A328" s="29"/>
      <c r="B328" s="29"/>
      <c r="C328" s="29"/>
      <c r="D328" s="29"/>
      <c r="E328" s="29"/>
      <c r="F328" s="29"/>
      <c r="G328" s="29"/>
      <c r="H328" s="29"/>
      <c r="I328" s="29"/>
    </row>
    <row r="329">
      <c r="A329" s="29"/>
      <c r="B329" s="29"/>
      <c r="C329" s="29"/>
      <c r="D329" s="29"/>
      <c r="E329" s="29"/>
      <c r="F329" s="29"/>
      <c r="G329" s="29"/>
      <c r="H329" s="29"/>
      <c r="I329" s="29"/>
    </row>
    <row r="330">
      <c r="A330" s="29"/>
      <c r="B330" s="29"/>
      <c r="C330" s="29"/>
      <c r="D330" s="29"/>
      <c r="E330" s="29"/>
      <c r="F330" s="29"/>
      <c r="G330" s="29"/>
      <c r="H330" s="29"/>
      <c r="I330" s="29"/>
    </row>
    <row r="331">
      <c r="A331" s="29"/>
      <c r="B331" s="29"/>
      <c r="C331" s="29"/>
      <c r="D331" s="29"/>
      <c r="E331" s="29"/>
      <c r="F331" s="29"/>
      <c r="G331" s="29"/>
      <c r="H331" s="29"/>
      <c r="I331" s="29"/>
    </row>
    <row r="332">
      <c r="A332" s="29"/>
      <c r="B332" s="29"/>
      <c r="C332" s="29"/>
      <c r="D332" s="29"/>
      <c r="E332" s="29"/>
      <c r="F332" s="29"/>
      <c r="G332" s="29"/>
      <c r="H332" s="29"/>
      <c r="I332" s="29"/>
    </row>
    <row r="333">
      <c r="A333" s="29"/>
      <c r="B333" s="29"/>
      <c r="C333" s="29"/>
      <c r="D333" s="29"/>
      <c r="E333" s="29"/>
      <c r="F333" s="29"/>
      <c r="G333" s="29"/>
      <c r="H333" s="29"/>
      <c r="I333" s="29"/>
    </row>
    <row r="334">
      <c r="A334" s="29"/>
      <c r="B334" s="29"/>
      <c r="C334" s="29"/>
      <c r="D334" s="29"/>
      <c r="E334" s="29"/>
      <c r="F334" s="29"/>
      <c r="G334" s="29"/>
      <c r="H334" s="29"/>
      <c r="I334" s="29"/>
    </row>
    <row r="335">
      <c r="A335" s="29"/>
      <c r="B335" s="29"/>
      <c r="C335" s="29"/>
      <c r="D335" s="29"/>
      <c r="E335" s="29"/>
      <c r="F335" s="29"/>
      <c r="G335" s="29"/>
      <c r="H335" s="29"/>
      <c r="I335" s="29"/>
    </row>
    <row r="336">
      <c r="A336" s="29"/>
      <c r="B336" s="29"/>
      <c r="C336" s="29"/>
      <c r="D336" s="29"/>
      <c r="E336" s="29"/>
      <c r="F336" s="29"/>
      <c r="G336" s="29"/>
      <c r="H336" s="29"/>
      <c r="I336" s="29"/>
    </row>
    <row r="337">
      <c r="A337" s="29"/>
      <c r="B337" s="29"/>
      <c r="C337" s="29"/>
      <c r="D337" s="29"/>
      <c r="E337" s="29"/>
      <c r="F337" s="29"/>
      <c r="G337" s="29"/>
      <c r="H337" s="29"/>
      <c r="I337" s="29"/>
    </row>
    <row r="338">
      <c r="A338" s="29"/>
      <c r="B338" s="29"/>
      <c r="C338" s="29"/>
      <c r="D338" s="29"/>
      <c r="E338" s="29"/>
      <c r="F338" s="29"/>
      <c r="G338" s="29"/>
      <c r="H338" s="29"/>
      <c r="I338" s="29"/>
    </row>
    <row r="339">
      <c r="A339" s="29"/>
      <c r="B339" s="29"/>
      <c r="C339" s="29"/>
      <c r="D339" s="29"/>
      <c r="E339" s="29"/>
      <c r="F339" s="29"/>
      <c r="G339" s="29"/>
      <c r="H339" s="29"/>
      <c r="I339" s="29"/>
    </row>
    <row r="340">
      <c r="A340" s="29"/>
      <c r="B340" s="29"/>
      <c r="C340" s="29"/>
      <c r="D340" s="29"/>
      <c r="E340" s="29"/>
      <c r="F340" s="29"/>
      <c r="G340" s="29"/>
      <c r="H340" s="29"/>
      <c r="I340" s="29"/>
    </row>
    <row r="341">
      <c r="A341" s="29"/>
      <c r="B341" s="29"/>
      <c r="C341" s="29"/>
      <c r="D341" s="29"/>
      <c r="E341" s="29"/>
      <c r="F341" s="29"/>
      <c r="G341" s="29"/>
      <c r="H341" s="29"/>
      <c r="I341" s="29"/>
    </row>
    <row r="342">
      <c r="A342" s="29"/>
      <c r="B342" s="29"/>
      <c r="C342" s="29"/>
      <c r="D342" s="29"/>
      <c r="E342" s="29"/>
      <c r="F342" s="29"/>
      <c r="G342" s="29"/>
      <c r="H342" s="29"/>
      <c r="I342" s="29"/>
    </row>
    <row r="343">
      <c r="A343" s="29"/>
      <c r="B343" s="29"/>
      <c r="C343" s="29"/>
      <c r="D343" s="29"/>
      <c r="E343" s="29"/>
      <c r="F343" s="29"/>
      <c r="G343" s="29"/>
      <c r="H343" s="29"/>
      <c r="I343" s="29"/>
    </row>
    <row r="344">
      <c r="A344" s="29"/>
      <c r="B344" s="29"/>
      <c r="C344" s="29"/>
      <c r="D344" s="29"/>
      <c r="E344" s="29"/>
      <c r="F344" s="29"/>
      <c r="G344" s="29"/>
      <c r="H344" s="29"/>
      <c r="I344" s="29"/>
    </row>
    <row r="345">
      <c r="A345" s="29"/>
      <c r="B345" s="29"/>
      <c r="C345" s="29"/>
      <c r="D345" s="29"/>
      <c r="E345" s="29"/>
      <c r="F345" s="29"/>
      <c r="G345" s="29"/>
      <c r="H345" s="29"/>
      <c r="I345" s="29"/>
    </row>
    <row r="346">
      <c r="A346" s="29"/>
      <c r="B346" s="29"/>
      <c r="C346" s="29"/>
      <c r="D346" s="29"/>
      <c r="E346" s="29"/>
      <c r="F346" s="29"/>
      <c r="G346" s="29"/>
      <c r="H346" s="29"/>
      <c r="I346" s="29"/>
    </row>
    <row r="347">
      <c r="A347" s="29"/>
      <c r="B347" s="29"/>
      <c r="C347" s="29"/>
      <c r="D347" s="29"/>
      <c r="E347" s="29"/>
      <c r="F347" s="29"/>
      <c r="G347" s="29"/>
      <c r="H347" s="29"/>
      <c r="I347" s="29"/>
    </row>
    <row r="348">
      <c r="A348" s="29"/>
      <c r="B348" s="29"/>
      <c r="C348" s="29"/>
      <c r="D348" s="29"/>
      <c r="E348" s="29"/>
      <c r="F348" s="29"/>
      <c r="G348" s="29"/>
      <c r="H348" s="29"/>
      <c r="I348" s="29"/>
    </row>
    <row r="349">
      <c r="A349" s="29"/>
      <c r="B349" s="29"/>
      <c r="C349" s="29"/>
      <c r="D349" s="29"/>
      <c r="E349" s="29"/>
      <c r="F349" s="29"/>
      <c r="G349" s="29"/>
      <c r="H349" s="29"/>
      <c r="I349" s="29"/>
    </row>
    <row r="350">
      <c r="A350" s="29"/>
      <c r="B350" s="29"/>
      <c r="C350" s="29"/>
      <c r="D350" s="29"/>
      <c r="E350" s="29"/>
      <c r="F350" s="29"/>
      <c r="G350" s="29"/>
      <c r="H350" s="29"/>
      <c r="I350" s="29"/>
    </row>
    <row r="351">
      <c r="A351" s="29"/>
      <c r="B351" s="29"/>
      <c r="C351" s="29"/>
      <c r="D351" s="29"/>
      <c r="E351" s="29"/>
      <c r="F351" s="29"/>
      <c r="G351" s="29"/>
      <c r="H351" s="29"/>
      <c r="I351" s="29"/>
    </row>
    <row r="352">
      <c r="A352" s="29"/>
      <c r="B352" s="29"/>
      <c r="C352" s="29"/>
      <c r="D352" s="29"/>
      <c r="E352" s="29"/>
      <c r="F352" s="29"/>
      <c r="G352" s="29"/>
      <c r="H352" s="29"/>
      <c r="I352" s="29"/>
    </row>
    <row r="353">
      <c r="A353" s="29"/>
      <c r="B353" s="29"/>
      <c r="C353" s="29"/>
      <c r="D353" s="29"/>
      <c r="E353" s="29"/>
      <c r="F353" s="29"/>
      <c r="G353" s="29"/>
      <c r="H353" s="29"/>
      <c r="I353" s="29"/>
    </row>
    <row r="354">
      <c r="A354" s="29"/>
      <c r="B354" s="29"/>
      <c r="C354" s="29"/>
      <c r="D354" s="29"/>
      <c r="E354" s="29"/>
      <c r="F354" s="29"/>
      <c r="G354" s="29"/>
      <c r="H354" s="29"/>
      <c r="I354" s="29"/>
    </row>
    <row r="355">
      <c r="A355" s="29"/>
      <c r="B355" s="29"/>
      <c r="C355" s="29"/>
      <c r="D355" s="29"/>
      <c r="E355" s="29"/>
      <c r="F355" s="29"/>
      <c r="G355" s="29"/>
      <c r="H355" s="29"/>
      <c r="I355" s="29"/>
    </row>
    <row r="356">
      <c r="A356" s="29"/>
      <c r="B356" s="29"/>
      <c r="C356" s="29"/>
      <c r="D356" s="29"/>
      <c r="E356" s="29"/>
      <c r="F356" s="29"/>
      <c r="G356" s="29"/>
      <c r="H356" s="29"/>
      <c r="I356" s="29"/>
    </row>
    <row r="357">
      <c r="A357" s="29"/>
      <c r="B357" s="29"/>
      <c r="C357" s="29"/>
      <c r="D357" s="29"/>
      <c r="E357" s="29"/>
      <c r="F357" s="29"/>
      <c r="G357" s="29"/>
      <c r="H357" s="29"/>
      <c r="I357" s="29"/>
    </row>
    <row r="358">
      <c r="A358" s="29"/>
      <c r="B358" s="29"/>
      <c r="C358" s="29"/>
      <c r="D358" s="29"/>
      <c r="E358" s="29"/>
      <c r="F358" s="29"/>
      <c r="G358" s="29"/>
      <c r="H358" s="29"/>
      <c r="I358" s="29"/>
    </row>
    <row r="359">
      <c r="A359" s="29"/>
      <c r="B359" s="29"/>
      <c r="C359" s="29"/>
      <c r="D359" s="29"/>
      <c r="E359" s="29"/>
      <c r="F359" s="29"/>
      <c r="G359" s="29"/>
      <c r="H359" s="29"/>
      <c r="I359" s="29"/>
    </row>
    <row r="360">
      <c r="A360" s="29"/>
      <c r="B360" s="29"/>
      <c r="C360" s="29"/>
      <c r="D360" s="29"/>
      <c r="E360" s="29"/>
      <c r="F360" s="29"/>
      <c r="G360" s="29"/>
      <c r="H360" s="29"/>
      <c r="I360" s="29"/>
    </row>
    <row r="361">
      <c r="A361" s="29"/>
      <c r="B361" s="29"/>
      <c r="C361" s="29"/>
      <c r="D361" s="29"/>
      <c r="E361" s="29"/>
      <c r="F361" s="29"/>
      <c r="G361" s="29"/>
      <c r="H361" s="29"/>
      <c r="I361" s="29"/>
    </row>
    <row r="362">
      <c r="A362" s="29"/>
      <c r="B362" s="29"/>
      <c r="C362" s="29"/>
      <c r="D362" s="29"/>
      <c r="E362" s="29"/>
      <c r="F362" s="29"/>
      <c r="G362" s="29"/>
      <c r="H362" s="29"/>
      <c r="I362" s="29"/>
    </row>
    <row r="363">
      <c r="A363" s="29"/>
      <c r="B363" s="29"/>
      <c r="C363" s="29"/>
      <c r="D363" s="29"/>
      <c r="E363" s="29"/>
      <c r="F363" s="29"/>
      <c r="G363" s="29"/>
      <c r="H363" s="29"/>
      <c r="I363" s="29"/>
    </row>
    <row r="364">
      <c r="A364" s="29"/>
      <c r="B364" s="29"/>
      <c r="C364" s="29"/>
      <c r="D364" s="29"/>
      <c r="E364" s="29"/>
      <c r="F364" s="29"/>
      <c r="G364" s="29"/>
      <c r="H364" s="29"/>
      <c r="I364" s="29"/>
    </row>
    <row r="365">
      <c r="A365" s="29"/>
      <c r="B365" s="29"/>
      <c r="C365" s="29"/>
      <c r="D365" s="29"/>
      <c r="E365" s="29"/>
      <c r="F365" s="29"/>
      <c r="G365" s="29"/>
      <c r="H365" s="29"/>
      <c r="I365" s="29"/>
    </row>
    <row r="366">
      <c r="A366" s="29"/>
      <c r="B366" s="29"/>
      <c r="C366" s="29"/>
      <c r="D366" s="29"/>
      <c r="E366" s="29"/>
      <c r="F366" s="29"/>
      <c r="G366" s="29"/>
      <c r="H366" s="29"/>
      <c r="I366" s="29"/>
    </row>
    <row r="367">
      <c r="A367" s="29"/>
      <c r="B367" s="29"/>
      <c r="C367" s="29"/>
      <c r="D367" s="29"/>
      <c r="E367" s="29"/>
      <c r="F367" s="29"/>
      <c r="G367" s="29"/>
      <c r="H367" s="29"/>
      <c r="I367" s="29"/>
    </row>
    <row r="368">
      <c r="A368" s="29"/>
      <c r="B368" s="29"/>
      <c r="C368" s="29"/>
      <c r="D368" s="29"/>
      <c r="E368" s="29"/>
      <c r="F368" s="29"/>
      <c r="G368" s="29"/>
      <c r="H368" s="29"/>
      <c r="I368" s="29"/>
    </row>
    <row r="369">
      <c r="A369" s="29"/>
      <c r="B369" s="29"/>
      <c r="C369" s="29"/>
      <c r="D369" s="29"/>
      <c r="E369" s="29"/>
      <c r="F369" s="29"/>
      <c r="G369" s="29"/>
      <c r="H369" s="29"/>
      <c r="I369" s="29"/>
    </row>
    <row r="370">
      <c r="A370" s="29"/>
      <c r="B370" s="29"/>
      <c r="C370" s="29"/>
      <c r="D370" s="29"/>
      <c r="E370" s="29"/>
      <c r="F370" s="29"/>
      <c r="G370" s="29"/>
      <c r="H370" s="29"/>
      <c r="I370" s="29"/>
    </row>
    <row r="371">
      <c r="A371" s="29"/>
      <c r="B371" s="29"/>
      <c r="C371" s="29"/>
      <c r="D371" s="29"/>
      <c r="E371" s="29"/>
      <c r="F371" s="29"/>
      <c r="G371" s="29"/>
      <c r="H371" s="29"/>
      <c r="I371" s="29"/>
    </row>
    <row r="372">
      <c r="A372" s="29"/>
      <c r="B372" s="29"/>
      <c r="C372" s="29"/>
      <c r="D372" s="29"/>
      <c r="E372" s="29"/>
      <c r="F372" s="29"/>
      <c r="G372" s="29"/>
      <c r="H372" s="29"/>
      <c r="I372" s="29"/>
    </row>
    <row r="373">
      <c r="A373" s="29"/>
      <c r="B373" s="29"/>
      <c r="C373" s="29"/>
      <c r="D373" s="29"/>
      <c r="E373" s="29"/>
      <c r="F373" s="29"/>
      <c r="G373" s="29"/>
      <c r="H373" s="29"/>
      <c r="I373" s="29"/>
    </row>
    <row r="374">
      <c r="A374" s="29"/>
      <c r="B374" s="29"/>
      <c r="C374" s="29"/>
      <c r="D374" s="29"/>
      <c r="E374" s="29"/>
      <c r="F374" s="29"/>
      <c r="G374" s="29"/>
      <c r="H374" s="29"/>
      <c r="I374" s="29"/>
    </row>
    <row r="375">
      <c r="A375" s="29"/>
      <c r="B375" s="29"/>
      <c r="C375" s="29"/>
      <c r="D375" s="29"/>
      <c r="E375" s="29"/>
      <c r="F375" s="29"/>
      <c r="G375" s="29"/>
      <c r="H375" s="29"/>
      <c r="I375" s="29"/>
    </row>
    <row r="376">
      <c r="A376" s="29"/>
      <c r="B376" s="29"/>
      <c r="C376" s="29"/>
      <c r="D376" s="29"/>
      <c r="E376" s="29"/>
      <c r="F376" s="29"/>
      <c r="G376" s="29"/>
      <c r="H376" s="29"/>
      <c r="I376" s="29"/>
    </row>
    <row r="377">
      <c r="A377" s="29"/>
      <c r="B377" s="29"/>
      <c r="C377" s="29"/>
      <c r="D377" s="29"/>
      <c r="E377" s="29"/>
      <c r="F377" s="29"/>
      <c r="G377" s="29"/>
      <c r="H377" s="29"/>
      <c r="I377" s="29"/>
    </row>
    <row r="378">
      <c r="A378" s="29"/>
      <c r="B378" s="29"/>
      <c r="C378" s="29"/>
      <c r="D378" s="29"/>
      <c r="E378" s="29"/>
      <c r="F378" s="29"/>
      <c r="G378" s="29"/>
      <c r="H378" s="29"/>
      <c r="I378" s="29"/>
    </row>
    <row r="379">
      <c r="A379" s="29"/>
      <c r="B379" s="29"/>
      <c r="C379" s="29"/>
      <c r="D379" s="29"/>
      <c r="E379" s="29"/>
      <c r="F379" s="29"/>
      <c r="G379" s="29"/>
      <c r="H379" s="29"/>
      <c r="I379" s="29"/>
    </row>
    <row r="380">
      <c r="A380" s="29"/>
      <c r="B380" s="29"/>
      <c r="C380" s="29"/>
      <c r="D380" s="29"/>
      <c r="E380" s="29"/>
      <c r="F380" s="29"/>
      <c r="G380" s="29"/>
      <c r="H380" s="29"/>
      <c r="I380" s="29"/>
    </row>
    <row r="381">
      <c r="A381" s="29"/>
      <c r="B381" s="29"/>
      <c r="C381" s="29"/>
      <c r="D381" s="29"/>
      <c r="E381" s="29"/>
      <c r="F381" s="29"/>
      <c r="G381" s="29"/>
      <c r="H381" s="29"/>
      <c r="I381" s="29"/>
    </row>
    <row r="382">
      <c r="A382" s="29"/>
      <c r="B382" s="29"/>
      <c r="C382" s="29"/>
      <c r="D382" s="29"/>
      <c r="E382" s="29"/>
      <c r="F382" s="29"/>
      <c r="G382" s="29"/>
      <c r="H382" s="29"/>
      <c r="I382" s="29"/>
    </row>
    <row r="383">
      <c r="A383" s="29"/>
      <c r="B383" s="29"/>
      <c r="C383" s="29"/>
      <c r="D383" s="29"/>
      <c r="E383" s="29"/>
      <c r="F383" s="29"/>
      <c r="G383" s="29"/>
      <c r="H383" s="29"/>
      <c r="I383" s="29"/>
    </row>
    <row r="384">
      <c r="A384" s="29"/>
      <c r="B384" s="29"/>
      <c r="C384" s="29"/>
      <c r="D384" s="29"/>
      <c r="E384" s="29"/>
      <c r="F384" s="29"/>
      <c r="G384" s="29"/>
      <c r="H384" s="29"/>
      <c r="I384" s="29"/>
    </row>
    <row r="385">
      <c r="A385" s="29"/>
      <c r="B385" s="29"/>
      <c r="C385" s="29"/>
      <c r="D385" s="29"/>
      <c r="E385" s="29"/>
      <c r="F385" s="29"/>
      <c r="G385" s="29"/>
      <c r="H385" s="29"/>
      <c r="I385" s="29"/>
    </row>
    <row r="386">
      <c r="A386" s="29"/>
      <c r="B386" s="29"/>
      <c r="C386" s="29"/>
      <c r="D386" s="29"/>
      <c r="E386" s="29"/>
      <c r="F386" s="29"/>
      <c r="G386" s="29"/>
      <c r="H386" s="29"/>
      <c r="I386" s="29"/>
    </row>
    <row r="387">
      <c r="A387" s="29"/>
      <c r="B387" s="29"/>
      <c r="C387" s="29"/>
      <c r="D387" s="29"/>
      <c r="E387" s="29"/>
      <c r="F387" s="29"/>
      <c r="G387" s="29"/>
      <c r="H387" s="29"/>
      <c r="I387" s="29"/>
    </row>
    <row r="388">
      <c r="A388" s="29"/>
      <c r="B388" s="29"/>
      <c r="C388" s="29"/>
      <c r="D388" s="29"/>
      <c r="E388" s="29"/>
      <c r="F388" s="29"/>
      <c r="G388" s="29"/>
      <c r="H388" s="29"/>
      <c r="I388" s="29"/>
    </row>
    <row r="389">
      <c r="A389" s="29"/>
      <c r="B389" s="29"/>
      <c r="C389" s="29"/>
      <c r="D389" s="29"/>
      <c r="E389" s="29"/>
      <c r="F389" s="29"/>
      <c r="G389" s="29"/>
      <c r="H389" s="29"/>
      <c r="I389" s="29"/>
    </row>
    <row r="390">
      <c r="A390" s="29"/>
      <c r="B390" s="29"/>
      <c r="C390" s="29"/>
      <c r="D390" s="29"/>
      <c r="E390" s="29"/>
      <c r="F390" s="29"/>
      <c r="G390" s="29"/>
      <c r="H390" s="29"/>
      <c r="I390" s="29"/>
    </row>
    <row r="391">
      <c r="A391" s="29"/>
      <c r="B391" s="29"/>
      <c r="C391" s="29"/>
      <c r="D391" s="29"/>
      <c r="E391" s="29"/>
      <c r="F391" s="29"/>
      <c r="G391" s="29"/>
      <c r="H391" s="29"/>
      <c r="I391" s="29"/>
    </row>
    <row r="392">
      <c r="A392" s="29"/>
      <c r="B392" s="29"/>
      <c r="C392" s="29"/>
      <c r="D392" s="29"/>
      <c r="E392" s="29"/>
      <c r="F392" s="29"/>
      <c r="G392" s="29"/>
      <c r="H392" s="29"/>
      <c r="I392" s="29"/>
    </row>
    <row r="393">
      <c r="A393" s="29"/>
      <c r="B393" s="29"/>
      <c r="C393" s="29"/>
      <c r="D393" s="29"/>
      <c r="E393" s="29"/>
      <c r="F393" s="29"/>
      <c r="G393" s="29"/>
      <c r="H393" s="29"/>
      <c r="I393" s="29"/>
    </row>
    <row r="394">
      <c r="A394" s="29"/>
      <c r="B394" s="29"/>
      <c r="C394" s="29"/>
      <c r="D394" s="29"/>
      <c r="E394" s="29"/>
      <c r="F394" s="29"/>
      <c r="G394" s="29"/>
      <c r="H394" s="29"/>
      <c r="I394" s="29"/>
    </row>
    <row r="395">
      <c r="A395" s="29"/>
      <c r="B395" s="29"/>
      <c r="C395" s="29"/>
      <c r="D395" s="29"/>
      <c r="E395" s="29"/>
      <c r="F395" s="29"/>
      <c r="G395" s="29"/>
      <c r="H395" s="29"/>
      <c r="I395" s="29"/>
    </row>
    <row r="396">
      <c r="A396" s="29"/>
      <c r="B396" s="29"/>
      <c r="C396" s="29"/>
      <c r="D396" s="29"/>
      <c r="E396" s="29"/>
      <c r="F396" s="29"/>
      <c r="G396" s="29"/>
      <c r="H396" s="29"/>
      <c r="I396" s="29"/>
    </row>
    <row r="397">
      <c r="A397" s="29"/>
      <c r="B397" s="29"/>
      <c r="C397" s="29"/>
      <c r="D397" s="29"/>
      <c r="E397" s="29"/>
      <c r="F397" s="29"/>
      <c r="G397" s="29"/>
      <c r="H397" s="29"/>
      <c r="I397" s="29"/>
    </row>
    <row r="398">
      <c r="A398" s="29"/>
      <c r="B398" s="29"/>
      <c r="C398" s="29"/>
      <c r="D398" s="29"/>
      <c r="E398" s="29"/>
      <c r="F398" s="29"/>
      <c r="G398" s="29"/>
      <c r="H398" s="29"/>
      <c r="I398" s="29"/>
    </row>
    <row r="399">
      <c r="A399" s="29"/>
      <c r="B399" s="29"/>
      <c r="C399" s="29"/>
      <c r="D399" s="29"/>
      <c r="E399" s="29"/>
      <c r="F399" s="29"/>
      <c r="G399" s="29"/>
      <c r="H399" s="29"/>
      <c r="I399" s="29"/>
    </row>
    <row r="400">
      <c r="A400" s="29"/>
      <c r="B400" s="29"/>
      <c r="C400" s="29"/>
      <c r="D400" s="29"/>
      <c r="E400" s="29"/>
      <c r="F400" s="29"/>
      <c r="G400" s="29"/>
      <c r="H400" s="29"/>
      <c r="I400" s="29"/>
    </row>
    <row r="401">
      <c r="A401" s="29"/>
      <c r="B401" s="29"/>
      <c r="C401" s="29"/>
      <c r="D401" s="29"/>
      <c r="E401" s="29"/>
      <c r="F401" s="29"/>
      <c r="G401" s="29"/>
      <c r="H401" s="29"/>
      <c r="I401" s="29"/>
    </row>
    <row r="402">
      <c r="A402" s="29"/>
      <c r="B402" s="29"/>
      <c r="C402" s="29"/>
      <c r="D402" s="29"/>
      <c r="E402" s="29"/>
      <c r="F402" s="29"/>
      <c r="G402" s="29"/>
      <c r="H402" s="29"/>
      <c r="I402" s="29"/>
    </row>
    <row r="403">
      <c r="A403" s="29"/>
      <c r="B403" s="29"/>
      <c r="C403" s="29"/>
      <c r="D403" s="29"/>
      <c r="E403" s="29"/>
      <c r="F403" s="29"/>
      <c r="G403" s="29"/>
      <c r="H403" s="29"/>
      <c r="I403" s="29"/>
    </row>
    <row r="404">
      <c r="A404" s="29"/>
      <c r="B404" s="29"/>
      <c r="C404" s="29"/>
      <c r="D404" s="29"/>
      <c r="E404" s="29"/>
      <c r="F404" s="29"/>
      <c r="G404" s="29"/>
      <c r="H404" s="29"/>
      <c r="I404" s="29"/>
    </row>
    <row r="405">
      <c r="A405" s="29"/>
      <c r="B405" s="29"/>
      <c r="C405" s="29"/>
      <c r="D405" s="29"/>
      <c r="E405" s="29"/>
      <c r="F405" s="29"/>
      <c r="G405" s="29"/>
      <c r="H405" s="29"/>
      <c r="I405" s="29"/>
    </row>
    <row r="406">
      <c r="A406" s="29"/>
      <c r="B406" s="29"/>
      <c r="C406" s="29"/>
      <c r="D406" s="29"/>
      <c r="E406" s="29"/>
      <c r="F406" s="29"/>
      <c r="G406" s="29"/>
      <c r="H406" s="29"/>
      <c r="I406" s="29"/>
    </row>
    <row r="407">
      <c r="A407" s="29"/>
      <c r="B407" s="29"/>
      <c r="C407" s="29"/>
      <c r="D407" s="29"/>
      <c r="E407" s="29"/>
      <c r="F407" s="29"/>
      <c r="G407" s="29"/>
      <c r="H407" s="29"/>
      <c r="I407" s="29"/>
    </row>
    <row r="408">
      <c r="A408" s="29"/>
      <c r="B408" s="29"/>
      <c r="C408" s="29"/>
      <c r="D408" s="29"/>
      <c r="E408" s="29"/>
      <c r="F408" s="29"/>
      <c r="G408" s="29"/>
      <c r="H408" s="29"/>
      <c r="I408" s="29"/>
    </row>
    <row r="409">
      <c r="A409" s="29"/>
      <c r="B409" s="29"/>
      <c r="C409" s="29"/>
      <c r="D409" s="29"/>
      <c r="E409" s="29"/>
      <c r="F409" s="29"/>
      <c r="G409" s="29"/>
      <c r="H409" s="29"/>
      <c r="I409" s="29"/>
    </row>
    <row r="410">
      <c r="A410" s="29"/>
      <c r="B410" s="29"/>
      <c r="C410" s="29"/>
      <c r="D410" s="29"/>
      <c r="E410" s="29"/>
      <c r="F410" s="29"/>
      <c r="G410" s="29"/>
      <c r="H410" s="29"/>
      <c r="I410" s="29"/>
    </row>
    <row r="411">
      <c r="A411" s="29"/>
      <c r="B411" s="29"/>
      <c r="C411" s="29"/>
      <c r="D411" s="29"/>
      <c r="E411" s="29"/>
      <c r="F411" s="29"/>
      <c r="G411" s="29"/>
      <c r="H411" s="29"/>
      <c r="I411" s="29"/>
    </row>
    <row r="412">
      <c r="A412" s="29"/>
      <c r="B412" s="29"/>
      <c r="C412" s="29"/>
      <c r="D412" s="29"/>
      <c r="E412" s="29"/>
      <c r="F412" s="29"/>
      <c r="G412" s="29"/>
      <c r="H412" s="29"/>
      <c r="I412" s="29"/>
    </row>
    <row r="413">
      <c r="A413" s="29"/>
      <c r="B413" s="29"/>
      <c r="C413" s="29"/>
      <c r="D413" s="29"/>
      <c r="E413" s="29"/>
      <c r="F413" s="29"/>
      <c r="G413" s="29"/>
      <c r="H413" s="29"/>
      <c r="I413" s="29"/>
    </row>
    <row r="414">
      <c r="A414" s="29"/>
      <c r="B414" s="29"/>
      <c r="C414" s="29"/>
      <c r="D414" s="29"/>
      <c r="E414" s="29"/>
      <c r="F414" s="29"/>
      <c r="G414" s="29"/>
      <c r="H414" s="29"/>
      <c r="I414" s="29"/>
    </row>
    <row r="415">
      <c r="A415" s="29"/>
      <c r="B415" s="29"/>
      <c r="C415" s="29"/>
      <c r="D415" s="29"/>
      <c r="E415" s="29"/>
      <c r="F415" s="29"/>
      <c r="G415" s="29"/>
      <c r="H415" s="29"/>
      <c r="I415" s="29"/>
    </row>
    <row r="416">
      <c r="A416" s="29"/>
      <c r="B416" s="29"/>
      <c r="C416" s="29"/>
      <c r="D416" s="29"/>
      <c r="E416" s="29"/>
      <c r="F416" s="29"/>
      <c r="G416" s="29"/>
      <c r="H416" s="29"/>
      <c r="I416" s="29"/>
    </row>
    <row r="417">
      <c r="A417" s="29"/>
      <c r="B417" s="29"/>
      <c r="C417" s="29"/>
      <c r="D417" s="29"/>
      <c r="E417" s="29"/>
      <c r="F417" s="29"/>
      <c r="G417" s="29"/>
      <c r="H417" s="29"/>
      <c r="I417" s="29"/>
    </row>
    <row r="418">
      <c r="A418" s="29"/>
      <c r="B418" s="29"/>
      <c r="C418" s="29"/>
      <c r="D418" s="29"/>
      <c r="E418" s="29"/>
      <c r="F418" s="29"/>
      <c r="G418" s="29"/>
      <c r="H418" s="29"/>
      <c r="I418" s="29"/>
    </row>
    <row r="419">
      <c r="A419" s="29"/>
      <c r="B419" s="29"/>
      <c r="C419" s="29"/>
      <c r="D419" s="29"/>
      <c r="E419" s="29"/>
      <c r="F419" s="29"/>
      <c r="G419" s="29"/>
      <c r="H419" s="29"/>
      <c r="I419" s="29"/>
    </row>
    <row r="420">
      <c r="A420" s="29"/>
      <c r="B420" s="29"/>
      <c r="C420" s="29"/>
      <c r="D420" s="29"/>
      <c r="E420" s="29"/>
      <c r="F420" s="29"/>
      <c r="G420" s="29"/>
      <c r="H420" s="29"/>
      <c r="I420" s="29"/>
    </row>
    <row r="421">
      <c r="A421" s="29"/>
      <c r="B421" s="29"/>
      <c r="C421" s="29"/>
      <c r="D421" s="29"/>
      <c r="E421" s="29"/>
      <c r="F421" s="29"/>
      <c r="G421" s="29"/>
      <c r="H421" s="29"/>
      <c r="I421" s="29"/>
    </row>
    <row r="422">
      <c r="A422" s="29"/>
      <c r="B422" s="29"/>
      <c r="C422" s="29"/>
      <c r="D422" s="29"/>
      <c r="E422" s="29"/>
      <c r="F422" s="29"/>
      <c r="G422" s="29"/>
      <c r="H422" s="29"/>
      <c r="I422" s="29"/>
    </row>
    <row r="423">
      <c r="A423" s="29"/>
      <c r="B423" s="29"/>
      <c r="C423" s="29"/>
      <c r="D423" s="29"/>
      <c r="E423" s="29"/>
      <c r="F423" s="29"/>
      <c r="G423" s="29"/>
      <c r="H423" s="29"/>
      <c r="I423" s="29"/>
    </row>
    <row r="424">
      <c r="A424" s="29"/>
      <c r="B424" s="29"/>
      <c r="C424" s="29"/>
      <c r="D424" s="29"/>
      <c r="E424" s="29"/>
      <c r="F424" s="29"/>
      <c r="G424" s="29"/>
      <c r="H424" s="29"/>
      <c r="I424" s="29"/>
    </row>
    <row r="425">
      <c r="A425" s="29"/>
      <c r="B425" s="29"/>
      <c r="C425" s="29"/>
      <c r="D425" s="29"/>
      <c r="E425" s="29"/>
      <c r="F425" s="29"/>
      <c r="G425" s="29"/>
      <c r="H425" s="29"/>
      <c r="I425" s="29"/>
    </row>
    <row r="426">
      <c r="A426" s="29"/>
      <c r="B426" s="29"/>
      <c r="C426" s="29"/>
      <c r="D426" s="29"/>
      <c r="E426" s="29"/>
      <c r="F426" s="29"/>
      <c r="G426" s="29"/>
      <c r="H426" s="29"/>
      <c r="I426" s="29"/>
    </row>
    <row r="427">
      <c r="A427" s="29"/>
      <c r="B427" s="29"/>
      <c r="C427" s="29"/>
      <c r="D427" s="29"/>
      <c r="E427" s="29"/>
      <c r="F427" s="29"/>
      <c r="G427" s="29"/>
      <c r="H427" s="29"/>
      <c r="I427" s="29"/>
    </row>
    <row r="428">
      <c r="A428" s="29"/>
      <c r="B428" s="29"/>
      <c r="C428" s="29"/>
      <c r="D428" s="29"/>
      <c r="E428" s="29"/>
      <c r="F428" s="29"/>
      <c r="G428" s="29"/>
      <c r="H428" s="29"/>
      <c r="I428" s="29"/>
    </row>
    <row r="429">
      <c r="A429" s="29"/>
      <c r="B429" s="29"/>
      <c r="C429" s="29"/>
      <c r="D429" s="29"/>
      <c r="E429" s="29"/>
      <c r="F429" s="29"/>
      <c r="G429" s="29"/>
      <c r="H429" s="29"/>
      <c r="I429" s="29"/>
    </row>
    <row r="430">
      <c r="A430" s="29"/>
      <c r="B430" s="29"/>
      <c r="C430" s="29"/>
      <c r="D430" s="29"/>
      <c r="E430" s="29"/>
      <c r="F430" s="29"/>
      <c r="G430" s="29"/>
      <c r="H430" s="29"/>
      <c r="I430" s="29"/>
    </row>
    <row r="431">
      <c r="A431" s="29"/>
      <c r="B431" s="29"/>
      <c r="C431" s="29"/>
      <c r="D431" s="29"/>
      <c r="E431" s="29"/>
      <c r="F431" s="29"/>
      <c r="G431" s="29"/>
      <c r="H431" s="29"/>
      <c r="I431" s="29"/>
    </row>
    <row r="432">
      <c r="A432" s="29"/>
      <c r="B432" s="29"/>
      <c r="C432" s="29"/>
      <c r="D432" s="29"/>
      <c r="E432" s="29"/>
      <c r="F432" s="29"/>
      <c r="G432" s="29"/>
      <c r="H432" s="29"/>
      <c r="I432" s="29"/>
    </row>
    <row r="433">
      <c r="A433" s="29"/>
      <c r="B433" s="29"/>
      <c r="C433" s="29"/>
      <c r="D433" s="29"/>
      <c r="E433" s="29"/>
      <c r="F433" s="29"/>
      <c r="G433" s="29"/>
      <c r="H433" s="29"/>
      <c r="I433" s="29"/>
    </row>
    <row r="434">
      <c r="A434" s="29"/>
      <c r="B434" s="29"/>
      <c r="C434" s="29"/>
      <c r="D434" s="29"/>
      <c r="E434" s="29"/>
      <c r="F434" s="29"/>
      <c r="G434" s="29"/>
      <c r="H434" s="29"/>
      <c r="I434" s="29"/>
    </row>
    <row r="435">
      <c r="A435" s="29"/>
      <c r="B435" s="29"/>
      <c r="C435" s="29"/>
      <c r="D435" s="29"/>
      <c r="E435" s="29"/>
      <c r="F435" s="29"/>
      <c r="G435" s="29"/>
      <c r="H435" s="29"/>
      <c r="I435" s="29"/>
    </row>
    <row r="436">
      <c r="A436" s="29"/>
      <c r="B436" s="29"/>
      <c r="C436" s="29"/>
      <c r="D436" s="29"/>
      <c r="E436" s="29"/>
      <c r="F436" s="29"/>
      <c r="G436" s="29"/>
      <c r="H436" s="29"/>
      <c r="I436" s="29"/>
    </row>
    <row r="437">
      <c r="A437" s="29"/>
      <c r="B437" s="29"/>
      <c r="C437" s="29"/>
      <c r="D437" s="29"/>
      <c r="E437" s="29"/>
      <c r="F437" s="29"/>
      <c r="G437" s="29"/>
      <c r="H437" s="29"/>
      <c r="I437" s="29"/>
    </row>
    <row r="438">
      <c r="A438" s="29"/>
      <c r="B438" s="29"/>
      <c r="C438" s="29"/>
      <c r="D438" s="29"/>
      <c r="E438" s="29"/>
      <c r="F438" s="29"/>
      <c r="G438" s="29"/>
      <c r="H438" s="29"/>
      <c r="I438" s="29"/>
    </row>
    <row r="439">
      <c r="A439" s="29"/>
      <c r="B439" s="29"/>
      <c r="C439" s="29"/>
      <c r="D439" s="29"/>
      <c r="E439" s="29"/>
      <c r="F439" s="29"/>
      <c r="G439" s="29"/>
      <c r="H439" s="29"/>
      <c r="I439" s="29"/>
    </row>
    <row r="440">
      <c r="A440" s="29"/>
      <c r="B440" s="29"/>
      <c r="C440" s="29"/>
      <c r="D440" s="29"/>
      <c r="E440" s="29"/>
      <c r="F440" s="29"/>
      <c r="G440" s="29"/>
      <c r="H440" s="29"/>
      <c r="I440" s="29"/>
    </row>
    <row r="441">
      <c r="A441" s="29"/>
      <c r="B441" s="29"/>
      <c r="C441" s="29"/>
      <c r="D441" s="29"/>
      <c r="E441" s="29"/>
      <c r="F441" s="29"/>
      <c r="G441" s="29"/>
      <c r="H441" s="29"/>
      <c r="I441" s="29"/>
    </row>
    <row r="442">
      <c r="A442" s="29"/>
      <c r="B442" s="29"/>
      <c r="C442" s="29"/>
      <c r="D442" s="29"/>
      <c r="E442" s="29"/>
      <c r="F442" s="29"/>
      <c r="G442" s="29"/>
      <c r="H442" s="29"/>
      <c r="I442" s="29"/>
    </row>
    <row r="443">
      <c r="A443" s="29"/>
      <c r="B443" s="29"/>
      <c r="C443" s="29"/>
      <c r="D443" s="29"/>
      <c r="E443" s="29"/>
      <c r="F443" s="29"/>
      <c r="G443" s="29"/>
      <c r="H443" s="29"/>
      <c r="I443" s="29"/>
    </row>
    <row r="444">
      <c r="A444" s="29"/>
      <c r="B444" s="29"/>
      <c r="C444" s="29"/>
      <c r="D444" s="29"/>
      <c r="E444" s="29"/>
      <c r="F444" s="29"/>
      <c r="G444" s="29"/>
      <c r="H444" s="29"/>
      <c r="I444" s="29"/>
    </row>
    <row r="445">
      <c r="A445" s="29"/>
      <c r="B445" s="29"/>
      <c r="C445" s="29"/>
      <c r="D445" s="29"/>
      <c r="E445" s="29"/>
      <c r="F445" s="29"/>
      <c r="G445" s="29"/>
      <c r="H445" s="29"/>
      <c r="I445" s="29"/>
    </row>
    <row r="446">
      <c r="A446" s="29"/>
      <c r="B446" s="29"/>
      <c r="C446" s="29"/>
      <c r="D446" s="29"/>
      <c r="E446" s="29"/>
      <c r="F446" s="29"/>
      <c r="G446" s="29"/>
      <c r="H446" s="29"/>
      <c r="I446" s="29"/>
    </row>
    <row r="447">
      <c r="A447" s="29"/>
      <c r="B447" s="29"/>
      <c r="C447" s="29"/>
      <c r="D447" s="29"/>
      <c r="E447" s="29"/>
      <c r="F447" s="29"/>
      <c r="G447" s="29"/>
      <c r="H447" s="29"/>
      <c r="I447" s="29"/>
    </row>
    <row r="448">
      <c r="A448" s="29"/>
      <c r="B448" s="29"/>
      <c r="C448" s="29"/>
      <c r="D448" s="29"/>
      <c r="E448" s="29"/>
      <c r="F448" s="29"/>
      <c r="G448" s="29"/>
      <c r="H448" s="29"/>
      <c r="I448" s="29"/>
    </row>
    <row r="449">
      <c r="A449" s="29"/>
      <c r="B449" s="29"/>
      <c r="C449" s="29"/>
      <c r="D449" s="29"/>
      <c r="E449" s="29"/>
      <c r="F449" s="29"/>
      <c r="G449" s="29"/>
      <c r="H449" s="29"/>
      <c r="I449" s="29"/>
    </row>
    <row r="450">
      <c r="A450" s="29"/>
      <c r="B450" s="29"/>
      <c r="C450" s="29"/>
      <c r="D450" s="29"/>
      <c r="E450" s="29"/>
      <c r="F450" s="29"/>
      <c r="G450" s="29"/>
      <c r="H450" s="29"/>
      <c r="I450" s="29"/>
    </row>
    <row r="451">
      <c r="A451" s="29"/>
      <c r="B451" s="29"/>
      <c r="C451" s="29"/>
      <c r="D451" s="29"/>
      <c r="E451" s="29"/>
      <c r="F451" s="29"/>
      <c r="G451" s="29"/>
      <c r="H451" s="29"/>
      <c r="I451" s="29"/>
    </row>
    <row r="452">
      <c r="A452" s="29"/>
      <c r="B452" s="29"/>
      <c r="C452" s="29"/>
      <c r="D452" s="29"/>
      <c r="E452" s="29"/>
      <c r="F452" s="29"/>
      <c r="G452" s="29"/>
      <c r="H452" s="29"/>
      <c r="I452" s="29"/>
    </row>
    <row r="453">
      <c r="A453" s="29"/>
      <c r="B453" s="29"/>
      <c r="C453" s="29"/>
      <c r="D453" s="29"/>
      <c r="E453" s="29"/>
      <c r="F453" s="29"/>
      <c r="G453" s="29"/>
      <c r="H453" s="29"/>
      <c r="I453" s="29"/>
    </row>
    <row r="454">
      <c r="A454" s="29"/>
      <c r="B454" s="29"/>
      <c r="C454" s="29"/>
      <c r="D454" s="29"/>
      <c r="E454" s="29"/>
      <c r="F454" s="29"/>
      <c r="G454" s="29"/>
      <c r="H454" s="29"/>
      <c r="I454" s="29"/>
    </row>
    <row r="455">
      <c r="A455" s="29"/>
      <c r="B455" s="29"/>
      <c r="C455" s="29"/>
      <c r="D455" s="29"/>
      <c r="E455" s="29"/>
      <c r="F455" s="29"/>
      <c r="G455" s="29"/>
      <c r="H455" s="29"/>
      <c r="I455" s="29"/>
    </row>
    <row r="456">
      <c r="A456" s="29"/>
      <c r="B456" s="29"/>
      <c r="C456" s="29"/>
      <c r="D456" s="29"/>
      <c r="E456" s="29"/>
      <c r="F456" s="29"/>
      <c r="G456" s="29"/>
      <c r="H456" s="29"/>
      <c r="I456" s="29"/>
    </row>
    <row r="457">
      <c r="A457" s="29"/>
      <c r="B457" s="29"/>
      <c r="C457" s="29"/>
      <c r="D457" s="29"/>
      <c r="E457" s="29"/>
      <c r="F457" s="29"/>
      <c r="G457" s="29"/>
      <c r="H457" s="29"/>
      <c r="I457" s="29"/>
    </row>
    <row r="458">
      <c r="A458" s="29"/>
      <c r="B458" s="29"/>
      <c r="C458" s="29"/>
      <c r="D458" s="29"/>
      <c r="E458" s="29"/>
      <c r="F458" s="29"/>
      <c r="G458" s="29"/>
      <c r="H458" s="29"/>
      <c r="I458" s="29"/>
    </row>
    <row r="459">
      <c r="A459" s="29"/>
      <c r="B459" s="29"/>
      <c r="C459" s="29"/>
      <c r="D459" s="29"/>
      <c r="E459" s="29"/>
      <c r="F459" s="29"/>
      <c r="G459" s="29"/>
      <c r="H459" s="29"/>
      <c r="I459" s="29"/>
    </row>
    <row r="460">
      <c r="A460" s="29"/>
      <c r="B460" s="29"/>
      <c r="C460" s="29"/>
      <c r="D460" s="29"/>
      <c r="E460" s="29"/>
      <c r="F460" s="29"/>
      <c r="G460" s="29"/>
      <c r="H460" s="29"/>
      <c r="I460" s="29"/>
    </row>
    <row r="461">
      <c r="A461" s="29"/>
      <c r="B461" s="29"/>
      <c r="C461" s="29"/>
      <c r="D461" s="29"/>
      <c r="E461" s="29"/>
      <c r="F461" s="29"/>
      <c r="G461" s="29"/>
      <c r="H461" s="29"/>
      <c r="I461" s="29"/>
    </row>
    <row r="462">
      <c r="A462" s="29"/>
      <c r="B462" s="29"/>
      <c r="C462" s="29"/>
      <c r="D462" s="29"/>
      <c r="E462" s="29"/>
      <c r="F462" s="29"/>
      <c r="G462" s="29"/>
      <c r="H462" s="29"/>
      <c r="I462" s="29"/>
    </row>
    <row r="463">
      <c r="A463" s="29"/>
      <c r="B463" s="29"/>
      <c r="C463" s="29"/>
      <c r="D463" s="29"/>
      <c r="E463" s="29"/>
      <c r="F463" s="29"/>
      <c r="G463" s="29"/>
      <c r="H463" s="29"/>
      <c r="I463" s="29"/>
    </row>
    <row r="464">
      <c r="A464" s="29"/>
      <c r="B464" s="29"/>
      <c r="C464" s="29"/>
      <c r="D464" s="29"/>
      <c r="E464" s="29"/>
      <c r="F464" s="29"/>
      <c r="G464" s="29"/>
      <c r="H464" s="29"/>
      <c r="I464" s="29"/>
    </row>
    <row r="465">
      <c r="A465" s="29"/>
      <c r="B465" s="29"/>
      <c r="C465" s="29"/>
      <c r="D465" s="29"/>
      <c r="E465" s="29"/>
      <c r="F465" s="29"/>
      <c r="G465" s="29"/>
      <c r="H465" s="29"/>
      <c r="I465" s="29"/>
    </row>
    <row r="466">
      <c r="A466" s="29"/>
      <c r="B466" s="29"/>
      <c r="C466" s="29"/>
      <c r="D466" s="29"/>
      <c r="E466" s="29"/>
      <c r="F466" s="29"/>
      <c r="G466" s="29"/>
      <c r="H466" s="29"/>
      <c r="I466" s="29"/>
    </row>
    <row r="467">
      <c r="A467" s="29"/>
      <c r="B467" s="29"/>
      <c r="C467" s="29"/>
      <c r="D467" s="29"/>
      <c r="E467" s="29"/>
      <c r="F467" s="29"/>
      <c r="G467" s="29"/>
      <c r="H467" s="29"/>
      <c r="I467" s="29"/>
    </row>
    <row r="468">
      <c r="A468" s="29"/>
      <c r="B468" s="29"/>
      <c r="C468" s="29"/>
      <c r="D468" s="29"/>
      <c r="E468" s="29"/>
      <c r="F468" s="29"/>
      <c r="G468" s="29"/>
      <c r="H468" s="29"/>
      <c r="I468" s="29"/>
    </row>
    <row r="469">
      <c r="A469" s="29"/>
      <c r="B469" s="29"/>
      <c r="C469" s="29"/>
      <c r="D469" s="29"/>
      <c r="E469" s="29"/>
      <c r="F469" s="29"/>
      <c r="G469" s="29"/>
      <c r="H469" s="29"/>
      <c r="I469" s="29"/>
    </row>
    <row r="470">
      <c r="A470" s="29"/>
      <c r="B470" s="29"/>
      <c r="C470" s="29"/>
      <c r="D470" s="29"/>
      <c r="E470" s="29"/>
      <c r="F470" s="29"/>
      <c r="G470" s="29"/>
      <c r="H470" s="29"/>
      <c r="I470" s="29"/>
    </row>
    <row r="471">
      <c r="A471" s="29"/>
      <c r="B471" s="29"/>
      <c r="C471" s="29"/>
      <c r="D471" s="29"/>
      <c r="E471" s="29"/>
      <c r="F471" s="29"/>
      <c r="G471" s="29"/>
      <c r="H471" s="29"/>
      <c r="I471" s="29"/>
    </row>
    <row r="472">
      <c r="A472" s="29"/>
      <c r="B472" s="29"/>
      <c r="C472" s="29"/>
      <c r="D472" s="29"/>
      <c r="E472" s="29"/>
      <c r="F472" s="29"/>
      <c r="G472" s="29"/>
      <c r="H472" s="29"/>
      <c r="I472" s="29"/>
    </row>
    <row r="473">
      <c r="A473" s="29"/>
      <c r="B473" s="29"/>
      <c r="C473" s="29"/>
      <c r="D473" s="29"/>
      <c r="E473" s="29"/>
      <c r="F473" s="29"/>
      <c r="G473" s="29"/>
      <c r="H473" s="29"/>
      <c r="I473" s="29"/>
    </row>
    <row r="474">
      <c r="A474" s="29"/>
      <c r="B474" s="29"/>
      <c r="C474" s="29"/>
      <c r="D474" s="29"/>
      <c r="E474" s="29"/>
      <c r="F474" s="29"/>
      <c r="G474" s="29"/>
      <c r="H474" s="29"/>
      <c r="I474" s="29"/>
    </row>
    <row r="475">
      <c r="A475" s="29"/>
      <c r="B475" s="29"/>
      <c r="C475" s="29"/>
      <c r="D475" s="29"/>
      <c r="E475" s="29"/>
      <c r="F475" s="29"/>
      <c r="G475" s="29"/>
      <c r="H475" s="29"/>
      <c r="I475" s="29"/>
    </row>
    <row r="476">
      <c r="A476" s="29"/>
      <c r="B476" s="29"/>
      <c r="C476" s="29"/>
      <c r="D476" s="29"/>
      <c r="E476" s="29"/>
      <c r="F476" s="29"/>
      <c r="G476" s="29"/>
      <c r="H476" s="29"/>
      <c r="I476" s="29"/>
    </row>
    <row r="477">
      <c r="A477" s="29"/>
      <c r="B477" s="29"/>
      <c r="C477" s="29"/>
      <c r="D477" s="29"/>
      <c r="E477" s="29"/>
      <c r="F477" s="29"/>
      <c r="G477" s="29"/>
      <c r="H477" s="29"/>
      <c r="I477" s="29"/>
    </row>
    <row r="478">
      <c r="A478" s="29"/>
      <c r="B478" s="29"/>
      <c r="C478" s="29"/>
      <c r="D478" s="29"/>
      <c r="E478" s="29"/>
      <c r="F478" s="29"/>
      <c r="G478" s="29"/>
      <c r="H478" s="29"/>
      <c r="I478" s="29"/>
    </row>
    <row r="479">
      <c r="A479" s="29"/>
      <c r="B479" s="29"/>
      <c r="C479" s="29"/>
      <c r="D479" s="29"/>
      <c r="E479" s="29"/>
      <c r="F479" s="29"/>
      <c r="G479" s="29"/>
      <c r="H479" s="29"/>
      <c r="I479" s="29"/>
    </row>
    <row r="480">
      <c r="A480" s="29"/>
      <c r="B480" s="29"/>
      <c r="C480" s="29"/>
      <c r="D480" s="29"/>
      <c r="E480" s="29"/>
      <c r="F480" s="29"/>
      <c r="G480" s="29"/>
      <c r="H480" s="29"/>
      <c r="I480" s="29"/>
    </row>
    <row r="481">
      <c r="A481" s="29"/>
      <c r="B481" s="29"/>
      <c r="C481" s="29"/>
      <c r="D481" s="29"/>
      <c r="E481" s="29"/>
      <c r="F481" s="29"/>
      <c r="G481" s="29"/>
      <c r="H481" s="29"/>
      <c r="I481" s="29"/>
    </row>
    <row r="482">
      <c r="A482" s="29"/>
      <c r="B482" s="29"/>
      <c r="C482" s="29"/>
      <c r="D482" s="29"/>
      <c r="E482" s="29"/>
      <c r="F482" s="29"/>
      <c r="G482" s="29"/>
      <c r="H482" s="29"/>
      <c r="I482" s="29"/>
    </row>
    <row r="483">
      <c r="A483" s="29"/>
      <c r="B483" s="29"/>
      <c r="C483" s="29"/>
      <c r="D483" s="29"/>
      <c r="E483" s="29"/>
      <c r="F483" s="29"/>
      <c r="G483" s="29"/>
      <c r="H483" s="29"/>
      <c r="I483" s="29"/>
    </row>
    <row r="484">
      <c r="A484" s="29"/>
      <c r="B484" s="29"/>
      <c r="C484" s="29"/>
      <c r="D484" s="29"/>
      <c r="E484" s="29"/>
      <c r="F484" s="29"/>
      <c r="G484" s="29"/>
      <c r="H484" s="29"/>
      <c r="I484" s="29"/>
    </row>
    <row r="485">
      <c r="A485" s="29"/>
      <c r="B485" s="29"/>
      <c r="C485" s="29"/>
      <c r="D485" s="29"/>
      <c r="E485" s="29"/>
      <c r="F485" s="29"/>
      <c r="G485" s="29"/>
      <c r="H485" s="29"/>
      <c r="I485" s="29"/>
    </row>
    <row r="486">
      <c r="A486" s="29"/>
      <c r="B486" s="29"/>
      <c r="C486" s="29"/>
      <c r="D486" s="29"/>
      <c r="E486" s="29"/>
      <c r="F486" s="29"/>
      <c r="G486" s="29"/>
      <c r="H486" s="29"/>
      <c r="I486" s="29"/>
    </row>
    <row r="487">
      <c r="A487" s="29"/>
      <c r="B487" s="29"/>
      <c r="C487" s="29"/>
      <c r="D487" s="29"/>
      <c r="E487" s="29"/>
      <c r="F487" s="29"/>
      <c r="G487" s="29"/>
      <c r="H487" s="29"/>
      <c r="I487" s="29"/>
    </row>
    <row r="488">
      <c r="A488" s="29"/>
      <c r="B488" s="29"/>
      <c r="C488" s="29"/>
      <c r="D488" s="29"/>
      <c r="E488" s="29"/>
      <c r="F488" s="29"/>
      <c r="G488" s="29"/>
      <c r="H488" s="29"/>
      <c r="I488" s="29"/>
    </row>
    <row r="489">
      <c r="A489" s="29"/>
      <c r="B489" s="29"/>
      <c r="C489" s="29"/>
      <c r="D489" s="29"/>
      <c r="E489" s="29"/>
      <c r="F489" s="29"/>
      <c r="G489" s="29"/>
      <c r="H489" s="29"/>
      <c r="I489" s="29"/>
    </row>
    <row r="490">
      <c r="A490" s="29"/>
      <c r="B490" s="29"/>
      <c r="C490" s="29"/>
      <c r="D490" s="29"/>
      <c r="E490" s="29"/>
      <c r="F490" s="29"/>
      <c r="G490" s="29"/>
      <c r="H490" s="29"/>
      <c r="I490" s="29"/>
    </row>
    <row r="491">
      <c r="A491" s="29"/>
      <c r="B491" s="29"/>
      <c r="C491" s="29"/>
      <c r="D491" s="29"/>
      <c r="E491" s="29"/>
      <c r="F491" s="29"/>
      <c r="G491" s="29"/>
      <c r="H491" s="29"/>
      <c r="I491" s="29"/>
    </row>
    <row r="492">
      <c r="A492" s="29"/>
      <c r="B492" s="29"/>
      <c r="C492" s="29"/>
      <c r="D492" s="29"/>
      <c r="E492" s="29"/>
      <c r="F492" s="29"/>
      <c r="G492" s="29"/>
      <c r="H492" s="29"/>
      <c r="I492" s="29"/>
    </row>
    <row r="493">
      <c r="A493" s="29"/>
      <c r="B493" s="29"/>
      <c r="C493" s="29"/>
      <c r="D493" s="29"/>
      <c r="E493" s="29"/>
      <c r="F493" s="29"/>
      <c r="G493" s="29"/>
      <c r="H493" s="29"/>
      <c r="I493" s="29"/>
    </row>
    <row r="494">
      <c r="A494" s="29"/>
      <c r="B494" s="29"/>
      <c r="C494" s="29"/>
      <c r="D494" s="29"/>
      <c r="E494" s="29"/>
      <c r="F494" s="29"/>
      <c r="G494" s="29"/>
      <c r="H494" s="29"/>
      <c r="I494" s="29"/>
    </row>
    <row r="495">
      <c r="A495" s="29"/>
      <c r="B495" s="29"/>
      <c r="C495" s="29"/>
      <c r="D495" s="29"/>
      <c r="E495" s="29"/>
      <c r="F495" s="29"/>
      <c r="G495" s="29"/>
      <c r="H495" s="29"/>
      <c r="I495" s="29"/>
    </row>
    <row r="496">
      <c r="A496" s="29"/>
      <c r="B496" s="29"/>
      <c r="C496" s="29"/>
      <c r="D496" s="29"/>
      <c r="E496" s="29"/>
      <c r="F496" s="29"/>
      <c r="G496" s="29"/>
      <c r="H496" s="29"/>
      <c r="I496" s="29"/>
    </row>
    <row r="497">
      <c r="A497" s="29"/>
      <c r="B497" s="29"/>
      <c r="C497" s="29"/>
      <c r="D497" s="29"/>
      <c r="E497" s="29"/>
      <c r="F497" s="29"/>
      <c r="G497" s="29"/>
      <c r="H497" s="29"/>
      <c r="I497" s="29"/>
    </row>
    <row r="498">
      <c r="A498" s="29"/>
      <c r="B498" s="29"/>
      <c r="C498" s="29"/>
      <c r="D498" s="29"/>
      <c r="E498" s="29"/>
      <c r="F498" s="29"/>
      <c r="G498" s="29"/>
      <c r="H498" s="29"/>
      <c r="I498" s="29"/>
    </row>
    <row r="499">
      <c r="A499" s="29"/>
      <c r="B499" s="29"/>
      <c r="C499" s="29"/>
      <c r="D499" s="29"/>
      <c r="E499" s="29"/>
      <c r="F499" s="29"/>
      <c r="G499" s="29"/>
      <c r="H499" s="29"/>
      <c r="I499" s="29"/>
    </row>
    <row r="500">
      <c r="A500" s="29"/>
      <c r="B500" s="29"/>
      <c r="C500" s="29"/>
      <c r="D500" s="29"/>
      <c r="E500" s="29"/>
      <c r="F500" s="29"/>
      <c r="G500" s="29"/>
      <c r="H500" s="29"/>
      <c r="I500" s="29"/>
    </row>
    <row r="501">
      <c r="A501" s="29"/>
      <c r="B501" s="29"/>
      <c r="C501" s="29"/>
      <c r="D501" s="29"/>
      <c r="E501" s="29"/>
      <c r="F501" s="29"/>
      <c r="G501" s="29"/>
      <c r="H501" s="29"/>
      <c r="I501" s="29"/>
    </row>
    <row r="502">
      <c r="A502" s="29"/>
      <c r="B502" s="29"/>
      <c r="C502" s="29"/>
      <c r="D502" s="29"/>
      <c r="E502" s="29"/>
      <c r="F502" s="29"/>
      <c r="G502" s="29"/>
      <c r="H502" s="29"/>
      <c r="I502" s="29"/>
    </row>
    <row r="503">
      <c r="A503" s="29"/>
      <c r="B503" s="29"/>
      <c r="C503" s="29"/>
      <c r="D503" s="29"/>
      <c r="E503" s="29"/>
      <c r="F503" s="29"/>
      <c r="G503" s="29"/>
      <c r="H503" s="29"/>
      <c r="I503" s="29"/>
    </row>
    <row r="504">
      <c r="A504" s="29"/>
      <c r="B504" s="29"/>
      <c r="C504" s="29"/>
      <c r="D504" s="29"/>
      <c r="E504" s="29"/>
      <c r="F504" s="29"/>
      <c r="G504" s="29"/>
      <c r="H504" s="29"/>
      <c r="I504" s="29"/>
    </row>
    <row r="505">
      <c r="A505" s="29"/>
      <c r="B505" s="29"/>
      <c r="C505" s="29"/>
      <c r="D505" s="29"/>
      <c r="E505" s="29"/>
      <c r="F505" s="29"/>
      <c r="G505" s="29"/>
      <c r="H505" s="29"/>
      <c r="I505" s="29"/>
    </row>
    <row r="506">
      <c r="A506" s="29"/>
      <c r="B506" s="29"/>
      <c r="C506" s="29"/>
      <c r="D506" s="29"/>
      <c r="E506" s="29"/>
      <c r="F506" s="29"/>
      <c r="G506" s="29"/>
      <c r="H506" s="29"/>
      <c r="I506" s="29"/>
    </row>
    <row r="507">
      <c r="A507" s="29"/>
      <c r="B507" s="29"/>
      <c r="C507" s="29"/>
      <c r="D507" s="29"/>
      <c r="E507" s="29"/>
      <c r="F507" s="29"/>
      <c r="G507" s="29"/>
      <c r="H507" s="29"/>
      <c r="I507" s="29"/>
    </row>
    <row r="508">
      <c r="A508" s="29"/>
      <c r="B508" s="29"/>
      <c r="C508" s="29"/>
      <c r="D508" s="29"/>
      <c r="E508" s="29"/>
      <c r="F508" s="29"/>
      <c r="G508" s="29"/>
      <c r="H508" s="29"/>
      <c r="I508" s="29"/>
    </row>
    <row r="509">
      <c r="A509" s="29"/>
      <c r="B509" s="29"/>
      <c r="C509" s="29"/>
      <c r="D509" s="29"/>
      <c r="E509" s="29"/>
      <c r="F509" s="29"/>
      <c r="G509" s="29"/>
      <c r="H509" s="29"/>
      <c r="I509" s="29"/>
    </row>
    <row r="510">
      <c r="A510" s="29"/>
      <c r="B510" s="29"/>
      <c r="C510" s="29"/>
      <c r="D510" s="29"/>
      <c r="E510" s="29"/>
      <c r="F510" s="29"/>
      <c r="G510" s="29"/>
      <c r="H510" s="29"/>
      <c r="I510" s="29"/>
    </row>
    <row r="511">
      <c r="A511" s="29"/>
      <c r="B511" s="29"/>
      <c r="C511" s="29"/>
      <c r="D511" s="29"/>
      <c r="E511" s="29"/>
      <c r="F511" s="29"/>
      <c r="G511" s="29"/>
      <c r="H511" s="29"/>
      <c r="I511" s="29"/>
    </row>
    <row r="512">
      <c r="A512" s="29"/>
      <c r="B512" s="29"/>
      <c r="C512" s="29"/>
      <c r="D512" s="29"/>
      <c r="E512" s="29"/>
      <c r="F512" s="29"/>
      <c r="G512" s="29"/>
      <c r="H512" s="29"/>
      <c r="I512" s="29"/>
    </row>
    <row r="513">
      <c r="A513" s="29"/>
      <c r="B513" s="29"/>
      <c r="C513" s="29"/>
      <c r="D513" s="29"/>
      <c r="E513" s="29"/>
      <c r="F513" s="29"/>
      <c r="G513" s="29"/>
      <c r="H513" s="29"/>
      <c r="I513" s="29"/>
    </row>
    <row r="514">
      <c r="A514" s="29"/>
      <c r="B514" s="29"/>
      <c r="C514" s="29"/>
      <c r="D514" s="29"/>
      <c r="E514" s="29"/>
      <c r="F514" s="29"/>
      <c r="G514" s="29"/>
      <c r="H514" s="29"/>
      <c r="I514" s="29"/>
    </row>
    <row r="515">
      <c r="A515" s="29"/>
      <c r="B515" s="29"/>
      <c r="C515" s="29"/>
      <c r="D515" s="29"/>
      <c r="E515" s="29"/>
      <c r="F515" s="29"/>
      <c r="G515" s="29"/>
      <c r="H515" s="29"/>
      <c r="I515" s="29"/>
    </row>
    <row r="516">
      <c r="A516" s="29"/>
      <c r="B516" s="29"/>
      <c r="C516" s="29"/>
      <c r="D516" s="29"/>
      <c r="E516" s="29"/>
      <c r="F516" s="29"/>
      <c r="G516" s="29"/>
      <c r="H516" s="29"/>
      <c r="I516" s="29"/>
    </row>
    <row r="517">
      <c r="A517" s="29"/>
      <c r="B517" s="29"/>
      <c r="C517" s="29"/>
      <c r="D517" s="29"/>
      <c r="E517" s="29"/>
      <c r="F517" s="29"/>
      <c r="G517" s="29"/>
      <c r="H517" s="29"/>
      <c r="I517" s="29"/>
    </row>
    <row r="518">
      <c r="A518" s="29"/>
      <c r="B518" s="29"/>
      <c r="C518" s="29"/>
      <c r="D518" s="29"/>
      <c r="E518" s="29"/>
      <c r="F518" s="29"/>
      <c r="G518" s="29"/>
      <c r="H518" s="29"/>
      <c r="I518" s="29"/>
    </row>
    <row r="519">
      <c r="A519" s="29"/>
      <c r="B519" s="29"/>
      <c r="C519" s="29"/>
      <c r="D519" s="29"/>
      <c r="E519" s="29"/>
      <c r="F519" s="29"/>
      <c r="G519" s="29"/>
      <c r="H519" s="29"/>
      <c r="I519" s="29"/>
    </row>
    <row r="520">
      <c r="A520" s="29"/>
      <c r="B520" s="29"/>
      <c r="C520" s="29"/>
      <c r="D520" s="29"/>
      <c r="E520" s="29"/>
      <c r="F520" s="29"/>
      <c r="G520" s="29"/>
      <c r="H520" s="29"/>
      <c r="I520" s="29"/>
    </row>
    <row r="521">
      <c r="A521" s="29"/>
      <c r="B521" s="29"/>
      <c r="C521" s="29"/>
      <c r="D521" s="29"/>
      <c r="E521" s="29"/>
      <c r="F521" s="29"/>
      <c r="G521" s="29"/>
      <c r="H521" s="29"/>
      <c r="I521" s="29"/>
    </row>
    <row r="522">
      <c r="A522" s="29"/>
      <c r="B522" s="29"/>
      <c r="C522" s="29"/>
      <c r="D522" s="29"/>
      <c r="E522" s="29"/>
      <c r="F522" s="29"/>
      <c r="G522" s="29"/>
      <c r="H522" s="29"/>
      <c r="I522" s="29"/>
    </row>
    <row r="523">
      <c r="A523" s="29"/>
      <c r="B523" s="29"/>
      <c r="C523" s="29"/>
      <c r="D523" s="29"/>
      <c r="E523" s="29"/>
      <c r="F523" s="29"/>
      <c r="G523" s="29"/>
      <c r="H523" s="29"/>
      <c r="I523" s="29"/>
    </row>
    <row r="524">
      <c r="A524" s="29"/>
      <c r="B524" s="29"/>
      <c r="C524" s="29"/>
      <c r="D524" s="29"/>
      <c r="E524" s="29"/>
      <c r="F524" s="29"/>
      <c r="G524" s="29"/>
      <c r="H524" s="29"/>
      <c r="I524" s="29"/>
    </row>
    <row r="525">
      <c r="A525" s="29"/>
      <c r="B525" s="29"/>
      <c r="C525" s="29"/>
      <c r="D525" s="29"/>
      <c r="E525" s="29"/>
      <c r="F525" s="29"/>
      <c r="G525" s="29"/>
      <c r="H525" s="29"/>
      <c r="I525" s="29"/>
    </row>
    <row r="526">
      <c r="A526" s="29"/>
      <c r="B526" s="29"/>
      <c r="C526" s="29"/>
      <c r="D526" s="29"/>
      <c r="E526" s="29"/>
      <c r="F526" s="29"/>
      <c r="G526" s="29"/>
      <c r="H526" s="29"/>
      <c r="I526" s="29"/>
    </row>
    <row r="527">
      <c r="A527" s="29"/>
      <c r="B527" s="29"/>
      <c r="C527" s="29"/>
      <c r="D527" s="29"/>
      <c r="E527" s="29"/>
      <c r="F527" s="29"/>
      <c r="G527" s="29"/>
      <c r="H527" s="29"/>
      <c r="I527" s="29"/>
    </row>
    <row r="528">
      <c r="A528" s="29"/>
      <c r="B528" s="29"/>
      <c r="C528" s="29"/>
      <c r="D528" s="29"/>
      <c r="E528" s="29"/>
      <c r="F528" s="29"/>
      <c r="G528" s="29"/>
      <c r="H528" s="29"/>
      <c r="I528" s="29"/>
    </row>
    <row r="529">
      <c r="A529" s="29"/>
      <c r="B529" s="29"/>
      <c r="C529" s="29"/>
      <c r="D529" s="29"/>
      <c r="E529" s="29"/>
      <c r="F529" s="29"/>
      <c r="G529" s="29"/>
      <c r="H529" s="29"/>
      <c r="I529" s="29"/>
    </row>
    <row r="530">
      <c r="A530" s="29"/>
      <c r="B530" s="29"/>
      <c r="C530" s="29"/>
      <c r="D530" s="29"/>
      <c r="E530" s="29"/>
      <c r="F530" s="29"/>
      <c r="G530" s="29"/>
      <c r="H530" s="29"/>
      <c r="I530" s="29"/>
    </row>
    <row r="531">
      <c r="A531" s="29"/>
      <c r="B531" s="29"/>
      <c r="C531" s="29"/>
      <c r="D531" s="29"/>
      <c r="E531" s="29"/>
      <c r="F531" s="29"/>
      <c r="G531" s="29"/>
      <c r="H531" s="29"/>
      <c r="I531" s="29"/>
    </row>
    <row r="532">
      <c r="A532" s="29"/>
      <c r="B532" s="29"/>
      <c r="C532" s="29"/>
      <c r="D532" s="29"/>
      <c r="E532" s="29"/>
      <c r="F532" s="29"/>
      <c r="G532" s="29"/>
      <c r="H532" s="29"/>
      <c r="I532" s="29"/>
    </row>
    <row r="533">
      <c r="A533" s="29"/>
      <c r="B533" s="29"/>
      <c r="C533" s="29"/>
      <c r="D533" s="29"/>
      <c r="E533" s="29"/>
      <c r="F533" s="29"/>
      <c r="G533" s="29"/>
      <c r="H533" s="29"/>
      <c r="I533" s="29"/>
    </row>
    <row r="534">
      <c r="A534" s="29"/>
      <c r="B534" s="29"/>
      <c r="C534" s="29"/>
      <c r="D534" s="29"/>
      <c r="E534" s="29"/>
      <c r="F534" s="29"/>
      <c r="G534" s="29"/>
      <c r="H534" s="29"/>
      <c r="I534" s="29"/>
    </row>
    <row r="535">
      <c r="A535" s="29"/>
      <c r="B535" s="29"/>
      <c r="C535" s="29"/>
      <c r="D535" s="29"/>
      <c r="E535" s="29"/>
      <c r="F535" s="29"/>
      <c r="G535" s="29"/>
      <c r="H535" s="29"/>
      <c r="I535" s="29"/>
    </row>
    <row r="536">
      <c r="A536" s="29"/>
      <c r="B536" s="29"/>
      <c r="C536" s="29"/>
      <c r="D536" s="29"/>
      <c r="E536" s="29"/>
      <c r="F536" s="29"/>
      <c r="G536" s="29"/>
      <c r="H536" s="29"/>
      <c r="I536" s="29"/>
    </row>
    <row r="537">
      <c r="A537" s="29"/>
      <c r="B537" s="29"/>
      <c r="C537" s="29"/>
      <c r="D537" s="29"/>
      <c r="E537" s="29"/>
      <c r="F537" s="29"/>
      <c r="G537" s="29"/>
      <c r="H537" s="29"/>
      <c r="I537" s="29"/>
    </row>
    <row r="538">
      <c r="A538" s="29"/>
      <c r="B538" s="29"/>
      <c r="C538" s="29"/>
      <c r="D538" s="29"/>
      <c r="E538" s="29"/>
      <c r="F538" s="29"/>
      <c r="G538" s="29"/>
      <c r="H538" s="29"/>
      <c r="I538" s="29"/>
    </row>
    <row r="539">
      <c r="A539" s="29"/>
      <c r="B539" s="29"/>
      <c r="C539" s="29"/>
      <c r="D539" s="29"/>
      <c r="E539" s="29"/>
      <c r="F539" s="29"/>
      <c r="G539" s="29"/>
      <c r="H539" s="29"/>
      <c r="I539" s="29"/>
    </row>
    <row r="540">
      <c r="A540" s="29"/>
      <c r="B540" s="29"/>
      <c r="C540" s="29"/>
      <c r="D540" s="29"/>
      <c r="E540" s="29"/>
      <c r="F540" s="29"/>
      <c r="G540" s="29"/>
      <c r="H540" s="29"/>
      <c r="I540" s="29"/>
    </row>
    <row r="541">
      <c r="A541" s="29"/>
      <c r="B541" s="29"/>
      <c r="C541" s="29"/>
      <c r="D541" s="29"/>
      <c r="E541" s="29"/>
      <c r="F541" s="29"/>
      <c r="G541" s="29"/>
      <c r="H541" s="29"/>
      <c r="I541" s="29"/>
    </row>
    <row r="542">
      <c r="A542" s="29"/>
      <c r="B542" s="29"/>
      <c r="C542" s="29"/>
      <c r="D542" s="29"/>
      <c r="E542" s="29"/>
      <c r="F542" s="29"/>
      <c r="G542" s="29"/>
      <c r="H542" s="29"/>
      <c r="I542" s="29"/>
    </row>
    <row r="543">
      <c r="A543" s="29"/>
      <c r="B543" s="29"/>
      <c r="C543" s="29"/>
      <c r="D543" s="29"/>
      <c r="E543" s="29"/>
      <c r="F543" s="29"/>
      <c r="G543" s="29"/>
      <c r="H543" s="29"/>
      <c r="I543" s="29"/>
    </row>
    <row r="544">
      <c r="A544" s="29"/>
      <c r="B544" s="29"/>
      <c r="C544" s="29"/>
      <c r="D544" s="29"/>
      <c r="E544" s="29"/>
      <c r="F544" s="29"/>
      <c r="G544" s="29"/>
      <c r="H544" s="29"/>
      <c r="I544" s="29"/>
    </row>
    <row r="545">
      <c r="A545" s="29"/>
      <c r="B545" s="29"/>
      <c r="C545" s="29"/>
      <c r="D545" s="29"/>
      <c r="E545" s="29"/>
      <c r="F545" s="29"/>
      <c r="G545" s="29"/>
      <c r="H545" s="29"/>
      <c r="I545" s="29"/>
    </row>
    <row r="546">
      <c r="A546" s="29"/>
      <c r="B546" s="29"/>
      <c r="C546" s="29"/>
      <c r="D546" s="29"/>
      <c r="E546" s="29"/>
      <c r="F546" s="29"/>
      <c r="G546" s="29"/>
      <c r="H546" s="29"/>
      <c r="I546" s="29"/>
    </row>
    <row r="547">
      <c r="A547" s="29"/>
      <c r="B547" s="29"/>
      <c r="C547" s="29"/>
      <c r="D547" s="29"/>
      <c r="E547" s="29"/>
      <c r="F547" s="29"/>
      <c r="G547" s="29"/>
      <c r="H547" s="29"/>
      <c r="I547" s="29"/>
    </row>
    <row r="548">
      <c r="A548" s="29"/>
      <c r="B548" s="29"/>
      <c r="C548" s="29"/>
      <c r="D548" s="29"/>
      <c r="E548" s="29"/>
      <c r="F548" s="29"/>
      <c r="G548" s="29"/>
      <c r="H548" s="29"/>
      <c r="I548" s="29"/>
    </row>
    <row r="549">
      <c r="A549" s="29"/>
      <c r="B549" s="29"/>
      <c r="C549" s="29"/>
      <c r="D549" s="29"/>
      <c r="E549" s="29"/>
      <c r="F549" s="29"/>
      <c r="G549" s="29"/>
      <c r="H549" s="29"/>
      <c r="I549" s="29"/>
    </row>
    <row r="550">
      <c r="A550" s="29"/>
      <c r="B550" s="29"/>
      <c r="C550" s="29"/>
      <c r="D550" s="29"/>
      <c r="E550" s="29"/>
      <c r="F550" s="29"/>
      <c r="G550" s="29"/>
      <c r="H550" s="29"/>
      <c r="I550" s="29"/>
    </row>
    <row r="551">
      <c r="A551" s="29"/>
      <c r="B551" s="29"/>
      <c r="C551" s="29"/>
      <c r="D551" s="29"/>
      <c r="E551" s="29"/>
      <c r="F551" s="29"/>
      <c r="G551" s="29"/>
      <c r="H551" s="29"/>
      <c r="I551" s="29"/>
    </row>
    <row r="552">
      <c r="A552" s="29"/>
      <c r="B552" s="29"/>
      <c r="C552" s="29"/>
      <c r="D552" s="29"/>
      <c r="E552" s="29"/>
      <c r="F552" s="29"/>
      <c r="G552" s="29"/>
      <c r="H552" s="29"/>
      <c r="I552" s="29"/>
    </row>
    <row r="553">
      <c r="A553" s="29"/>
      <c r="B553" s="29"/>
      <c r="C553" s="29"/>
      <c r="D553" s="29"/>
      <c r="E553" s="29"/>
      <c r="F553" s="29"/>
      <c r="G553" s="29"/>
      <c r="H553" s="29"/>
      <c r="I553" s="29"/>
    </row>
    <row r="554">
      <c r="A554" s="29"/>
      <c r="B554" s="29"/>
      <c r="C554" s="29"/>
      <c r="D554" s="29"/>
      <c r="E554" s="29"/>
      <c r="F554" s="29"/>
      <c r="G554" s="29"/>
      <c r="H554" s="29"/>
      <c r="I554" s="29"/>
    </row>
    <row r="555">
      <c r="A555" s="29"/>
      <c r="B555" s="29"/>
      <c r="C555" s="29"/>
      <c r="D555" s="29"/>
      <c r="E555" s="29"/>
      <c r="F555" s="29"/>
      <c r="G555" s="29"/>
      <c r="H555" s="29"/>
      <c r="I555" s="29"/>
    </row>
    <row r="556">
      <c r="A556" s="29"/>
      <c r="B556" s="29"/>
      <c r="C556" s="29"/>
      <c r="D556" s="29"/>
      <c r="E556" s="29"/>
      <c r="F556" s="29"/>
      <c r="G556" s="29"/>
      <c r="H556" s="29"/>
      <c r="I556" s="29"/>
    </row>
    <row r="557">
      <c r="A557" s="29"/>
      <c r="B557" s="29"/>
      <c r="C557" s="29"/>
      <c r="D557" s="29"/>
      <c r="E557" s="29"/>
      <c r="F557" s="29"/>
      <c r="G557" s="29"/>
      <c r="H557" s="29"/>
      <c r="I557" s="29"/>
    </row>
    <row r="558">
      <c r="A558" s="29"/>
      <c r="B558" s="29"/>
      <c r="C558" s="29"/>
      <c r="D558" s="29"/>
      <c r="E558" s="29"/>
      <c r="F558" s="29"/>
      <c r="G558" s="29"/>
      <c r="H558" s="29"/>
      <c r="I558" s="29"/>
    </row>
    <row r="559">
      <c r="A559" s="29"/>
      <c r="B559" s="29"/>
      <c r="C559" s="29"/>
      <c r="D559" s="29"/>
      <c r="E559" s="29"/>
      <c r="F559" s="29"/>
      <c r="G559" s="29"/>
      <c r="H559" s="29"/>
      <c r="I559" s="29"/>
    </row>
    <row r="560">
      <c r="A560" s="29"/>
      <c r="B560" s="29"/>
      <c r="C560" s="29"/>
      <c r="D560" s="29"/>
      <c r="E560" s="29"/>
      <c r="F560" s="29"/>
      <c r="G560" s="29"/>
      <c r="H560" s="29"/>
      <c r="I560" s="29"/>
    </row>
    <row r="561">
      <c r="A561" s="29"/>
      <c r="B561" s="29"/>
      <c r="C561" s="29"/>
      <c r="D561" s="29"/>
      <c r="E561" s="29"/>
      <c r="F561" s="29"/>
      <c r="G561" s="29"/>
      <c r="H561" s="29"/>
      <c r="I561" s="29"/>
    </row>
    <row r="562">
      <c r="A562" s="29"/>
      <c r="B562" s="29"/>
      <c r="C562" s="29"/>
      <c r="D562" s="29"/>
      <c r="E562" s="29"/>
      <c r="F562" s="29"/>
      <c r="G562" s="29"/>
      <c r="H562" s="29"/>
      <c r="I562" s="29"/>
    </row>
    <row r="563">
      <c r="A563" s="29"/>
      <c r="B563" s="29"/>
      <c r="C563" s="29"/>
      <c r="D563" s="29"/>
      <c r="E563" s="29"/>
      <c r="F563" s="29"/>
      <c r="G563" s="29"/>
      <c r="H563" s="29"/>
      <c r="I563" s="29"/>
    </row>
    <row r="564">
      <c r="A564" s="29"/>
      <c r="B564" s="29"/>
      <c r="C564" s="29"/>
      <c r="D564" s="29"/>
      <c r="E564" s="29"/>
      <c r="F564" s="29"/>
      <c r="G564" s="29"/>
      <c r="H564" s="29"/>
      <c r="I564" s="29"/>
    </row>
    <row r="565">
      <c r="A565" s="29"/>
      <c r="B565" s="29"/>
      <c r="C565" s="29"/>
      <c r="D565" s="29"/>
      <c r="E565" s="29"/>
      <c r="F565" s="29"/>
      <c r="G565" s="29"/>
      <c r="H565" s="29"/>
      <c r="I565" s="29"/>
    </row>
    <row r="566">
      <c r="A566" s="29"/>
      <c r="B566" s="29"/>
      <c r="C566" s="29"/>
      <c r="D566" s="29"/>
      <c r="E566" s="29"/>
      <c r="F566" s="29"/>
      <c r="G566" s="29"/>
      <c r="H566" s="29"/>
      <c r="I566" s="29"/>
    </row>
    <row r="567">
      <c r="A567" s="29"/>
      <c r="B567" s="29"/>
      <c r="C567" s="29"/>
      <c r="D567" s="29"/>
      <c r="E567" s="29"/>
      <c r="F567" s="29"/>
      <c r="G567" s="29"/>
      <c r="H567" s="29"/>
      <c r="I567" s="29"/>
    </row>
    <row r="568">
      <c r="A568" s="29"/>
      <c r="B568" s="29"/>
      <c r="C568" s="29"/>
      <c r="D568" s="29"/>
      <c r="E568" s="29"/>
      <c r="F568" s="29"/>
      <c r="G568" s="29"/>
      <c r="H568" s="29"/>
      <c r="I568" s="29"/>
    </row>
    <row r="569">
      <c r="A569" s="29"/>
      <c r="B569" s="29"/>
      <c r="C569" s="29"/>
      <c r="D569" s="29"/>
      <c r="E569" s="29"/>
      <c r="F569" s="29"/>
      <c r="G569" s="29"/>
      <c r="H569" s="29"/>
      <c r="I569" s="29"/>
    </row>
    <row r="570">
      <c r="A570" s="29"/>
      <c r="B570" s="29"/>
      <c r="C570" s="29"/>
      <c r="D570" s="29"/>
      <c r="E570" s="29"/>
      <c r="F570" s="29"/>
      <c r="G570" s="29"/>
      <c r="H570" s="29"/>
      <c r="I570" s="29"/>
    </row>
    <row r="571">
      <c r="A571" s="29"/>
      <c r="B571" s="29"/>
      <c r="C571" s="29"/>
      <c r="D571" s="29"/>
      <c r="E571" s="29"/>
      <c r="F571" s="29"/>
      <c r="G571" s="29"/>
      <c r="H571" s="29"/>
      <c r="I571" s="29"/>
    </row>
    <row r="572">
      <c r="A572" s="29"/>
      <c r="B572" s="29"/>
      <c r="C572" s="29"/>
      <c r="D572" s="29"/>
      <c r="E572" s="29"/>
      <c r="F572" s="29"/>
      <c r="G572" s="29"/>
      <c r="H572" s="29"/>
      <c r="I572" s="29"/>
    </row>
    <row r="573">
      <c r="A573" s="29"/>
      <c r="B573" s="29"/>
      <c r="C573" s="29"/>
      <c r="D573" s="29"/>
      <c r="E573" s="29"/>
      <c r="F573" s="29"/>
      <c r="G573" s="29"/>
      <c r="H573" s="29"/>
      <c r="I573" s="29"/>
    </row>
    <row r="574">
      <c r="A574" s="29"/>
      <c r="B574" s="29"/>
      <c r="C574" s="29"/>
      <c r="D574" s="29"/>
      <c r="E574" s="29"/>
      <c r="F574" s="29"/>
      <c r="G574" s="29"/>
      <c r="H574" s="29"/>
      <c r="I574" s="29"/>
    </row>
    <row r="575">
      <c r="A575" s="29"/>
      <c r="B575" s="29"/>
      <c r="C575" s="29"/>
      <c r="D575" s="29"/>
      <c r="E575" s="29"/>
      <c r="F575" s="29"/>
      <c r="G575" s="29"/>
      <c r="H575" s="29"/>
      <c r="I575" s="29"/>
    </row>
    <row r="576">
      <c r="A576" s="29"/>
      <c r="B576" s="29"/>
      <c r="C576" s="29"/>
      <c r="D576" s="29"/>
      <c r="E576" s="29"/>
      <c r="F576" s="29"/>
      <c r="G576" s="29"/>
      <c r="H576" s="29"/>
      <c r="I576" s="29"/>
    </row>
    <row r="577">
      <c r="A577" s="29"/>
      <c r="B577" s="29"/>
      <c r="C577" s="29"/>
      <c r="D577" s="29"/>
      <c r="E577" s="29"/>
      <c r="F577" s="29"/>
      <c r="G577" s="29"/>
      <c r="H577" s="29"/>
      <c r="I577" s="29"/>
    </row>
    <row r="578">
      <c r="A578" s="29"/>
      <c r="B578" s="29"/>
      <c r="C578" s="29"/>
      <c r="D578" s="29"/>
      <c r="E578" s="29"/>
      <c r="F578" s="29"/>
      <c r="G578" s="29"/>
      <c r="H578" s="29"/>
      <c r="I578" s="29"/>
    </row>
    <row r="579">
      <c r="A579" s="29"/>
      <c r="B579" s="29"/>
      <c r="C579" s="29"/>
      <c r="D579" s="29"/>
      <c r="E579" s="29"/>
      <c r="F579" s="29"/>
      <c r="G579" s="29"/>
      <c r="H579" s="29"/>
      <c r="I579" s="29"/>
    </row>
    <row r="580">
      <c r="A580" s="29"/>
      <c r="B580" s="29"/>
      <c r="C580" s="29"/>
      <c r="D580" s="29"/>
      <c r="E580" s="29"/>
      <c r="F580" s="29"/>
      <c r="G580" s="29"/>
      <c r="H580" s="29"/>
      <c r="I580" s="29"/>
    </row>
    <row r="581">
      <c r="A581" s="29"/>
      <c r="B581" s="29"/>
      <c r="C581" s="29"/>
      <c r="D581" s="29"/>
      <c r="E581" s="29"/>
      <c r="F581" s="29"/>
      <c r="G581" s="29"/>
      <c r="H581" s="29"/>
      <c r="I581" s="29"/>
    </row>
    <row r="582">
      <c r="A582" s="29"/>
      <c r="B582" s="29"/>
      <c r="C582" s="29"/>
      <c r="D582" s="29"/>
      <c r="E582" s="29"/>
      <c r="F582" s="29"/>
      <c r="G582" s="29"/>
      <c r="H582" s="29"/>
      <c r="I582" s="29"/>
    </row>
    <row r="583">
      <c r="A583" s="29"/>
      <c r="B583" s="29"/>
      <c r="C583" s="29"/>
      <c r="D583" s="29"/>
      <c r="E583" s="29"/>
      <c r="F583" s="29"/>
      <c r="G583" s="29"/>
      <c r="H583" s="29"/>
      <c r="I583" s="29"/>
    </row>
    <row r="584">
      <c r="A584" s="29"/>
      <c r="B584" s="29"/>
      <c r="C584" s="29"/>
      <c r="D584" s="29"/>
      <c r="E584" s="29"/>
      <c r="F584" s="29"/>
      <c r="G584" s="29"/>
      <c r="H584" s="29"/>
      <c r="I584" s="29"/>
    </row>
    <row r="585">
      <c r="A585" s="29"/>
      <c r="B585" s="29"/>
      <c r="C585" s="29"/>
      <c r="D585" s="29"/>
      <c r="E585" s="29"/>
      <c r="F585" s="29"/>
      <c r="G585" s="29"/>
      <c r="H585" s="29"/>
      <c r="I585" s="29"/>
    </row>
    <row r="586">
      <c r="A586" s="29"/>
      <c r="B586" s="29"/>
      <c r="C586" s="29"/>
      <c r="D586" s="29"/>
      <c r="E586" s="29"/>
      <c r="F586" s="29"/>
      <c r="G586" s="29"/>
      <c r="H586" s="29"/>
      <c r="I586" s="29"/>
    </row>
    <row r="587">
      <c r="A587" s="29"/>
      <c r="B587" s="29"/>
      <c r="C587" s="29"/>
      <c r="D587" s="29"/>
      <c r="E587" s="29"/>
      <c r="F587" s="29"/>
      <c r="G587" s="29"/>
      <c r="H587" s="29"/>
      <c r="I587" s="29"/>
    </row>
    <row r="588">
      <c r="A588" s="29"/>
      <c r="B588" s="29"/>
      <c r="C588" s="29"/>
      <c r="D588" s="29"/>
      <c r="E588" s="29"/>
      <c r="F588" s="29"/>
      <c r="G588" s="29"/>
      <c r="H588" s="29"/>
      <c r="I588" s="29"/>
    </row>
    <row r="589">
      <c r="A589" s="29"/>
      <c r="B589" s="29"/>
      <c r="C589" s="29"/>
      <c r="D589" s="29"/>
      <c r="E589" s="29"/>
      <c r="F589" s="29"/>
      <c r="G589" s="29"/>
      <c r="H589" s="29"/>
      <c r="I589" s="29"/>
    </row>
    <row r="590">
      <c r="A590" s="29"/>
      <c r="B590" s="29"/>
      <c r="C590" s="29"/>
      <c r="D590" s="29"/>
      <c r="E590" s="29"/>
      <c r="F590" s="29"/>
      <c r="G590" s="29"/>
      <c r="H590" s="29"/>
      <c r="I590" s="29"/>
    </row>
    <row r="591">
      <c r="A591" s="29"/>
      <c r="B591" s="29"/>
      <c r="C591" s="29"/>
      <c r="D591" s="29"/>
      <c r="E591" s="29"/>
      <c r="F591" s="29"/>
      <c r="G591" s="29"/>
      <c r="H591" s="29"/>
      <c r="I591" s="29"/>
    </row>
    <row r="592">
      <c r="A592" s="29"/>
      <c r="B592" s="29"/>
      <c r="C592" s="29"/>
      <c r="D592" s="29"/>
      <c r="E592" s="29"/>
      <c r="F592" s="29"/>
      <c r="G592" s="29"/>
      <c r="H592" s="29"/>
      <c r="I592" s="29"/>
    </row>
    <row r="593">
      <c r="A593" s="29"/>
      <c r="B593" s="29"/>
      <c r="C593" s="29"/>
      <c r="D593" s="29"/>
      <c r="E593" s="29"/>
      <c r="F593" s="29"/>
      <c r="G593" s="29"/>
      <c r="H593" s="29"/>
      <c r="I593" s="29"/>
    </row>
    <row r="594">
      <c r="A594" s="29"/>
      <c r="B594" s="29"/>
      <c r="C594" s="29"/>
      <c r="D594" s="29"/>
      <c r="E594" s="29"/>
      <c r="F594" s="29"/>
      <c r="G594" s="29"/>
      <c r="H594" s="29"/>
      <c r="I594" s="29"/>
    </row>
    <row r="595">
      <c r="A595" s="29"/>
      <c r="B595" s="29"/>
      <c r="C595" s="29"/>
      <c r="D595" s="29"/>
      <c r="E595" s="29"/>
      <c r="F595" s="29"/>
      <c r="G595" s="29"/>
      <c r="H595" s="29"/>
      <c r="I595" s="29"/>
    </row>
    <row r="596">
      <c r="A596" s="29"/>
      <c r="B596" s="29"/>
      <c r="C596" s="29"/>
      <c r="D596" s="29"/>
      <c r="E596" s="29"/>
      <c r="F596" s="29"/>
      <c r="G596" s="29"/>
      <c r="H596" s="29"/>
      <c r="I596" s="29"/>
    </row>
    <row r="597">
      <c r="A597" s="29"/>
      <c r="B597" s="29"/>
      <c r="C597" s="29"/>
      <c r="D597" s="29"/>
      <c r="E597" s="29"/>
      <c r="F597" s="29"/>
      <c r="G597" s="29"/>
      <c r="H597" s="29"/>
      <c r="I597" s="29"/>
    </row>
    <row r="598">
      <c r="A598" s="29"/>
      <c r="B598" s="29"/>
      <c r="C598" s="29"/>
      <c r="D598" s="29"/>
      <c r="E598" s="29"/>
      <c r="F598" s="29"/>
      <c r="G598" s="29"/>
      <c r="H598" s="29"/>
      <c r="I598" s="29"/>
    </row>
    <row r="599">
      <c r="A599" s="29"/>
      <c r="B599" s="29"/>
      <c r="C599" s="29"/>
      <c r="D599" s="29"/>
      <c r="E599" s="29"/>
      <c r="F599" s="29"/>
      <c r="G599" s="29"/>
      <c r="H599" s="29"/>
      <c r="I599" s="29"/>
    </row>
    <row r="600">
      <c r="A600" s="29"/>
      <c r="B600" s="29"/>
      <c r="C600" s="29"/>
      <c r="D600" s="29"/>
      <c r="E600" s="29"/>
      <c r="F600" s="29"/>
      <c r="G600" s="29"/>
      <c r="H600" s="29"/>
      <c r="I600" s="29"/>
    </row>
    <row r="601">
      <c r="A601" s="29"/>
      <c r="B601" s="29"/>
      <c r="C601" s="29"/>
      <c r="D601" s="29"/>
      <c r="E601" s="29"/>
      <c r="F601" s="29"/>
      <c r="G601" s="29"/>
      <c r="H601" s="29"/>
      <c r="I601" s="29"/>
    </row>
    <row r="602">
      <c r="A602" s="29"/>
      <c r="B602" s="29"/>
      <c r="C602" s="29"/>
      <c r="D602" s="29"/>
      <c r="E602" s="29"/>
      <c r="F602" s="29"/>
      <c r="G602" s="29"/>
      <c r="H602" s="29"/>
      <c r="I602" s="29"/>
    </row>
    <row r="603">
      <c r="A603" s="29"/>
      <c r="B603" s="29"/>
      <c r="C603" s="29"/>
      <c r="D603" s="29"/>
      <c r="E603" s="29"/>
      <c r="F603" s="29"/>
      <c r="G603" s="29"/>
      <c r="H603" s="29"/>
      <c r="I603" s="29"/>
    </row>
    <row r="604">
      <c r="A604" s="29"/>
      <c r="B604" s="29"/>
      <c r="C604" s="29"/>
      <c r="D604" s="29"/>
      <c r="E604" s="29"/>
      <c r="F604" s="29"/>
      <c r="G604" s="29"/>
      <c r="H604" s="29"/>
      <c r="I604" s="29"/>
    </row>
    <row r="605">
      <c r="A605" s="29"/>
      <c r="B605" s="29"/>
      <c r="C605" s="29"/>
      <c r="D605" s="29"/>
      <c r="E605" s="29"/>
      <c r="F605" s="29"/>
      <c r="G605" s="29"/>
      <c r="H605" s="29"/>
      <c r="I605" s="29"/>
    </row>
    <row r="606">
      <c r="A606" s="29"/>
      <c r="B606" s="29"/>
      <c r="C606" s="29"/>
      <c r="D606" s="29"/>
      <c r="E606" s="29"/>
      <c r="F606" s="29"/>
      <c r="G606" s="29"/>
      <c r="H606" s="29"/>
      <c r="I606" s="29"/>
    </row>
    <row r="607">
      <c r="A607" s="29"/>
      <c r="B607" s="29"/>
      <c r="C607" s="29"/>
      <c r="D607" s="29"/>
      <c r="E607" s="29"/>
      <c r="F607" s="29"/>
      <c r="G607" s="29"/>
      <c r="H607" s="29"/>
      <c r="I607" s="29"/>
    </row>
    <row r="608">
      <c r="A608" s="29"/>
      <c r="B608" s="29"/>
      <c r="C608" s="29"/>
      <c r="D608" s="29"/>
      <c r="E608" s="29"/>
      <c r="F608" s="29"/>
      <c r="G608" s="29"/>
      <c r="H608" s="29"/>
      <c r="I608" s="29"/>
    </row>
    <row r="609">
      <c r="A609" s="29"/>
      <c r="B609" s="29"/>
      <c r="C609" s="29"/>
      <c r="D609" s="29"/>
      <c r="E609" s="29"/>
      <c r="F609" s="29"/>
      <c r="G609" s="29"/>
      <c r="H609" s="29"/>
      <c r="I609" s="29"/>
    </row>
    <row r="610">
      <c r="A610" s="29"/>
      <c r="B610" s="29"/>
      <c r="C610" s="29"/>
      <c r="D610" s="29"/>
      <c r="E610" s="29"/>
      <c r="F610" s="29"/>
      <c r="G610" s="29"/>
      <c r="H610" s="29"/>
      <c r="I610" s="29"/>
    </row>
    <row r="611">
      <c r="A611" s="29"/>
      <c r="B611" s="29"/>
      <c r="C611" s="29"/>
      <c r="D611" s="29"/>
      <c r="E611" s="29"/>
      <c r="F611" s="29"/>
      <c r="G611" s="29"/>
      <c r="H611" s="29"/>
      <c r="I611" s="29"/>
    </row>
    <row r="612">
      <c r="A612" s="29"/>
      <c r="B612" s="29"/>
      <c r="C612" s="29"/>
      <c r="D612" s="29"/>
      <c r="E612" s="29"/>
      <c r="F612" s="29"/>
      <c r="G612" s="29"/>
      <c r="H612" s="29"/>
      <c r="I612" s="29"/>
    </row>
    <row r="613">
      <c r="A613" s="29"/>
      <c r="B613" s="29"/>
      <c r="C613" s="29"/>
      <c r="D613" s="29"/>
      <c r="E613" s="29"/>
      <c r="F613" s="29"/>
      <c r="G613" s="29"/>
      <c r="H613" s="29"/>
      <c r="I613" s="29"/>
    </row>
    <row r="614">
      <c r="A614" s="29"/>
      <c r="B614" s="29"/>
      <c r="C614" s="29"/>
      <c r="D614" s="29"/>
      <c r="E614" s="29"/>
      <c r="F614" s="29"/>
      <c r="G614" s="29"/>
      <c r="H614" s="29"/>
      <c r="I614" s="29"/>
    </row>
    <row r="615">
      <c r="A615" s="29"/>
      <c r="B615" s="29"/>
      <c r="C615" s="29"/>
      <c r="D615" s="29"/>
      <c r="E615" s="29"/>
      <c r="F615" s="29"/>
      <c r="G615" s="29"/>
      <c r="H615" s="29"/>
      <c r="I615" s="29"/>
    </row>
    <row r="616">
      <c r="A616" s="29"/>
      <c r="B616" s="29"/>
      <c r="C616" s="29"/>
      <c r="D616" s="29"/>
      <c r="E616" s="29"/>
      <c r="F616" s="29"/>
      <c r="G616" s="29"/>
      <c r="H616" s="29"/>
      <c r="I616" s="29"/>
    </row>
    <row r="617">
      <c r="A617" s="29"/>
      <c r="B617" s="29"/>
      <c r="C617" s="29"/>
      <c r="D617" s="29"/>
      <c r="E617" s="29"/>
      <c r="F617" s="29"/>
      <c r="G617" s="29"/>
      <c r="H617" s="29"/>
      <c r="I617" s="29"/>
    </row>
    <row r="618">
      <c r="A618" s="29"/>
      <c r="B618" s="29"/>
      <c r="C618" s="29"/>
      <c r="D618" s="29"/>
      <c r="E618" s="29"/>
      <c r="F618" s="29"/>
      <c r="G618" s="29"/>
      <c r="H618" s="29"/>
      <c r="I618" s="29"/>
    </row>
    <row r="619">
      <c r="A619" s="29"/>
      <c r="B619" s="29"/>
      <c r="C619" s="29"/>
      <c r="D619" s="29"/>
      <c r="E619" s="29"/>
      <c r="F619" s="29"/>
      <c r="G619" s="29"/>
      <c r="H619" s="29"/>
      <c r="I619" s="29"/>
    </row>
    <row r="620">
      <c r="A620" s="29"/>
      <c r="B620" s="29"/>
      <c r="C620" s="29"/>
      <c r="D620" s="29"/>
      <c r="E620" s="29"/>
      <c r="F620" s="29"/>
      <c r="G620" s="29"/>
      <c r="H620" s="29"/>
      <c r="I620" s="29"/>
    </row>
    <row r="621">
      <c r="A621" s="29"/>
      <c r="B621" s="29"/>
      <c r="C621" s="29"/>
      <c r="D621" s="29"/>
      <c r="E621" s="29"/>
      <c r="F621" s="29"/>
      <c r="G621" s="29"/>
      <c r="H621" s="29"/>
      <c r="I621" s="29"/>
    </row>
    <row r="622">
      <c r="A622" s="29"/>
      <c r="B622" s="29"/>
      <c r="C622" s="29"/>
      <c r="D622" s="29"/>
      <c r="E622" s="29"/>
      <c r="F622" s="29"/>
      <c r="G622" s="29"/>
      <c r="H622" s="29"/>
      <c r="I622" s="29"/>
    </row>
    <row r="623">
      <c r="A623" s="29"/>
      <c r="B623" s="29"/>
      <c r="C623" s="29"/>
      <c r="D623" s="29"/>
      <c r="E623" s="29"/>
      <c r="F623" s="29"/>
      <c r="G623" s="29"/>
      <c r="H623" s="29"/>
      <c r="I623" s="29"/>
    </row>
    <row r="624">
      <c r="A624" s="29"/>
      <c r="B624" s="29"/>
      <c r="C624" s="29"/>
      <c r="D624" s="29"/>
      <c r="E624" s="29"/>
      <c r="F624" s="29"/>
      <c r="G624" s="29"/>
      <c r="H624" s="29"/>
      <c r="I624" s="29"/>
    </row>
    <row r="625">
      <c r="A625" s="29"/>
      <c r="B625" s="29"/>
      <c r="C625" s="29"/>
      <c r="D625" s="29"/>
      <c r="E625" s="29"/>
      <c r="F625" s="29"/>
      <c r="G625" s="29"/>
      <c r="H625" s="29"/>
      <c r="I625" s="29"/>
    </row>
    <row r="626">
      <c r="A626" s="29"/>
      <c r="B626" s="29"/>
      <c r="C626" s="29"/>
      <c r="D626" s="29"/>
      <c r="E626" s="29"/>
      <c r="F626" s="29"/>
      <c r="G626" s="29"/>
      <c r="H626" s="29"/>
      <c r="I626" s="29"/>
    </row>
    <row r="627">
      <c r="A627" s="29"/>
      <c r="B627" s="29"/>
      <c r="C627" s="29"/>
      <c r="D627" s="29"/>
      <c r="E627" s="29"/>
      <c r="F627" s="29"/>
      <c r="G627" s="29"/>
      <c r="H627" s="29"/>
      <c r="I627" s="29"/>
    </row>
    <row r="628">
      <c r="A628" s="29"/>
      <c r="B628" s="29"/>
      <c r="C628" s="29"/>
      <c r="D628" s="29"/>
      <c r="E628" s="29"/>
      <c r="F628" s="29"/>
      <c r="G628" s="29"/>
      <c r="H628" s="29"/>
      <c r="I628" s="29"/>
    </row>
    <row r="629">
      <c r="A629" s="29"/>
      <c r="B629" s="29"/>
      <c r="C629" s="29"/>
      <c r="D629" s="29"/>
      <c r="E629" s="29"/>
      <c r="F629" s="29"/>
      <c r="G629" s="29"/>
      <c r="H629" s="29"/>
      <c r="I629" s="29"/>
    </row>
    <row r="630">
      <c r="A630" s="29"/>
      <c r="B630" s="29"/>
      <c r="C630" s="29"/>
      <c r="D630" s="29"/>
      <c r="E630" s="29"/>
      <c r="F630" s="29"/>
      <c r="G630" s="29"/>
      <c r="H630" s="29"/>
      <c r="I630" s="29"/>
    </row>
    <row r="631">
      <c r="A631" s="29"/>
      <c r="B631" s="29"/>
      <c r="C631" s="29"/>
      <c r="D631" s="29"/>
      <c r="E631" s="29"/>
      <c r="F631" s="29"/>
      <c r="G631" s="29"/>
      <c r="H631" s="29"/>
      <c r="I631" s="29"/>
    </row>
    <row r="632">
      <c r="A632" s="29"/>
      <c r="B632" s="29"/>
      <c r="C632" s="29"/>
      <c r="D632" s="29"/>
      <c r="E632" s="29"/>
      <c r="F632" s="29"/>
      <c r="G632" s="29"/>
      <c r="H632" s="29"/>
      <c r="I632" s="29"/>
    </row>
    <row r="633">
      <c r="A633" s="29"/>
      <c r="B633" s="29"/>
      <c r="C633" s="29"/>
      <c r="D633" s="29"/>
      <c r="E633" s="29"/>
      <c r="F633" s="29"/>
      <c r="G633" s="29"/>
      <c r="H633" s="29"/>
      <c r="I633" s="29"/>
    </row>
    <row r="634">
      <c r="A634" s="29"/>
      <c r="B634" s="29"/>
      <c r="C634" s="29"/>
      <c r="D634" s="29"/>
      <c r="E634" s="29"/>
      <c r="F634" s="29"/>
      <c r="G634" s="29"/>
      <c r="H634" s="29"/>
      <c r="I634" s="29"/>
    </row>
    <row r="635">
      <c r="A635" s="29"/>
      <c r="B635" s="29"/>
      <c r="C635" s="29"/>
      <c r="D635" s="29"/>
      <c r="E635" s="29"/>
      <c r="F635" s="29"/>
      <c r="G635" s="29"/>
      <c r="H635" s="29"/>
      <c r="I635" s="29"/>
    </row>
    <row r="636">
      <c r="A636" s="29"/>
      <c r="B636" s="29"/>
      <c r="C636" s="29"/>
      <c r="D636" s="29"/>
      <c r="E636" s="29"/>
      <c r="F636" s="29"/>
      <c r="G636" s="29"/>
      <c r="H636" s="29"/>
      <c r="I636" s="29"/>
    </row>
    <row r="637">
      <c r="A637" s="29"/>
      <c r="B637" s="29"/>
      <c r="C637" s="29"/>
      <c r="D637" s="29"/>
      <c r="E637" s="29"/>
      <c r="F637" s="29"/>
      <c r="G637" s="29"/>
      <c r="H637" s="29"/>
      <c r="I637" s="29"/>
    </row>
    <row r="638">
      <c r="A638" s="29"/>
      <c r="B638" s="29"/>
      <c r="C638" s="29"/>
      <c r="D638" s="29"/>
      <c r="E638" s="29"/>
      <c r="F638" s="29"/>
      <c r="G638" s="29"/>
      <c r="H638" s="29"/>
      <c r="I638" s="29"/>
    </row>
    <row r="639">
      <c r="A639" s="29"/>
      <c r="B639" s="29"/>
      <c r="C639" s="29"/>
      <c r="D639" s="29"/>
      <c r="E639" s="29"/>
      <c r="F639" s="29"/>
      <c r="G639" s="29"/>
      <c r="H639" s="29"/>
      <c r="I639" s="29"/>
    </row>
    <row r="640">
      <c r="A640" s="29"/>
      <c r="B640" s="29"/>
      <c r="C640" s="29"/>
      <c r="D640" s="29"/>
      <c r="E640" s="29"/>
      <c r="F640" s="29"/>
      <c r="G640" s="29"/>
      <c r="H640" s="29"/>
      <c r="I640" s="29"/>
    </row>
    <row r="641">
      <c r="A641" s="29"/>
      <c r="B641" s="29"/>
      <c r="C641" s="29"/>
      <c r="D641" s="29"/>
      <c r="E641" s="29"/>
      <c r="F641" s="29"/>
      <c r="G641" s="29"/>
      <c r="H641" s="29"/>
      <c r="I641" s="29"/>
    </row>
    <row r="642">
      <c r="A642" s="29"/>
      <c r="B642" s="29"/>
      <c r="C642" s="29"/>
      <c r="D642" s="29"/>
      <c r="E642" s="29"/>
      <c r="F642" s="29"/>
      <c r="G642" s="29"/>
      <c r="H642" s="29"/>
      <c r="I642" s="29"/>
    </row>
    <row r="643">
      <c r="A643" s="29"/>
      <c r="B643" s="29"/>
      <c r="C643" s="29"/>
      <c r="D643" s="29"/>
      <c r="E643" s="29"/>
      <c r="F643" s="29"/>
      <c r="G643" s="29"/>
      <c r="H643" s="29"/>
      <c r="I643" s="29"/>
    </row>
    <row r="644">
      <c r="A644" s="29"/>
      <c r="B644" s="29"/>
      <c r="C644" s="29"/>
      <c r="D644" s="29"/>
      <c r="E644" s="29"/>
      <c r="F644" s="29"/>
      <c r="G644" s="29"/>
      <c r="H644" s="29"/>
      <c r="I644" s="29"/>
    </row>
    <row r="645">
      <c r="A645" s="29"/>
      <c r="B645" s="29"/>
      <c r="C645" s="29"/>
      <c r="D645" s="29"/>
      <c r="E645" s="29"/>
      <c r="F645" s="29"/>
      <c r="G645" s="29"/>
      <c r="H645" s="29"/>
      <c r="I645" s="29"/>
    </row>
    <row r="646">
      <c r="A646" s="29"/>
      <c r="B646" s="29"/>
      <c r="C646" s="29"/>
      <c r="D646" s="29"/>
      <c r="E646" s="29"/>
      <c r="F646" s="29"/>
      <c r="G646" s="29"/>
      <c r="H646" s="29"/>
      <c r="I646" s="29"/>
    </row>
    <row r="647">
      <c r="A647" s="29"/>
      <c r="B647" s="29"/>
      <c r="C647" s="29"/>
      <c r="D647" s="29"/>
      <c r="E647" s="29"/>
      <c r="F647" s="29"/>
      <c r="G647" s="29"/>
      <c r="H647" s="29"/>
      <c r="I647" s="29"/>
    </row>
    <row r="648">
      <c r="A648" s="29"/>
      <c r="B648" s="29"/>
      <c r="C648" s="29"/>
      <c r="D648" s="29"/>
      <c r="E648" s="29"/>
      <c r="F648" s="29"/>
      <c r="G648" s="29"/>
      <c r="H648" s="29"/>
      <c r="I648" s="29"/>
    </row>
    <row r="649">
      <c r="A649" s="29"/>
      <c r="B649" s="29"/>
      <c r="C649" s="29"/>
      <c r="D649" s="29"/>
      <c r="E649" s="29"/>
      <c r="F649" s="29"/>
      <c r="G649" s="29"/>
      <c r="H649" s="29"/>
      <c r="I649" s="29"/>
    </row>
    <row r="650">
      <c r="A650" s="29"/>
      <c r="B650" s="29"/>
      <c r="C650" s="29"/>
      <c r="D650" s="29"/>
      <c r="E650" s="29"/>
      <c r="F650" s="29"/>
      <c r="G650" s="29"/>
      <c r="H650" s="29"/>
      <c r="I650" s="29"/>
    </row>
    <row r="651">
      <c r="A651" s="29"/>
      <c r="B651" s="29"/>
      <c r="C651" s="29"/>
      <c r="D651" s="29"/>
      <c r="E651" s="29"/>
      <c r="F651" s="29"/>
      <c r="G651" s="29"/>
      <c r="H651" s="29"/>
      <c r="I651" s="29"/>
    </row>
    <row r="652">
      <c r="A652" s="29"/>
      <c r="B652" s="29"/>
      <c r="C652" s="29"/>
      <c r="D652" s="29"/>
      <c r="E652" s="29"/>
      <c r="F652" s="29"/>
      <c r="G652" s="29"/>
      <c r="H652" s="29"/>
      <c r="I652" s="29"/>
    </row>
    <row r="653">
      <c r="A653" s="29"/>
      <c r="B653" s="29"/>
      <c r="C653" s="29"/>
      <c r="D653" s="29"/>
      <c r="E653" s="29"/>
      <c r="F653" s="29"/>
      <c r="G653" s="29"/>
      <c r="H653" s="29"/>
      <c r="I653" s="29"/>
    </row>
    <row r="654">
      <c r="A654" s="29"/>
      <c r="B654" s="29"/>
      <c r="C654" s="29"/>
      <c r="D654" s="29"/>
      <c r="E654" s="29"/>
      <c r="F654" s="29"/>
      <c r="G654" s="29"/>
      <c r="H654" s="29"/>
      <c r="I654" s="29"/>
    </row>
    <row r="655">
      <c r="A655" s="29"/>
      <c r="B655" s="29"/>
      <c r="C655" s="29"/>
      <c r="D655" s="29"/>
      <c r="E655" s="29"/>
      <c r="F655" s="29"/>
      <c r="G655" s="29"/>
      <c r="H655" s="29"/>
      <c r="I655" s="29"/>
    </row>
    <row r="656">
      <c r="A656" s="29"/>
      <c r="B656" s="29"/>
      <c r="C656" s="29"/>
      <c r="D656" s="29"/>
      <c r="E656" s="29"/>
      <c r="F656" s="29"/>
      <c r="G656" s="29"/>
      <c r="H656" s="29"/>
      <c r="I656" s="29"/>
    </row>
    <row r="657">
      <c r="A657" s="29"/>
      <c r="B657" s="29"/>
      <c r="C657" s="29"/>
      <c r="D657" s="29"/>
      <c r="E657" s="29"/>
      <c r="F657" s="29"/>
      <c r="G657" s="29"/>
      <c r="H657" s="29"/>
      <c r="I657" s="29"/>
    </row>
    <row r="658">
      <c r="A658" s="29"/>
      <c r="B658" s="29"/>
      <c r="C658" s="29"/>
      <c r="D658" s="29"/>
      <c r="E658" s="29"/>
      <c r="F658" s="29"/>
      <c r="G658" s="29"/>
      <c r="H658" s="29"/>
      <c r="I658" s="29"/>
    </row>
    <row r="659">
      <c r="A659" s="29"/>
      <c r="B659" s="29"/>
      <c r="C659" s="29"/>
      <c r="D659" s="29"/>
      <c r="E659" s="29"/>
      <c r="F659" s="29"/>
      <c r="G659" s="29"/>
      <c r="H659" s="29"/>
      <c r="I659" s="29"/>
    </row>
    <row r="660">
      <c r="A660" s="29"/>
      <c r="B660" s="29"/>
      <c r="C660" s="29"/>
      <c r="D660" s="29"/>
      <c r="E660" s="29"/>
      <c r="F660" s="29"/>
      <c r="G660" s="29"/>
      <c r="H660" s="29"/>
      <c r="I660" s="29"/>
    </row>
    <row r="661">
      <c r="A661" s="29"/>
      <c r="B661" s="29"/>
      <c r="C661" s="29"/>
      <c r="D661" s="29"/>
      <c r="E661" s="29"/>
      <c r="F661" s="29"/>
      <c r="G661" s="29"/>
      <c r="H661" s="29"/>
      <c r="I661" s="29"/>
    </row>
    <row r="662">
      <c r="A662" s="29"/>
      <c r="B662" s="29"/>
      <c r="C662" s="29"/>
      <c r="D662" s="29"/>
      <c r="E662" s="29"/>
      <c r="F662" s="29"/>
      <c r="G662" s="29"/>
      <c r="H662" s="29"/>
      <c r="I662" s="29"/>
    </row>
    <row r="663">
      <c r="A663" s="29"/>
      <c r="B663" s="29"/>
      <c r="C663" s="29"/>
      <c r="D663" s="29"/>
      <c r="E663" s="29"/>
      <c r="F663" s="29"/>
      <c r="G663" s="29"/>
      <c r="H663" s="29"/>
      <c r="I663" s="29"/>
    </row>
    <row r="664">
      <c r="A664" s="29"/>
      <c r="B664" s="29"/>
      <c r="C664" s="29"/>
      <c r="D664" s="29"/>
      <c r="E664" s="29"/>
      <c r="F664" s="29"/>
      <c r="G664" s="29"/>
      <c r="H664" s="29"/>
      <c r="I664" s="29"/>
    </row>
    <row r="665">
      <c r="A665" s="29"/>
      <c r="B665" s="29"/>
      <c r="C665" s="29"/>
      <c r="D665" s="29"/>
      <c r="E665" s="29"/>
      <c r="F665" s="29"/>
      <c r="G665" s="29"/>
      <c r="H665" s="29"/>
      <c r="I665" s="29"/>
    </row>
    <row r="666">
      <c r="A666" s="29"/>
      <c r="B666" s="29"/>
      <c r="C666" s="29"/>
      <c r="D666" s="29"/>
      <c r="E666" s="29"/>
      <c r="F666" s="29"/>
      <c r="G666" s="29"/>
      <c r="H666" s="29"/>
      <c r="I666" s="29"/>
    </row>
    <row r="667">
      <c r="A667" s="29"/>
      <c r="B667" s="29"/>
      <c r="C667" s="29"/>
      <c r="D667" s="29"/>
      <c r="E667" s="29"/>
      <c r="F667" s="29"/>
      <c r="G667" s="29"/>
      <c r="H667" s="29"/>
      <c r="I667" s="29"/>
    </row>
    <row r="668">
      <c r="A668" s="29"/>
      <c r="B668" s="29"/>
      <c r="C668" s="29"/>
      <c r="D668" s="29"/>
      <c r="E668" s="29"/>
      <c r="F668" s="29"/>
      <c r="G668" s="29"/>
      <c r="H668" s="29"/>
      <c r="I668" s="29"/>
    </row>
    <row r="669">
      <c r="A669" s="29"/>
      <c r="B669" s="29"/>
      <c r="C669" s="29"/>
      <c r="D669" s="29"/>
      <c r="E669" s="29"/>
      <c r="F669" s="29"/>
      <c r="G669" s="29"/>
      <c r="H669" s="29"/>
      <c r="I669" s="29"/>
    </row>
    <row r="670">
      <c r="A670" s="29"/>
      <c r="B670" s="29"/>
      <c r="C670" s="29"/>
      <c r="D670" s="29"/>
      <c r="E670" s="29"/>
      <c r="F670" s="29"/>
      <c r="G670" s="29"/>
      <c r="H670" s="29"/>
      <c r="I670" s="29"/>
    </row>
    <row r="671">
      <c r="A671" s="29"/>
      <c r="B671" s="29"/>
      <c r="C671" s="29"/>
      <c r="D671" s="29"/>
      <c r="E671" s="29"/>
      <c r="F671" s="29"/>
      <c r="G671" s="29"/>
      <c r="H671" s="29"/>
      <c r="I671" s="29"/>
    </row>
    <row r="672">
      <c r="A672" s="29"/>
      <c r="B672" s="29"/>
      <c r="C672" s="29"/>
      <c r="D672" s="29"/>
      <c r="E672" s="29"/>
      <c r="F672" s="29"/>
      <c r="G672" s="29"/>
      <c r="H672" s="29"/>
      <c r="I672" s="29"/>
    </row>
    <row r="673">
      <c r="A673" s="29"/>
      <c r="B673" s="29"/>
      <c r="C673" s="29"/>
      <c r="D673" s="29"/>
      <c r="E673" s="29"/>
      <c r="F673" s="29"/>
      <c r="G673" s="29"/>
      <c r="H673" s="29"/>
      <c r="I673" s="29"/>
    </row>
    <row r="674">
      <c r="A674" s="29"/>
      <c r="B674" s="29"/>
      <c r="C674" s="29"/>
      <c r="D674" s="29"/>
      <c r="E674" s="29"/>
      <c r="F674" s="29"/>
      <c r="G674" s="29"/>
      <c r="H674" s="29"/>
      <c r="I674" s="29"/>
    </row>
    <row r="675">
      <c r="A675" s="29"/>
      <c r="B675" s="29"/>
      <c r="C675" s="29"/>
      <c r="D675" s="29"/>
      <c r="E675" s="29"/>
      <c r="F675" s="29"/>
      <c r="G675" s="29"/>
      <c r="H675" s="29"/>
      <c r="I675" s="29"/>
    </row>
    <row r="676">
      <c r="A676" s="29"/>
      <c r="B676" s="29"/>
      <c r="C676" s="29"/>
      <c r="D676" s="29"/>
      <c r="E676" s="29"/>
      <c r="F676" s="29"/>
      <c r="G676" s="29"/>
      <c r="H676" s="29"/>
      <c r="I676" s="29"/>
    </row>
    <row r="677">
      <c r="A677" s="29"/>
      <c r="B677" s="29"/>
      <c r="C677" s="29"/>
      <c r="D677" s="29"/>
      <c r="E677" s="29"/>
      <c r="F677" s="29"/>
      <c r="G677" s="29"/>
      <c r="H677" s="29"/>
      <c r="I677" s="29"/>
    </row>
    <row r="678">
      <c r="A678" s="29"/>
      <c r="B678" s="29"/>
      <c r="C678" s="29"/>
      <c r="D678" s="29"/>
      <c r="E678" s="29"/>
      <c r="F678" s="29"/>
      <c r="G678" s="29"/>
      <c r="H678" s="29"/>
      <c r="I678" s="29"/>
    </row>
    <row r="679">
      <c r="A679" s="29"/>
      <c r="B679" s="29"/>
      <c r="C679" s="29"/>
      <c r="D679" s="29"/>
      <c r="E679" s="29"/>
      <c r="F679" s="29"/>
      <c r="G679" s="29"/>
      <c r="H679" s="29"/>
      <c r="I679" s="29"/>
    </row>
    <row r="680">
      <c r="A680" s="29"/>
      <c r="B680" s="29"/>
      <c r="C680" s="29"/>
      <c r="D680" s="29"/>
      <c r="E680" s="29"/>
      <c r="F680" s="29"/>
      <c r="G680" s="29"/>
      <c r="H680" s="29"/>
      <c r="I680" s="29"/>
    </row>
    <row r="681">
      <c r="A681" s="29"/>
      <c r="B681" s="29"/>
      <c r="C681" s="29"/>
      <c r="D681" s="29"/>
      <c r="E681" s="29"/>
      <c r="F681" s="29"/>
      <c r="G681" s="29"/>
      <c r="H681" s="29"/>
      <c r="I681" s="29"/>
    </row>
    <row r="682">
      <c r="A682" s="29"/>
      <c r="B682" s="29"/>
      <c r="C682" s="29"/>
      <c r="D682" s="29"/>
      <c r="E682" s="29"/>
      <c r="F682" s="29"/>
      <c r="G682" s="29"/>
      <c r="H682" s="29"/>
      <c r="I682" s="29"/>
    </row>
    <row r="683">
      <c r="A683" s="29"/>
      <c r="B683" s="29"/>
      <c r="C683" s="29"/>
      <c r="D683" s="29"/>
      <c r="E683" s="29"/>
      <c r="F683" s="29"/>
      <c r="G683" s="29"/>
      <c r="H683" s="29"/>
      <c r="I683" s="29"/>
    </row>
    <row r="684">
      <c r="A684" s="29"/>
      <c r="B684" s="29"/>
      <c r="C684" s="29"/>
      <c r="D684" s="29"/>
      <c r="E684" s="29"/>
      <c r="F684" s="29"/>
      <c r="G684" s="29"/>
      <c r="H684" s="29"/>
      <c r="I684" s="29"/>
    </row>
    <row r="685">
      <c r="A685" s="29"/>
      <c r="B685" s="29"/>
      <c r="C685" s="29"/>
      <c r="D685" s="29"/>
      <c r="E685" s="29"/>
      <c r="F685" s="29"/>
      <c r="G685" s="29"/>
      <c r="H685" s="29"/>
      <c r="I685" s="29"/>
    </row>
    <row r="686">
      <c r="A686" s="29"/>
      <c r="B686" s="29"/>
      <c r="C686" s="29"/>
      <c r="D686" s="29"/>
      <c r="E686" s="29"/>
      <c r="F686" s="29"/>
      <c r="G686" s="29"/>
      <c r="H686" s="29"/>
      <c r="I686" s="29"/>
    </row>
    <row r="687">
      <c r="A687" s="29"/>
      <c r="B687" s="29"/>
      <c r="C687" s="29"/>
      <c r="D687" s="29"/>
      <c r="E687" s="29"/>
      <c r="F687" s="29"/>
      <c r="G687" s="29"/>
      <c r="H687" s="29"/>
      <c r="I687" s="29"/>
    </row>
    <row r="688">
      <c r="A688" s="29"/>
      <c r="B688" s="29"/>
      <c r="C688" s="29"/>
      <c r="D688" s="29"/>
      <c r="E688" s="29"/>
      <c r="F688" s="29"/>
      <c r="G688" s="29"/>
      <c r="H688" s="29"/>
      <c r="I688" s="29"/>
    </row>
    <row r="689">
      <c r="A689" s="29"/>
      <c r="B689" s="29"/>
      <c r="C689" s="29"/>
      <c r="D689" s="29"/>
      <c r="E689" s="29"/>
      <c r="F689" s="29"/>
      <c r="G689" s="29"/>
      <c r="H689" s="29"/>
      <c r="I689" s="29"/>
    </row>
    <row r="690">
      <c r="A690" s="29"/>
      <c r="B690" s="29"/>
      <c r="C690" s="29"/>
      <c r="D690" s="29"/>
      <c r="E690" s="29"/>
      <c r="F690" s="29"/>
      <c r="G690" s="29"/>
      <c r="H690" s="29"/>
      <c r="I690" s="29"/>
    </row>
    <row r="691">
      <c r="A691" s="29"/>
      <c r="B691" s="29"/>
      <c r="C691" s="29"/>
      <c r="D691" s="29"/>
      <c r="E691" s="29"/>
      <c r="F691" s="29"/>
      <c r="G691" s="29"/>
      <c r="H691" s="29"/>
      <c r="I691" s="29"/>
    </row>
    <row r="692">
      <c r="A692" s="29"/>
      <c r="B692" s="29"/>
      <c r="C692" s="29"/>
      <c r="D692" s="29"/>
      <c r="E692" s="29"/>
      <c r="F692" s="29"/>
      <c r="G692" s="29"/>
      <c r="H692" s="29"/>
      <c r="I692" s="29"/>
    </row>
    <row r="693">
      <c r="A693" s="29"/>
      <c r="B693" s="29"/>
      <c r="C693" s="29"/>
      <c r="D693" s="29"/>
      <c r="E693" s="29"/>
      <c r="F693" s="29"/>
      <c r="G693" s="29"/>
      <c r="H693" s="29"/>
      <c r="I693" s="29"/>
    </row>
    <row r="694">
      <c r="A694" s="29"/>
      <c r="B694" s="29"/>
      <c r="C694" s="29"/>
      <c r="D694" s="29"/>
      <c r="E694" s="29"/>
      <c r="F694" s="29"/>
      <c r="G694" s="29"/>
      <c r="H694" s="29"/>
      <c r="I694" s="29"/>
    </row>
    <row r="695">
      <c r="A695" s="29"/>
      <c r="B695" s="29"/>
      <c r="C695" s="29"/>
      <c r="D695" s="29"/>
      <c r="E695" s="29"/>
      <c r="F695" s="29"/>
      <c r="G695" s="29"/>
      <c r="H695" s="29"/>
      <c r="I695" s="29"/>
    </row>
    <row r="696">
      <c r="A696" s="29"/>
      <c r="B696" s="29"/>
      <c r="C696" s="29"/>
      <c r="D696" s="29"/>
      <c r="E696" s="29"/>
      <c r="F696" s="29"/>
      <c r="G696" s="29"/>
      <c r="H696" s="29"/>
      <c r="I696" s="29"/>
    </row>
    <row r="697">
      <c r="A697" s="29"/>
      <c r="B697" s="29"/>
      <c r="C697" s="29"/>
      <c r="D697" s="29"/>
      <c r="E697" s="29"/>
      <c r="F697" s="29"/>
      <c r="G697" s="29"/>
      <c r="H697" s="29"/>
      <c r="I697" s="29"/>
    </row>
    <row r="698">
      <c r="A698" s="29"/>
      <c r="B698" s="29"/>
      <c r="C698" s="29"/>
      <c r="D698" s="29"/>
      <c r="E698" s="29"/>
      <c r="F698" s="29"/>
      <c r="G698" s="29"/>
      <c r="H698" s="29"/>
      <c r="I698" s="29"/>
    </row>
    <row r="699">
      <c r="A699" s="29"/>
      <c r="B699" s="29"/>
      <c r="C699" s="29"/>
      <c r="D699" s="29"/>
      <c r="E699" s="29"/>
      <c r="F699" s="29"/>
      <c r="G699" s="29"/>
      <c r="H699" s="29"/>
      <c r="I699" s="29"/>
    </row>
    <row r="700">
      <c r="A700" s="29"/>
      <c r="B700" s="29"/>
      <c r="C700" s="29"/>
      <c r="D700" s="29"/>
      <c r="E700" s="29"/>
      <c r="F700" s="29"/>
      <c r="G700" s="29"/>
      <c r="H700" s="29"/>
      <c r="I700" s="29"/>
    </row>
    <row r="701">
      <c r="A701" s="29"/>
      <c r="B701" s="29"/>
      <c r="C701" s="29"/>
      <c r="D701" s="29"/>
      <c r="E701" s="29"/>
      <c r="F701" s="29"/>
      <c r="G701" s="29"/>
      <c r="H701" s="29"/>
      <c r="I701" s="29"/>
    </row>
    <row r="702">
      <c r="A702" s="29"/>
      <c r="B702" s="29"/>
      <c r="C702" s="29"/>
      <c r="D702" s="29"/>
      <c r="E702" s="29"/>
      <c r="F702" s="29"/>
      <c r="G702" s="29"/>
      <c r="H702" s="29"/>
      <c r="I702" s="29"/>
    </row>
    <row r="703">
      <c r="A703" s="29"/>
      <c r="B703" s="29"/>
      <c r="C703" s="29"/>
      <c r="D703" s="29"/>
      <c r="E703" s="29"/>
      <c r="F703" s="29"/>
      <c r="G703" s="29"/>
      <c r="H703" s="29"/>
      <c r="I703" s="29"/>
    </row>
    <row r="704">
      <c r="A704" s="29"/>
      <c r="B704" s="29"/>
      <c r="C704" s="29"/>
      <c r="D704" s="29"/>
      <c r="E704" s="29"/>
      <c r="F704" s="29"/>
      <c r="G704" s="29"/>
      <c r="H704" s="29"/>
      <c r="I704" s="29"/>
    </row>
    <row r="705">
      <c r="A705" s="29"/>
      <c r="B705" s="29"/>
      <c r="C705" s="29"/>
      <c r="D705" s="29"/>
      <c r="E705" s="29"/>
      <c r="F705" s="29"/>
      <c r="G705" s="29"/>
      <c r="H705" s="29"/>
      <c r="I705" s="29"/>
    </row>
    <row r="706">
      <c r="A706" s="29"/>
      <c r="B706" s="29"/>
      <c r="C706" s="29"/>
      <c r="D706" s="29"/>
      <c r="E706" s="29"/>
      <c r="F706" s="29"/>
      <c r="G706" s="29"/>
      <c r="H706" s="29"/>
      <c r="I706" s="29"/>
    </row>
    <row r="707">
      <c r="A707" s="29"/>
      <c r="B707" s="29"/>
      <c r="C707" s="29"/>
      <c r="D707" s="29"/>
      <c r="E707" s="29"/>
      <c r="F707" s="29"/>
      <c r="G707" s="29"/>
      <c r="H707" s="29"/>
      <c r="I707" s="29"/>
    </row>
    <row r="708">
      <c r="A708" s="29"/>
      <c r="B708" s="29"/>
      <c r="C708" s="29"/>
      <c r="D708" s="29"/>
      <c r="E708" s="29"/>
      <c r="F708" s="29"/>
      <c r="G708" s="29"/>
      <c r="H708" s="29"/>
      <c r="I708" s="29"/>
    </row>
    <row r="709">
      <c r="A709" s="29"/>
      <c r="B709" s="29"/>
      <c r="C709" s="29"/>
      <c r="D709" s="29"/>
      <c r="E709" s="29"/>
      <c r="F709" s="29"/>
      <c r="G709" s="29"/>
      <c r="H709" s="29"/>
      <c r="I709" s="29"/>
    </row>
    <row r="710">
      <c r="A710" s="29"/>
      <c r="B710" s="29"/>
      <c r="C710" s="29"/>
      <c r="D710" s="29"/>
      <c r="E710" s="29"/>
      <c r="F710" s="29"/>
      <c r="G710" s="29"/>
      <c r="H710" s="29"/>
      <c r="I710" s="29"/>
    </row>
    <row r="711">
      <c r="A711" s="29"/>
      <c r="B711" s="29"/>
      <c r="C711" s="29"/>
      <c r="D711" s="29"/>
      <c r="E711" s="29"/>
      <c r="F711" s="29"/>
      <c r="G711" s="29"/>
      <c r="H711" s="29"/>
      <c r="I711" s="29"/>
    </row>
    <row r="712">
      <c r="A712" s="29"/>
      <c r="B712" s="29"/>
      <c r="C712" s="29"/>
      <c r="D712" s="29"/>
      <c r="E712" s="29"/>
      <c r="F712" s="29"/>
      <c r="G712" s="29"/>
      <c r="H712" s="29"/>
      <c r="I712" s="29"/>
    </row>
    <row r="713">
      <c r="A713" s="29"/>
      <c r="B713" s="29"/>
      <c r="C713" s="29"/>
      <c r="D713" s="29"/>
      <c r="E713" s="29"/>
      <c r="F713" s="29"/>
      <c r="G713" s="29"/>
      <c r="H713" s="29"/>
      <c r="I713" s="29"/>
    </row>
    <row r="714">
      <c r="A714" s="29"/>
      <c r="B714" s="29"/>
      <c r="C714" s="29"/>
      <c r="D714" s="29"/>
      <c r="E714" s="29"/>
      <c r="F714" s="29"/>
      <c r="G714" s="29"/>
      <c r="H714" s="29"/>
      <c r="I714" s="29"/>
    </row>
    <row r="715">
      <c r="A715" s="29"/>
      <c r="B715" s="29"/>
      <c r="C715" s="29"/>
      <c r="D715" s="29"/>
      <c r="E715" s="29"/>
      <c r="F715" s="29"/>
      <c r="G715" s="29"/>
      <c r="H715" s="29"/>
      <c r="I715" s="29"/>
    </row>
    <row r="716">
      <c r="A716" s="29"/>
      <c r="B716" s="29"/>
      <c r="C716" s="29"/>
      <c r="D716" s="29"/>
      <c r="E716" s="29"/>
      <c r="F716" s="29"/>
      <c r="G716" s="29"/>
      <c r="H716" s="29"/>
      <c r="I716" s="29"/>
    </row>
    <row r="717">
      <c r="A717" s="29"/>
      <c r="B717" s="29"/>
      <c r="C717" s="29"/>
      <c r="D717" s="29"/>
      <c r="E717" s="29"/>
      <c r="F717" s="29"/>
      <c r="G717" s="29"/>
      <c r="H717" s="29"/>
      <c r="I717" s="29"/>
    </row>
    <row r="718">
      <c r="A718" s="29"/>
      <c r="B718" s="29"/>
      <c r="C718" s="29"/>
      <c r="D718" s="29"/>
      <c r="E718" s="29"/>
      <c r="F718" s="29"/>
      <c r="G718" s="29"/>
      <c r="H718" s="29"/>
      <c r="I718" s="29"/>
    </row>
    <row r="719">
      <c r="A719" s="29"/>
      <c r="B719" s="29"/>
      <c r="C719" s="29"/>
      <c r="D719" s="29"/>
      <c r="E719" s="29"/>
      <c r="F719" s="29"/>
      <c r="G719" s="29"/>
      <c r="H719" s="29"/>
      <c r="I719" s="29"/>
    </row>
    <row r="720">
      <c r="A720" s="29"/>
      <c r="B720" s="29"/>
      <c r="C720" s="29"/>
      <c r="D720" s="29"/>
      <c r="E720" s="29"/>
      <c r="F720" s="29"/>
      <c r="G720" s="29"/>
      <c r="H720" s="29"/>
      <c r="I720" s="29"/>
    </row>
    <row r="721">
      <c r="A721" s="29"/>
      <c r="B721" s="29"/>
      <c r="C721" s="29"/>
      <c r="D721" s="29"/>
      <c r="E721" s="29"/>
      <c r="F721" s="29"/>
      <c r="G721" s="29"/>
      <c r="H721" s="29"/>
      <c r="I721" s="29"/>
    </row>
    <row r="722">
      <c r="A722" s="29"/>
      <c r="B722" s="29"/>
      <c r="C722" s="29"/>
      <c r="D722" s="29"/>
      <c r="E722" s="29"/>
      <c r="F722" s="29"/>
      <c r="G722" s="29"/>
      <c r="H722" s="29"/>
      <c r="I722" s="29"/>
    </row>
    <row r="723">
      <c r="A723" s="29"/>
      <c r="B723" s="29"/>
      <c r="C723" s="29"/>
      <c r="D723" s="29"/>
      <c r="E723" s="29"/>
      <c r="F723" s="29"/>
      <c r="G723" s="29"/>
      <c r="H723" s="29"/>
      <c r="I723" s="29"/>
    </row>
    <row r="724">
      <c r="A724" s="29"/>
      <c r="B724" s="29"/>
      <c r="C724" s="29"/>
      <c r="D724" s="29"/>
      <c r="E724" s="29"/>
      <c r="F724" s="29"/>
      <c r="G724" s="29"/>
      <c r="H724" s="29"/>
      <c r="I724" s="29"/>
    </row>
    <row r="725">
      <c r="A725" s="29"/>
      <c r="B725" s="29"/>
      <c r="C725" s="29"/>
      <c r="D725" s="29"/>
      <c r="E725" s="29"/>
      <c r="F725" s="29"/>
      <c r="G725" s="29"/>
      <c r="H725" s="29"/>
      <c r="I725" s="29"/>
    </row>
    <row r="726">
      <c r="A726" s="29"/>
      <c r="B726" s="29"/>
      <c r="C726" s="29"/>
      <c r="D726" s="29"/>
      <c r="E726" s="29"/>
      <c r="F726" s="29"/>
      <c r="G726" s="29"/>
      <c r="H726" s="29"/>
      <c r="I726" s="29"/>
    </row>
    <row r="727">
      <c r="A727" s="29"/>
      <c r="B727" s="29"/>
      <c r="C727" s="29"/>
      <c r="D727" s="29"/>
      <c r="E727" s="29"/>
      <c r="F727" s="29"/>
      <c r="G727" s="29"/>
      <c r="H727" s="29"/>
      <c r="I727" s="29"/>
    </row>
    <row r="728">
      <c r="A728" s="29"/>
      <c r="B728" s="29"/>
      <c r="C728" s="29"/>
      <c r="D728" s="29"/>
      <c r="E728" s="29"/>
      <c r="F728" s="29"/>
      <c r="G728" s="29"/>
      <c r="H728" s="29"/>
      <c r="I728" s="29"/>
    </row>
    <row r="729">
      <c r="A729" s="29"/>
      <c r="B729" s="29"/>
      <c r="C729" s="29"/>
      <c r="D729" s="29"/>
      <c r="E729" s="29"/>
      <c r="F729" s="29"/>
      <c r="G729" s="29"/>
      <c r="H729" s="29"/>
      <c r="I729" s="29"/>
    </row>
    <row r="730">
      <c r="A730" s="29"/>
      <c r="B730" s="29"/>
      <c r="C730" s="29"/>
      <c r="D730" s="29"/>
      <c r="E730" s="29"/>
      <c r="F730" s="29"/>
      <c r="G730" s="29"/>
      <c r="H730" s="29"/>
      <c r="I730" s="29"/>
    </row>
    <row r="731">
      <c r="A731" s="29"/>
      <c r="B731" s="29"/>
      <c r="C731" s="29"/>
      <c r="D731" s="29"/>
      <c r="E731" s="29"/>
      <c r="F731" s="29"/>
      <c r="G731" s="29"/>
      <c r="H731" s="29"/>
      <c r="I731" s="29"/>
    </row>
    <row r="732">
      <c r="A732" s="29"/>
      <c r="B732" s="29"/>
      <c r="C732" s="29"/>
      <c r="D732" s="29"/>
      <c r="E732" s="29"/>
      <c r="F732" s="29"/>
      <c r="G732" s="29"/>
      <c r="H732" s="29"/>
      <c r="I732" s="29"/>
    </row>
    <row r="733">
      <c r="A733" s="29"/>
      <c r="B733" s="29"/>
      <c r="C733" s="29"/>
      <c r="D733" s="29"/>
      <c r="E733" s="29"/>
      <c r="F733" s="29"/>
      <c r="G733" s="29"/>
      <c r="H733" s="29"/>
      <c r="I733" s="29"/>
    </row>
    <row r="734">
      <c r="A734" s="29"/>
      <c r="B734" s="29"/>
      <c r="C734" s="29"/>
      <c r="D734" s="29"/>
      <c r="E734" s="29"/>
      <c r="F734" s="29"/>
      <c r="G734" s="29"/>
      <c r="H734" s="29"/>
      <c r="I734" s="29"/>
    </row>
    <row r="735">
      <c r="A735" s="29"/>
      <c r="B735" s="29"/>
      <c r="C735" s="29"/>
      <c r="D735" s="29"/>
      <c r="E735" s="29"/>
      <c r="F735" s="29"/>
      <c r="G735" s="29"/>
      <c r="H735" s="29"/>
      <c r="I735" s="29"/>
    </row>
    <row r="736">
      <c r="A736" s="29"/>
      <c r="B736" s="29"/>
      <c r="C736" s="29"/>
      <c r="D736" s="29"/>
      <c r="E736" s="29"/>
      <c r="F736" s="29"/>
      <c r="G736" s="29"/>
      <c r="H736" s="29"/>
      <c r="I736" s="29"/>
    </row>
    <row r="737">
      <c r="A737" s="29"/>
      <c r="B737" s="29"/>
      <c r="C737" s="29"/>
      <c r="D737" s="29"/>
      <c r="E737" s="29"/>
      <c r="F737" s="29"/>
      <c r="G737" s="29"/>
      <c r="H737" s="29"/>
      <c r="I737" s="29"/>
    </row>
    <row r="738">
      <c r="A738" s="29"/>
      <c r="B738" s="29"/>
      <c r="C738" s="29"/>
      <c r="D738" s="29"/>
      <c r="E738" s="29"/>
      <c r="F738" s="29"/>
      <c r="G738" s="29"/>
      <c r="H738" s="29"/>
      <c r="I738" s="29"/>
    </row>
    <row r="739">
      <c r="A739" s="29"/>
      <c r="B739" s="29"/>
      <c r="C739" s="29"/>
      <c r="D739" s="29"/>
      <c r="E739" s="29"/>
      <c r="F739" s="29"/>
      <c r="G739" s="29"/>
      <c r="H739" s="29"/>
      <c r="I739" s="29"/>
    </row>
    <row r="740">
      <c r="A740" s="29"/>
      <c r="B740" s="29"/>
      <c r="C740" s="29"/>
      <c r="D740" s="29"/>
      <c r="E740" s="29"/>
      <c r="F740" s="29"/>
      <c r="G740" s="29"/>
      <c r="H740" s="29"/>
      <c r="I740" s="29"/>
    </row>
    <row r="741">
      <c r="A741" s="29"/>
      <c r="B741" s="29"/>
      <c r="C741" s="29"/>
      <c r="D741" s="29"/>
      <c r="E741" s="29"/>
      <c r="F741" s="29"/>
      <c r="G741" s="29"/>
      <c r="H741" s="29"/>
      <c r="I741" s="29"/>
    </row>
    <row r="742">
      <c r="A742" s="29"/>
      <c r="B742" s="29"/>
      <c r="C742" s="29"/>
      <c r="D742" s="29"/>
      <c r="E742" s="29"/>
      <c r="F742" s="29"/>
      <c r="G742" s="29"/>
      <c r="H742" s="29"/>
      <c r="I742" s="29"/>
    </row>
    <row r="743">
      <c r="A743" s="29"/>
      <c r="B743" s="29"/>
      <c r="C743" s="29"/>
      <c r="D743" s="29"/>
      <c r="E743" s="29"/>
      <c r="F743" s="29"/>
      <c r="G743" s="29"/>
      <c r="H743" s="29"/>
      <c r="I743" s="29"/>
    </row>
    <row r="744">
      <c r="A744" s="29"/>
      <c r="B744" s="29"/>
      <c r="C744" s="29"/>
      <c r="D744" s="29"/>
      <c r="E744" s="29"/>
      <c r="F744" s="29"/>
      <c r="G744" s="29"/>
      <c r="H744" s="29"/>
      <c r="I744" s="29"/>
    </row>
    <row r="745">
      <c r="A745" s="29"/>
      <c r="B745" s="29"/>
      <c r="C745" s="29"/>
      <c r="D745" s="29"/>
      <c r="E745" s="29"/>
      <c r="F745" s="29"/>
      <c r="G745" s="29"/>
      <c r="H745" s="29"/>
      <c r="I745" s="29"/>
    </row>
    <row r="746">
      <c r="A746" s="29"/>
      <c r="B746" s="29"/>
      <c r="C746" s="29"/>
      <c r="D746" s="29"/>
      <c r="E746" s="29"/>
      <c r="F746" s="29"/>
      <c r="G746" s="29"/>
      <c r="H746" s="29"/>
      <c r="I746" s="29"/>
    </row>
    <row r="747">
      <c r="A747" s="29"/>
      <c r="B747" s="29"/>
      <c r="C747" s="29"/>
      <c r="D747" s="29"/>
      <c r="E747" s="29"/>
      <c r="F747" s="29"/>
      <c r="G747" s="29"/>
      <c r="H747" s="29"/>
      <c r="I747" s="29"/>
    </row>
    <row r="748">
      <c r="A748" s="29"/>
      <c r="B748" s="29"/>
      <c r="C748" s="29"/>
      <c r="D748" s="29"/>
      <c r="E748" s="29"/>
      <c r="F748" s="29"/>
      <c r="G748" s="29"/>
      <c r="H748" s="29"/>
      <c r="I748" s="29"/>
    </row>
    <row r="749">
      <c r="A749" s="29"/>
      <c r="B749" s="29"/>
      <c r="C749" s="29"/>
      <c r="D749" s="29"/>
      <c r="E749" s="29"/>
      <c r="F749" s="29"/>
      <c r="G749" s="29"/>
      <c r="H749" s="29"/>
      <c r="I749" s="29"/>
    </row>
    <row r="750">
      <c r="A750" s="29"/>
      <c r="B750" s="29"/>
      <c r="C750" s="29"/>
      <c r="D750" s="29"/>
      <c r="E750" s="29"/>
      <c r="F750" s="29"/>
      <c r="G750" s="29"/>
      <c r="H750" s="29"/>
      <c r="I750" s="29"/>
    </row>
    <row r="751">
      <c r="A751" s="29"/>
      <c r="B751" s="29"/>
      <c r="C751" s="29"/>
      <c r="D751" s="29"/>
      <c r="E751" s="29"/>
      <c r="F751" s="29"/>
      <c r="G751" s="29"/>
      <c r="H751" s="29"/>
      <c r="I751" s="29"/>
    </row>
    <row r="752">
      <c r="A752" s="29"/>
      <c r="B752" s="29"/>
      <c r="C752" s="29"/>
      <c r="D752" s="29"/>
      <c r="E752" s="29"/>
      <c r="F752" s="29"/>
      <c r="G752" s="29"/>
      <c r="H752" s="29"/>
      <c r="I752" s="29"/>
    </row>
    <row r="753">
      <c r="A753" s="29"/>
      <c r="B753" s="29"/>
      <c r="C753" s="29"/>
      <c r="D753" s="29"/>
      <c r="E753" s="29"/>
      <c r="F753" s="29"/>
      <c r="G753" s="29"/>
      <c r="H753" s="29"/>
      <c r="I753" s="29"/>
    </row>
    <row r="754">
      <c r="A754" s="29"/>
      <c r="B754" s="29"/>
      <c r="C754" s="29"/>
      <c r="D754" s="29"/>
      <c r="E754" s="29"/>
      <c r="F754" s="29"/>
      <c r="G754" s="29"/>
      <c r="H754" s="29"/>
      <c r="I754" s="29"/>
    </row>
    <row r="755">
      <c r="A755" s="29"/>
      <c r="B755" s="29"/>
      <c r="C755" s="29"/>
      <c r="D755" s="29"/>
      <c r="E755" s="29"/>
      <c r="F755" s="29"/>
      <c r="G755" s="29"/>
      <c r="H755" s="29"/>
      <c r="I755" s="29"/>
    </row>
    <row r="756">
      <c r="A756" s="29"/>
      <c r="B756" s="29"/>
      <c r="C756" s="29"/>
      <c r="D756" s="29"/>
      <c r="E756" s="29"/>
      <c r="F756" s="29"/>
      <c r="G756" s="29"/>
      <c r="H756" s="29"/>
      <c r="I756" s="29"/>
    </row>
    <row r="757">
      <c r="A757" s="29"/>
      <c r="B757" s="29"/>
      <c r="C757" s="29"/>
      <c r="D757" s="29"/>
      <c r="E757" s="29"/>
      <c r="F757" s="29"/>
      <c r="G757" s="29"/>
      <c r="H757" s="29"/>
      <c r="I757" s="29"/>
    </row>
    <row r="758">
      <c r="A758" s="29"/>
      <c r="B758" s="29"/>
      <c r="C758" s="29"/>
      <c r="D758" s="29"/>
      <c r="E758" s="29"/>
      <c r="F758" s="29"/>
      <c r="G758" s="29"/>
      <c r="H758" s="29"/>
      <c r="I758" s="29"/>
    </row>
    <row r="759">
      <c r="A759" s="29"/>
      <c r="B759" s="29"/>
      <c r="C759" s="29"/>
      <c r="D759" s="29"/>
      <c r="E759" s="29"/>
      <c r="F759" s="29"/>
      <c r="G759" s="29"/>
      <c r="H759" s="29"/>
      <c r="I759" s="29"/>
    </row>
    <row r="760">
      <c r="A760" s="29"/>
      <c r="B760" s="29"/>
      <c r="C760" s="29"/>
      <c r="D760" s="29"/>
      <c r="E760" s="29"/>
      <c r="F760" s="29"/>
      <c r="G760" s="29"/>
      <c r="H760" s="29"/>
      <c r="I760" s="29"/>
    </row>
    <row r="761">
      <c r="A761" s="29"/>
      <c r="B761" s="29"/>
      <c r="C761" s="29"/>
      <c r="D761" s="29"/>
      <c r="E761" s="29"/>
      <c r="F761" s="29"/>
      <c r="G761" s="29"/>
      <c r="H761" s="29"/>
      <c r="I761" s="29"/>
    </row>
    <row r="762">
      <c r="A762" s="29"/>
      <c r="B762" s="29"/>
      <c r="C762" s="29"/>
      <c r="D762" s="29"/>
      <c r="E762" s="29"/>
      <c r="F762" s="29"/>
      <c r="G762" s="29"/>
      <c r="H762" s="29"/>
      <c r="I762" s="29"/>
    </row>
    <row r="763">
      <c r="A763" s="29"/>
      <c r="B763" s="29"/>
      <c r="C763" s="29"/>
      <c r="D763" s="29"/>
      <c r="E763" s="29"/>
      <c r="F763" s="29"/>
      <c r="G763" s="29"/>
      <c r="H763" s="29"/>
      <c r="I763" s="29"/>
    </row>
    <row r="764">
      <c r="A764" s="29"/>
      <c r="B764" s="29"/>
      <c r="C764" s="29"/>
      <c r="D764" s="29"/>
      <c r="E764" s="29"/>
      <c r="F764" s="29"/>
      <c r="G764" s="29"/>
      <c r="H764" s="29"/>
      <c r="I764" s="29"/>
    </row>
    <row r="765">
      <c r="A765" s="29"/>
      <c r="B765" s="29"/>
      <c r="C765" s="29"/>
      <c r="D765" s="29"/>
      <c r="E765" s="29"/>
      <c r="F765" s="29"/>
      <c r="G765" s="29"/>
      <c r="H765" s="29"/>
      <c r="I765" s="29"/>
    </row>
    <row r="766">
      <c r="A766" s="29"/>
      <c r="B766" s="29"/>
      <c r="C766" s="29"/>
      <c r="D766" s="29"/>
      <c r="E766" s="29"/>
      <c r="F766" s="29"/>
      <c r="G766" s="29"/>
      <c r="H766" s="29"/>
      <c r="I766" s="29"/>
    </row>
    <row r="767">
      <c r="A767" s="29"/>
      <c r="B767" s="29"/>
      <c r="C767" s="29"/>
      <c r="D767" s="29"/>
      <c r="E767" s="29"/>
      <c r="F767" s="29"/>
      <c r="G767" s="29"/>
      <c r="H767" s="29"/>
      <c r="I767" s="29"/>
    </row>
    <row r="768">
      <c r="A768" s="29"/>
      <c r="B768" s="29"/>
      <c r="C768" s="29"/>
      <c r="D768" s="29"/>
      <c r="E768" s="29"/>
      <c r="F768" s="29"/>
      <c r="G768" s="29"/>
      <c r="H768" s="29"/>
      <c r="I768" s="29"/>
    </row>
    <row r="769">
      <c r="A769" s="29"/>
      <c r="B769" s="29"/>
      <c r="C769" s="29"/>
      <c r="D769" s="29"/>
      <c r="E769" s="29"/>
      <c r="F769" s="29"/>
      <c r="G769" s="29"/>
      <c r="H769" s="29"/>
      <c r="I769" s="29"/>
    </row>
    <row r="770">
      <c r="A770" s="29"/>
      <c r="B770" s="29"/>
      <c r="C770" s="29"/>
      <c r="D770" s="29"/>
      <c r="E770" s="29"/>
      <c r="F770" s="29"/>
      <c r="G770" s="29"/>
      <c r="H770" s="29"/>
      <c r="I770" s="29"/>
    </row>
    <row r="771">
      <c r="A771" s="29"/>
      <c r="B771" s="29"/>
      <c r="C771" s="29"/>
      <c r="D771" s="29"/>
      <c r="E771" s="29"/>
      <c r="F771" s="29"/>
      <c r="G771" s="29"/>
      <c r="H771" s="29"/>
      <c r="I771" s="29"/>
    </row>
    <row r="772">
      <c r="A772" s="29"/>
      <c r="B772" s="29"/>
      <c r="C772" s="29"/>
      <c r="D772" s="29"/>
      <c r="E772" s="29"/>
      <c r="F772" s="29"/>
      <c r="G772" s="29"/>
      <c r="H772" s="29"/>
      <c r="I772" s="29"/>
    </row>
    <row r="773">
      <c r="A773" s="29"/>
      <c r="B773" s="29"/>
      <c r="C773" s="29"/>
      <c r="D773" s="29"/>
      <c r="E773" s="29"/>
      <c r="F773" s="29"/>
      <c r="G773" s="29"/>
      <c r="H773" s="29"/>
      <c r="I773" s="29"/>
    </row>
    <row r="774">
      <c r="A774" s="29"/>
      <c r="B774" s="29"/>
      <c r="C774" s="29"/>
      <c r="D774" s="29"/>
      <c r="E774" s="29"/>
      <c r="F774" s="29"/>
      <c r="G774" s="29"/>
      <c r="H774" s="29"/>
      <c r="I774" s="29"/>
    </row>
    <row r="775">
      <c r="A775" s="29"/>
      <c r="B775" s="29"/>
      <c r="C775" s="29"/>
      <c r="D775" s="29"/>
      <c r="E775" s="29"/>
      <c r="F775" s="29"/>
      <c r="G775" s="29"/>
      <c r="H775" s="29"/>
      <c r="I775" s="29"/>
    </row>
    <row r="776">
      <c r="A776" s="29"/>
      <c r="B776" s="29"/>
      <c r="C776" s="29"/>
      <c r="D776" s="29"/>
      <c r="E776" s="29"/>
      <c r="F776" s="29"/>
      <c r="G776" s="29"/>
      <c r="H776" s="29"/>
      <c r="I776" s="29"/>
    </row>
    <row r="777">
      <c r="A777" s="29"/>
      <c r="B777" s="29"/>
      <c r="C777" s="29"/>
      <c r="D777" s="29"/>
      <c r="E777" s="29"/>
      <c r="F777" s="29"/>
      <c r="G777" s="29"/>
      <c r="H777" s="29"/>
      <c r="I777" s="29"/>
    </row>
    <row r="778">
      <c r="A778" s="29"/>
      <c r="B778" s="29"/>
      <c r="C778" s="29"/>
      <c r="D778" s="29"/>
      <c r="E778" s="29"/>
      <c r="F778" s="29"/>
      <c r="G778" s="29"/>
      <c r="H778" s="29"/>
      <c r="I778" s="29"/>
    </row>
    <row r="779">
      <c r="A779" s="29"/>
      <c r="B779" s="29"/>
      <c r="C779" s="29"/>
      <c r="D779" s="29"/>
      <c r="E779" s="29"/>
      <c r="F779" s="29"/>
      <c r="G779" s="29"/>
      <c r="H779" s="29"/>
      <c r="I779" s="29"/>
    </row>
    <row r="780">
      <c r="A780" s="29"/>
      <c r="B780" s="29"/>
      <c r="C780" s="29"/>
      <c r="D780" s="29"/>
      <c r="E780" s="29"/>
      <c r="F780" s="29"/>
      <c r="G780" s="29"/>
      <c r="H780" s="29"/>
      <c r="I780" s="29"/>
    </row>
    <row r="781">
      <c r="A781" s="29"/>
      <c r="B781" s="29"/>
      <c r="C781" s="29"/>
      <c r="D781" s="29"/>
      <c r="E781" s="29"/>
      <c r="F781" s="29"/>
      <c r="G781" s="29"/>
      <c r="H781" s="29"/>
      <c r="I781" s="29"/>
    </row>
    <row r="782">
      <c r="A782" s="29"/>
      <c r="B782" s="29"/>
      <c r="C782" s="29"/>
      <c r="D782" s="29"/>
      <c r="E782" s="29"/>
      <c r="F782" s="29"/>
      <c r="G782" s="29"/>
      <c r="H782" s="29"/>
      <c r="I782" s="29"/>
    </row>
    <row r="783">
      <c r="A783" s="29"/>
      <c r="B783" s="29"/>
      <c r="C783" s="29"/>
      <c r="D783" s="29"/>
      <c r="E783" s="29"/>
      <c r="F783" s="29"/>
      <c r="G783" s="29"/>
      <c r="H783" s="29"/>
      <c r="I783" s="29"/>
    </row>
    <row r="784">
      <c r="A784" s="29"/>
      <c r="B784" s="29"/>
      <c r="C784" s="29"/>
      <c r="D784" s="29"/>
      <c r="E784" s="29"/>
      <c r="F784" s="29"/>
      <c r="G784" s="29"/>
      <c r="H784" s="29"/>
      <c r="I784" s="29"/>
    </row>
    <row r="785">
      <c r="A785" s="29"/>
      <c r="B785" s="29"/>
      <c r="C785" s="29"/>
      <c r="D785" s="29"/>
      <c r="E785" s="29"/>
      <c r="F785" s="29"/>
      <c r="G785" s="29"/>
      <c r="H785" s="29"/>
      <c r="I785" s="29"/>
    </row>
    <row r="786">
      <c r="A786" s="29"/>
      <c r="B786" s="29"/>
      <c r="C786" s="29"/>
      <c r="D786" s="29"/>
      <c r="E786" s="29"/>
      <c r="F786" s="29"/>
      <c r="G786" s="29"/>
      <c r="H786" s="29"/>
      <c r="I786" s="29"/>
    </row>
    <row r="787">
      <c r="A787" s="29"/>
      <c r="B787" s="29"/>
      <c r="C787" s="29"/>
      <c r="D787" s="29"/>
      <c r="E787" s="29"/>
      <c r="F787" s="29"/>
      <c r="G787" s="29"/>
      <c r="H787" s="29"/>
      <c r="I787" s="29"/>
    </row>
    <row r="788">
      <c r="A788" s="29"/>
      <c r="B788" s="29"/>
      <c r="C788" s="29"/>
      <c r="D788" s="29"/>
      <c r="E788" s="29"/>
      <c r="F788" s="29"/>
      <c r="G788" s="29"/>
      <c r="H788" s="29"/>
      <c r="I788" s="29"/>
    </row>
    <row r="789">
      <c r="A789" s="29"/>
      <c r="B789" s="29"/>
      <c r="C789" s="29"/>
      <c r="D789" s="29"/>
      <c r="E789" s="29"/>
      <c r="F789" s="29"/>
      <c r="G789" s="29"/>
      <c r="H789" s="29"/>
      <c r="I789" s="29"/>
    </row>
    <row r="790">
      <c r="A790" s="29"/>
      <c r="B790" s="29"/>
      <c r="C790" s="29"/>
      <c r="D790" s="29"/>
      <c r="E790" s="29"/>
      <c r="F790" s="29"/>
      <c r="G790" s="29"/>
      <c r="H790" s="29"/>
      <c r="I790" s="29"/>
    </row>
    <row r="791">
      <c r="A791" s="29"/>
      <c r="B791" s="29"/>
      <c r="C791" s="29"/>
      <c r="D791" s="29"/>
      <c r="E791" s="29"/>
      <c r="F791" s="29"/>
      <c r="G791" s="29"/>
      <c r="H791" s="29"/>
      <c r="I791" s="29"/>
    </row>
    <row r="792">
      <c r="A792" s="29"/>
      <c r="B792" s="29"/>
      <c r="C792" s="29"/>
      <c r="D792" s="29"/>
      <c r="E792" s="29"/>
      <c r="F792" s="29"/>
      <c r="G792" s="29"/>
      <c r="H792" s="29"/>
      <c r="I792" s="29"/>
    </row>
    <row r="793">
      <c r="A793" s="29"/>
      <c r="B793" s="29"/>
      <c r="C793" s="29"/>
      <c r="D793" s="29"/>
      <c r="E793" s="29"/>
      <c r="F793" s="29"/>
      <c r="G793" s="29"/>
      <c r="H793" s="29"/>
      <c r="I793" s="29"/>
    </row>
    <row r="794">
      <c r="A794" s="29"/>
      <c r="B794" s="29"/>
      <c r="C794" s="29"/>
      <c r="D794" s="29"/>
      <c r="E794" s="29"/>
      <c r="F794" s="29"/>
      <c r="G794" s="29"/>
      <c r="H794" s="29"/>
      <c r="I794" s="29"/>
    </row>
    <row r="795">
      <c r="A795" s="29"/>
      <c r="B795" s="29"/>
      <c r="C795" s="29"/>
      <c r="D795" s="29"/>
      <c r="E795" s="29"/>
      <c r="F795" s="29"/>
      <c r="G795" s="29"/>
      <c r="H795" s="29"/>
      <c r="I795" s="29"/>
    </row>
    <row r="796">
      <c r="A796" s="29"/>
      <c r="B796" s="29"/>
      <c r="C796" s="29"/>
      <c r="D796" s="29"/>
      <c r="E796" s="29"/>
      <c r="F796" s="29"/>
      <c r="G796" s="29"/>
      <c r="H796" s="29"/>
      <c r="I796" s="29"/>
    </row>
    <row r="797">
      <c r="A797" s="29"/>
      <c r="B797" s="29"/>
      <c r="C797" s="29"/>
      <c r="D797" s="29"/>
      <c r="E797" s="29"/>
      <c r="F797" s="29"/>
      <c r="G797" s="29"/>
      <c r="H797" s="29"/>
      <c r="I797" s="29"/>
    </row>
    <row r="798">
      <c r="A798" s="29"/>
      <c r="B798" s="29"/>
      <c r="C798" s="29"/>
      <c r="D798" s="29"/>
      <c r="E798" s="29"/>
      <c r="F798" s="29"/>
      <c r="G798" s="29"/>
      <c r="H798" s="29"/>
      <c r="I798" s="29"/>
    </row>
    <row r="799">
      <c r="A799" s="29"/>
      <c r="B799" s="29"/>
      <c r="C799" s="29"/>
      <c r="D799" s="29"/>
      <c r="E799" s="29"/>
      <c r="F799" s="29"/>
      <c r="G799" s="29"/>
      <c r="H799" s="29"/>
      <c r="I799" s="29"/>
    </row>
    <row r="800">
      <c r="A800" s="29"/>
      <c r="B800" s="29"/>
      <c r="C800" s="29"/>
      <c r="D800" s="29"/>
      <c r="E800" s="29"/>
      <c r="F800" s="29"/>
      <c r="G800" s="29"/>
      <c r="H800" s="29"/>
      <c r="I800" s="29"/>
    </row>
    <row r="801">
      <c r="A801" s="29"/>
      <c r="B801" s="29"/>
      <c r="C801" s="29"/>
      <c r="D801" s="29"/>
      <c r="E801" s="29"/>
      <c r="F801" s="29"/>
      <c r="G801" s="29"/>
      <c r="H801" s="29"/>
      <c r="I801" s="29"/>
    </row>
    <row r="802">
      <c r="A802" s="29"/>
      <c r="B802" s="29"/>
      <c r="C802" s="29"/>
      <c r="D802" s="29"/>
      <c r="E802" s="29"/>
      <c r="F802" s="29"/>
      <c r="G802" s="29"/>
      <c r="H802" s="29"/>
      <c r="I802" s="29"/>
    </row>
    <row r="803">
      <c r="A803" s="29"/>
      <c r="B803" s="29"/>
      <c r="C803" s="29"/>
      <c r="D803" s="29"/>
      <c r="E803" s="29"/>
      <c r="F803" s="29"/>
      <c r="G803" s="29"/>
      <c r="H803" s="29"/>
      <c r="I803" s="29"/>
    </row>
    <row r="804">
      <c r="A804" s="29"/>
      <c r="B804" s="29"/>
      <c r="C804" s="29"/>
      <c r="D804" s="29"/>
      <c r="E804" s="29"/>
      <c r="F804" s="29"/>
      <c r="G804" s="29"/>
      <c r="H804" s="29"/>
      <c r="I804" s="29"/>
    </row>
    <row r="805">
      <c r="A805" s="29"/>
      <c r="B805" s="29"/>
      <c r="C805" s="29"/>
      <c r="D805" s="29"/>
      <c r="E805" s="29"/>
      <c r="F805" s="29"/>
      <c r="G805" s="29"/>
      <c r="H805" s="29"/>
      <c r="I805" s="29"/>
    </row>
    <row r="806">
      <c r="A806" s="29"/>
      <c r="B806" s="29"/>
      <c r="C806" s="29"/>
      <c r="D806" s="29"/>
      <c r="E806" s="29"/>
      <c r="F806" s="29"/>
      <c r="G806" s="29"/>
      <c r="H806" s="29"/>
      <c r="I806" s="29"/>
    </row>
    <row r="807">
      <c r="A807" s="29"/>
      <c r="B807" s="29"/>
      <c r="C807" s="29"/>
      <c r="D807" s="29"/>
      <c r="E807" s="29"/>
      <c r="F807" s="29"/>
      <c r="G807" s="29"/>
      <c r="H807" s="29"/>
      <c r="I807" s="29"/>
    </row>
    <row r="808">
      <c r="A808" s="29"/>
      <c r="B808" s="29"/>
      <c r="C808" s="29"/>
      <c r="D808" s="29"/>
      <c r="E808" s="29"/>
      <c r="F808" s="29"/>
      <c r="G808" s="29"/>
      <c r="H808" s="29"/>
      <c r="I808" s="29"/>
    </row>
    <row r="809">
      <c r="A809" s="29"/>
      <c r="B809" s="29"/>
      <c r="C809" s="29"/>
      <c r="D809" s="29"/>
      <c r="E809" s="29"/>
      <c r="F809" s="29"/>
      <c r="G809" s="29"/>
      <c r="H809" s="29"/>
      <c r="I809" s="29"/>
    </row>
    <row r="810">
      <c r="A810" s="29"/>
      <c r="B810" s="29"/>
      <c r="C810" s="29"/>
      <c r="D810" s="29"/>
      <c r="E810" s="29"/>
      <c r="F810" s="29"/>
      <c r="G810" s="29"/>
      <c r="H810" s="29"/>
      <c r="I810" s="29"/>
    </row>
    <row r="811">
      <c r="A811" s="29"/>
      <c r="B811" s="29"/>
      <c r="C811" s="29"/>
      <c r="D811" s="29"/>
      <c r="E811" s="29"/>
      <c r="F811" s="29"/>
      <c r="G811" s="29"/>
      <c r="H811" s="29"/>
      <c r="I811" s="29"/>
    </row>
    <row r="812">
      <c r="A812" s="29"/>
      <c r="B812" s="29"/>
      <c r="C812" s="29"/>
      <c r="D812" s="29"/>
      <c r="E812" s="29"/>
      <c r="F812" s="29"/>
      <c r="G812" s="29"/>
      <c r="H812" s="29"/>
      <c r="I812" s="29"/>
    </row>
    <row r="813">
      <c r="A813" s="29"/>
      <c r="B813" s="29"/>
      <c r="C813" s="29"/>
      <c r="D813" s="29"/>
      <c r="E813" s="29"/>
      <c r="F813" s="29"/>
      <c r="G813" s="29"/>
      <c r="H813" s="29"/>
      <c r="I813" s="29"/>
    </row>
    <row r="814">
      <c r="A814" s="29"/>
      <c r="B814" s="29"/>
      <c r="C814" s="29"/>
      <c r="D814" s="29"/>
      <c r="E814" s="29"/>
      <c r="F814" s="29"/>
      <c r="G814" s="29"/>
      <c r="H814" s="29"/>
      <c r="I814" s="29"/>
    </row>
    <row r="815">
      <c r="A815" s="29"/>
      <c r="B815" s="29"/>
      <c r="C815" s="29"/>
      <c r="D815" s="29"/>
      <c r="E815" s="29"/>
      <c r="F815" s="29"/>
      <c r="G815" s="29"/>
      <c r="H815" s="29"/>
      <c r="I815" s="29"/>
    </row>
    <row r="816">
      <c r="A816" s="29"/>
      <c r="B816" s="29"/>
      <c r="C816" s="29"/>
      <c r="D816" s="29"/>
      <c r="E816" s="29"/>
      <c r="F816" s="29"/>
      <c r="G816" s="29"/>
      <c r="H816" s="29"/>
      <c r="I816" s="29"/>
    </row>
    <row r="817">
      <c r="A817" s="29"/>
      <c r="B817" s="29"/>
      <c r="C817" s="29"/>
      <c r="D817" s="29"/>
      <c r="E817" s="29"/>
      <c r="F817" s="29"/>
      <c r="G817" s="29"/>
      <c r="H817" s="29"/>
      <c r="I817" s="29"/>
    </row>
    <row r="818">
      <c r="A818" s="29"/>
      <c r="B818" s="29"/>
      <c r="C818" s="29"/>
      <c r="D818" s="29"/>
      <c r="E818" s="29"/>
      <c r="F818" s="29"/>
      <c r="G818" s="29"/>
      <c r="H818" s="29"/>
      <c r="I818" s="29"/>
    </row>
    <row r="819">
      <c r="A819" s="29"/>
      <c r="B819" s="29"/>
      <c r="C819" s="29"/>
      <c r="D819" s="29"/>
      <c r="E819" s="29"/>
      <c r="F819" s="29"/>
      <c r="G819" s="29"/>
      <c r="H819" s="29"/>
      <c r="I819" s="29"/>
    </row>
    <row r="820">
      <c r="A820" s="29"/>
      <c r="B820" s="29"/>
      <c r="C820" s="29"/>
      <c r="D820" s="29"/>
      <c r="E820" s="29"/>
      <c r="F820" s="29"/>
      <c r="G820" s="29"/>
      <c r="H820" s="29"/>
      <c r="I820" s="29"/>
    </row>
    <row r="821">
      <c r="A821" s="29"/>
      <c r="B821" s="29"/>
      <c r="C821" s="29"/>
      <c r="D821" s="29"/>
      <c r="E821" s="29"/>
      <c r="F821" s="29"/>
      <c r="G821" s="29"/>
      <c r="H821" s="29"/>
      <c r="I821" s="29"/>
    </row>
    <row r="822">
      <c r="A822" s="29"/>
      <c r="B822" s="29"/>
      <c r="C822" s="29"/>
      <c r="D822" s="29"/>
      <c r="E822" s="29"/>
      <c r="F822" s="29"/>
      <c r="G822" s="29"/>
      <c r="H822" s="29"/>
      <c r="I822" s="29"/>
    </row>
    <row r="823">
      <c r="A823" s="29"/>
      <c r="B823" s="29"/>
      <c r="C823" s="29"/>
      <c r="D823" s="29"/>
      <c r="E823" s="29"/>
      <c r="F823" s="29"/>
      <c r="G823" s="29"/>
      <c r="H823" s="29"/>
      <c r="I823" s="29"/>
    </row>
    <row r="824">
      <c r="A824" s="29"/>
      <c r="B824" s="29"/>
      <c r="C824" s="29"/>
      <c r="D824" s="29"/>
      <c r="E824" s="29"/>
      <c r="F824" s="29"/>
      <c r="G824" s="29"/>
      <c r="H824" s="29"/>
      <c r="I824" s="29"/>
    </row>
    <row r="825">
      <c r="A825" s="29"/>
      <c r="B825" s="29"/>
      <c r="C825" s="29"/>
      <c r="D825" s="29"/>
      <c r="E825" s="29"/>
      <c r="F825" s="29"/>
      <c r="G825" s="29"/>
      <c r="H825" s="29"/>
      <c r="I825" s="29"/>
    </row>
    <row r="826">
      <c r="A826" s="29"/>
      <c r="B826" s="29"/>
      <c r="C826" s="29"/>
      <c r="D826" s="29"/>
      <c r="E826" s="29"/>
      <c r="F826" s="29"/>
      <c r="G826" s="29"/>
      <c r="H826" s="29"/>
      <c r="I826" s="29"/>
    </row>
    <row r="827">
      <c r="A827" s="29"/>
      <c r="B827" s="29"/>
      <c r="C827" s="29"/>
      <c r="D827" s="29"/>
      <c r="E827" s="29"/>
      <c r="F827" s="29"/>
      <c r="G827" s="29"/>
      <c r="H827" s="29"/>
      <c r="I827" s="29"/>
    </row>
    <row r="828">
      <c r="A828" s="29"/>
      <c r="B828" s="29"/>
      <c r="C828" s="29"/>
      <c r="D828" s="29"/>
      <c r="E828" s="29"/>
      <c r="F828" s="29"/>
      <c r="G828" s="29"/>
      <c r="H828" s="29"/>
      <c r="I828" s="29"/>
    </row>
    <row r="829">
      <c r="A829" s="29"/>
      <c r="B829" s="29"/>
      <c r="C829" s="29"/>
      <c r="D829" s="29"/>
      <c r="E829" s="29"/>
      <c r="F829" s="29"/>
      <c r="G829" s="29"/>
      <c r="H829" s="29"/>
      <c r="I829" s="29"/>
    </row>
    <row r="830">
      <c r="A830" s="29"/>
      <c r="B830" s="29"/>
      <c r="C830" s="29"/>
      <c r="D830" s="29"/>
      <c r="E830" s="29"/>
      <c r="F830" s="29"/>
      <c r="G830" s="29"/>
      <c r="H830" s="29"/>
      <c r="I830" s="29"/>
    </row>
    <row r="831">
      <c r="A831" s="29"/>
      <c r="B831" s="29"/>
      <c r="C831" s="29"/>
      <c r="D831" s="29"/>
      <c r="E831" s="29"/>
      <c r="F831" s="29"/>
      <c r="G831" s="29"/>
      <c r="H831" s="29"/>
      <c r="I831" s="29"/>
    </row>
    <row r="832">
      <c r="A832" s="29"/>
      <c r="B832" s="29"/>
      <c r="C832" s="29"/>
      <c r="D832" s="29"/>
      <c r="E832" s="29"/>
      <c r="F832" s="29"/>
      <c r="G832" s="29"/>
      <c r="H832" s="29"/>
      <c r="I832" s="29"/>
    </row>
    <row r="833">
      <c r="A833" s="29"/>
      <c r="B833" s="29"/>
      <c r="C833" s="29"/>
      <c r="D833" s="29"/>
      <c r="E833" s="29"/>
      <c r="F833" s="29"/>
      <c r="G833" s="29"/>
      <c r="H833" s="29"/>
      <c r="I833" s="29"/>
    </row>
    <row r="834">
      <c r="A834" s="29"/>
      <c r="B834" s="29"/>
      <c r="C834" s="29"/>
      <c r="D834" s="29"/>
      <c r="E834" s="29"/>
      <c r="F834" s="29"/>
      <c r="G834" s="29"/>
      <c r="H834" s="29"/>
      <c r="I834" s="29"/>
    </row>
    <row r="835">
      <c r="A835" s="29"/>
      <c r="B835" s="29"/>
      <c r="C835" s="29"/>
      <c r="D835" s="29"/>
      <c r="E835" s="29"/>
      <c r="F835" s="29"/>
      <c r="G835" s="29"/>
      <c r="H835" s="29"/>
      <c r="I835" s="29"/>
    </row>
    <row r="836">
      <c r="A836" s="29"/>
      <c r="B836" s="29"/>
      <c r="C836" s="29"/>
      <c r="D836" s="29"/>
      <c r="E836" s="29"/>
      <c r="F836" s="29"/>
      <c r="G836" s="29"/>
      <c r="H836" s="29"/>
      <c r="I836" s="29"/>
    </row>
    <row r="837">
      <c r="A837" s="29"/>
      <c r="B837" s="29"/>
      <c r="C837" s="29"/>
      <c r="D837" s="29"/>
      <c r="E837" s="29"/>
      <c r="F837" s="29"/>
      <c r="G837" s="29"/>
      <c r="H837" s="29"/>
      <c r="I837" s="29"/>
    </row>
    <row r="838">
      <c r="A838" s="29"/>
      <c r="B838" s="29"/>
      <c r="C838" s="29"/>
      <c r="D838" s="29"/>
      <c r="E838" s="29"/>
      <c r="F838" s="29"/>
      <c r="G838" s="29"/>
      <c r="H838" s="29"/>
      <c r="I838" s="29"/>
    </row>
    <row r="839">
      <c r="A839" s="29"/>
      <c r="B839" s="29"/>
      <c r="C839" s="29"/>
      <c r="D839" s="29"/>
      <c r="E839" s="29"/>
      <c r="F839" s="29"/>
      <c r="G839" s="29"/>
      <c r="H839" s="29"/>
      <c r="I839" s="29"/>
    </row>
    <row r="840">
      <c r="A840" s="29"/>
      <c r="B840" s="29"/>
      <c r="C840" s="29"/>
      <c r="D840" s="29"/>
      <c r="E840" s="29"/>
      <c r="F840" s="29"/>
      <c r="G840" s="29"/>
      <c r="H840" s="29"/>
      <c r="I840" s="29"/>
    </row>
    <row r="841">
      <c r="A841" s="29"/>
      <c r="B841" s="29"/>
      <c r="C841" s="29"/>
      <c r="D841" s="29"/>
      <c r="E841" s="29"/>
      <c r="F841" s="29"/>
      <c r="G841" s="29"/>
      <c r="H841" s="29"/>
      <c r="I841" s="29"/>
    </row>
    <row r="842">
      <c r="A842" s="29"/>
      <c r="B842" s="29"/>
      <c r="C842" s="29"/>
      <c r="D842" s="29"/>
      <c r="E842" s="29"/>
      <c r="F842" s="29"/>
      <c r="G842" s="29"/>
      <c r="H842" s="29"/>
      <c r="I842" s="29"/>
    </row>
    <row r="843">
      <c r="A843" s="29"/>
      <c r="B843" s="29"/>
      <c r="C843" s="29"/>
      <c r="D843" s="29"/>
      <c r="E843" s="29"/>
      <c r="F843" s="29"/>
      <c r="G843" s="29"/>
      <c r="H843" s="29"/>
      <c r="I843" s="29"/>
    </row>
    <row r="844">
      <c r="A844" s="29"/>
      <c r="B844" s="29"/>
      <c r="C844" s="29"/>
      <c r="D844" s="29"/>
      <c r="E844" s="29"/>
      <c r="F844" s="29"/>
      <c r="G844" s="29"/>
      <c r="H844" s="29"/>
      <c r="I844" s="29"/>
    </row>
    <row r="845">
      <c r="A845" s="29"/>
      <c r="B845" s="29"/>
      <c r="C845" s="29"/>
      <c r="D845" s="29"/>
      <c r="E845" s="29"/>
      <c r="F845" s="29"/>
      <c r="G845" s="29"/>
      <c r="H845" s="29"/>
      <c r="I845" s="29"/>
    </row>
    <row r="846">
      <c r="A846" s="29"/>
      <c r="B846" s="29"/>
      <c r="C846" s="29"/>
      <c r="D846" s="29"/>
      <c r="E846" s="29"/>
      <c r="F846" s="29"/>
      <c r="G846" s="29"/>
      <c r="H846" s="29"/>
      <c r="I846" s="29"/>
    </row>
    <row r="847">
      <c r="A847" s="29"/>
      <c r="B847" s="29"/>
      <c r="C847" s="29"/>
      <c r="D847" s="29"/>
      <c r="E847" s="29"/>
      <c r="F847" s="29"/>
      <c r="G847" s="29"/>
      <c r="H847" s="29"/>
      <c r="I847" s="29"/>
    </row>
    <row r="848">
      <c r="A848" s="29"/>
      <c r="B848" s="29"/>
      <c r="C848" s="29"/>
      <c r="D848" s="29"/>
      <c r="E848" s="29"/>
      <c r="F848" s="29"/>
      <c r="G848" s="29"/>
      <c r="H848" s="29"/>
      <c r="I848" s="29"/>
    </row>
    <row r="849">
      <c r="A849" s="29"/>
      <c r="B849" s="29"/>
      <c r="C849" s="29"/>
      <c r="D849" s="29"/>
      <c r="E849" s="29"/>
      <c r="F849" s="29"/>
      <c r="G849" s="29"/>
      <c r="H849" s="29"/>
      <c r="I849" s="29"/>
    </row>
    <row r="850">
      <c r="A850" s="29"/>
      <c r="B850" s="29"/>
      <c r="C850" s="29"/>
      <c r="D850" s="29"/>
      <c r="E850" s="29"/>
      <c r="F850" s="29"/>
      <c r="G850" s="29"/>
      <c r="H850" s="29"/>
      <c r="I850" s="29"/>
    </row>
    <row r="851">
      <c r="A851" s="29"/>
      <c r="B851" s="29"/>
      <c r="C851" s="29"/>
      <c r="D851" s="29"/>
      <c r="E851" s="29"/>
      <c r="F851" s="29"/>
      <c r="G851" s="29"/>
      <c r="H851" s="29"/>
      <c r="I851" s="29"/>
    </row>
    <row r="852">
      <c r="A852" s="29"/>
      <c r="B852" s="29"/>
      <c r="C852" s="29"/>
      <c r="D852" s="29"/>
      <c r="E852" s="29"/>
      <c r="F852" s="29"/>
      <c r="G852" s="29"/>
      <c r="H852" s="29"/>
      <c r="I852" s="29"/>
    </row>
    <row r="853">
      <c r="A853" s="29"/>
      <c r="B853" s="29"/>
      <c r="C853" s="29"/>
      <c r="D853" s="29"/>
      <c r="E853" s="29"/>
      <c r="F853" s="29"/>
      <c r="G853" s="29"/>
      <c r="H853" s="29"/>
      <c r="I853" s="29"/>
    </row>
    <row r="854">
      <c r="A854" s="29"/>
      <c r="B854" s="29"/>
      <c r="C854" s="29"/>
      <c r="D854" s="29"/>
      <c r="E854" s="29"/>
      <c r="F854" s="29"/>
      <c r="G854" s="29"/>
      <c r="H854" s="29"/>
      <c r="I854" s="29"/>
    </row>
    <row r="855">
      <c r="A855" s="29"/>
      <c r="B855" s="29"/>
      <c r="C855" s="29"/>
      <c r="D855" s="29"/>
      <c r="E855" s="29"/>
      <c r="F855" s="29"/>
      <c r="G855" s="29"/>
      <c r="H855" s="29"/>
      <c r="I855" s="29"/>
    </row>
    <row r="856">
      <c r="A856" s="29"/>
      <c r="B856" s="29"/>
      <c r="C856" s="29"/>
      <c r="D856" s="29"/>
      <c r="E856" s="29"/>
      <c r="F856" s="29"/>
      <c r="G856" s="29"/>
      <c r="H856" s="29"/>
      <c r="I856" s="29"/>
    </row>
    <row r="857">
      <c r="A857" s="29"/>
      <c r="B857" s="29"/>
      <c r="C857" s="29"/>
      <c r="D857" s="29"/>
      <c r="E857" s="29"/>
      <c r="F857" s="29"/>
      <c r="G857" s="29"/>
      <c r="H857" s="29"/>
      <c r="I857" s="29"/>
    </row>
    <row r="858">
      <c r="A858" s="29"/>
      <c r="B858" s="29"/>
      <c r="C858" s="29"/>
      <c r="D858" s="29"/>
      <c r="E858" s="29"/>
      <c r="F858" s="29"/>
      <c r="G858" s="29"/>
      <c r="H858" s="29"/>
      <c r="I858" s="29"/>
    </row>
    <row r="859">
      <c r="A859" s="29"/>
      <c r="B859" s="29"/>
      <c r="C859" s="29"/>
      <c r="D859" s="29"/>
      <c r="E859" s="29"/>
      <c r="F859" s="29"/>
      <c r="G859" s="29"/>
      <c r="H859" s="29"/>
      <c r="I859" s="29"/>
    </row>
    <row r="860">
      <c r="A860" s="29"/>
      <c r="B860" s="29"/>
      <c r="C860" s="29"/>
      <c r="D860" s="29"/>
      <c r="E860" s="29"/>
      <c r="F860" s="29"/>
      <c r="G860" s="29"/>
      <c r="H860" s="29"/>
      <c r="I860" s="29"/>
    </row>
    <row r="861">
      <c r="A861" s="29"/>
      <c r="B861" s="29"/>
      <c r="C861" s="29"/>
      <c r="D861" s="29"/>
      <c r="E861" s="29"/>
      <c r="F861" s="29"/>
      <c r="G861" s="29"/>
      <c r="H861" s="29"/>
      <c r="I861" s="29"/>
    </row>
    <row r="862">
      <c r="A862" s="29"/>
      <c r="B862" s="29"/>
      <c r="C862" s="29"/>
      <c r="D862" s="29"/>
      <c r="E862" s="29"/>
      <c r="F862" s="29"/>
      <c r="G862" s="29"/>
      <c r="H862" s="29"/>
      <c r="I862" s="29"/>
    </row>
    <row r="863">
      <c r="A863" s="29"/>
      <c r="B863" s="29"/>
      <c r="C863" s="29"/>
      <c r="D863" s="29"/>
      <c r="E863" s="29"/>
      <c r="F863" s="29"/>
      <c r="G863" s="29"/>
      <c r="H863" s="29"/>
      <c r="I863" s="29"/>
    </row>
    <row r="864">
      <c r="A864" s="29"/>
      <c r="B864" s="29"/>
      <c r="C864" s="29"/>
      <c r="D864" s="29"/>
      <c r="E864" s="29"/>
      <c r="F864" s="29"/>
      <c r="G864" s="29"/>
      <c r="H864" s="29"/>
      <c r="I864" s="29"/>
    </row>
    <row r="865">
      <c r="A865" s="29"/>
      <c r="B865" s="29"/>
      <c r="C865" s="29"/>
      <c r="D865" s="29"/>
      <c r="E865" s="29"/>
      <c r="F865" s="29"/>
      <c r="G865" s="29"/>
      <c r="H865" s="29"/>
      <c r="I865" s="29"/>
    </row>
    <row r="866">
      <c r="A866" s="29"/>
      <c r="B866" s="29"/>
      <c r="C866" s="29"/>
      <c r="D866" s="29"/>
      <c r="E866" s="29"/>
      <c r="F866" s="29"/>
      <c r="G866" s="29"/>
      <c r="H866" s="29"/>
      <c r="I866" s="29"/>
    </row>
    <row r="867">
      <c r="A867" s="29"/>
      <c r="B867" s="29"/>
      <c r="C867" s="29"/>
      <c r="D867" s="29"/>
      <c r="E867" s="29"/>
      <c r="F867" s="29"/>
      <c r="G867" s="29"/>
      <c r="H867" s="29"/>
      <c r="I867" s="29"/>
    </row>
    <row r="868">
      <c r="A868" s="29"/>
      <c r="B868" s="29"/>
      <c r="C868" s="29"/>
      <c r="D868" s="29"/>
      <c r="E868" s="29"/>
      <c r="F868" s="29"/>
      <c r="G868" s="29"/>
      <c r="H868" s="29"/>
      <c r="I868" s="29"/>
    </row>
    <row r="869">
      <c r="A869" s="29"/>
      <c r="B869" s="29"/>
      <c r="C869" s="29"/>
      <c r="D869" s="29"/>
      <c r="E869" s="29"/>
      <c r="F869" s="29"/>
      <c r="G869" s="29"/>
      <c r="H869" s="29"/>
      <c r="I869" s="29"/>
    </row>
    <row r="870">
      <c r="A870" s="29"/>
      <c r="B870" s="29"/>
      <c r="C870" s="29"/>
      <c r="D870" s="29"/>
      <c r="E870" s="29"/>
      <c r="F870" s="29"/>
      <c r="G870" s="29"/>
      <c r="H870" s="29"/>
      <c r="I870" s="29"/>
    </row>
    <row r="871">
      <c r="A871" s="29"/>
      <c r="B871" s="29"/>
      <c r="C871" s="29"/>
      <c r="D871" s="29"/>
      <c r="E871" s="29"/>
      <c r="F871" s="29"/>
      <c r="G871" s="29"/>
      <c r="H871" s="29"/>
      <c r="I871" s="29"/>
    </row>
    <row r="872">
      <c r="A872" s="29"/>
      <c r="B872" s="29"/>
      <c r="C872" s="29"/>
      <c r="D872" s="29"/>
      <c r="E872" s="29"/>
      <c r="F872" s="29"/>
      <c r="G872" s="29"/>
      <c r="H872" s="29"/>
      <c r="I872" s="29"/>
    </row>
    <row r="873">
      <c r="A873" s="29"/>
      <c r="B873" s="29"/>
      <c r="C873" s="29"/>
      <c r="D873" s="29"/>
      <c r="E873" s="29"/>
      <c r="F873" s="29"/>
      <c r="G873" s="29"/>
      <c r="H873" s="29"/>
      <c r="I873" s="29"/>
    </row>
    <row r="874">
      <c r="A874" s="29"/>
      <c r="B874" s="29"/>
      <c r="C874" s="29"/>
      <c r="D874" s="29"/>
      <c r="E874" s="29"/>
      <c r="F874" s="29"/>
      <c r="G874" s="29"/>
      <c r="H874" s="29"/>
      <c r="I874" s="29"/>
    </row>
    <row r="875">
      <c r="A875" s="29"/>
      <c r="B875" s="29"/>
      <c r="C875" s="29"/>
      <c r="D875" s="29"/>
      <c r="E875" s="29"/>
      <c r="F875" s="29"/>
      <c r="G875" s="29"/>
      <c r="H875" s="29"/>
      <c r="I875" s="29"/>
    </row>
    <row r="876">
      <c r="A876" s="29"/>
      <c r="B876" s="29"/>
      <c r="C876" s="29"/>
      <c r="D876" s="29"/>
      <c r="E876" s="29"/>
      <c r="F876" s="29"/>
      <c r="G876" s="29"/>
      <c r="H876" s="29"/>
      <c r="I876" s="29"/>
    </row>
    <row r="877">
      <c r="A877" s="29"/>
      <c r="B877" s="29"/>
      <c r="C877" s="29"/>
      <c r="D877" s="29"/>
      <c r="E877" s="29"/>
      <c r="F877" s="29"/>
      <c r="G877" s="29"/>
      <c r="H877" s="29"/>
      <c r="I877" s="29"/>
    </row>
    <row r="878">
      <c r="A878" s="29"/>
      <c r="B878" s="29"/>
      <c r="C878" s="29"/>
      <c r="D878" s="29"/>
      <c r="E878" s="29"/>
      <c r="F878" s="29"/>
      <c r="G878" s="29"/>
      <c r="H878" s="29"/>
      <c r="I878" s="29"/>
    </row>
    <row r="879">
      <c r="A879" s="29"/>
      <c r="B879" s="29"/>
      <c r="C879" s="29"/>
      <c r="D879" s="29"/>
      <c r="E879" s="29"/>
      <c r="F879" s="29"/>
      <c r="G879" s="29"/>
      <c r="H879" s="29"/>
      <c r="I879" s="29"/>
    </row>
    <row r="880">
      <c r="A880" s="29"/>
      <c r="B880" s="29"/>
      <c r="C880" s="29"/>
      <c r="D880" s="29"/>
      <c r="E880" s="29"/>
      <c r="F880" s="29"/>
      <c r="G880" s="29"/>
      <c r="H880" s="29"/>
      <c r="I880" s="29"/>
    </row>
    <row r="881">
      <c r="A881" s="29"/>
      <c r="B881" s="29"/>
      <c r="C881" s="29"/>
      <c r="D881" s="29"/>
      <c r="E881" s="29"/>
      <c r="F881" s="29"/>
      <c r="G881" s="29"/>
      <c r="H881" s="29"/>
      <c r="I881" s="29"/>
    </row>
    <row r="882">
      <c r="A882" s="29"/>
      <c r="B882" s="29"/>
      <c r="C882" s="29"/>
      <c r="D882" s="29"/>
      <c r="E882" s="29"/>
      <c r="F882" s="29"/>
      <c r="G882" s="29"/>
      <c r="H882" s="29"/>
      <c r="I882" s="29"/>
    </row>
    <row r="883">
      <c r="A883" s="29"/>
      <c r="B883" s="29"/>
      <c r="C883" s="29"/>
      <c r="D883" s="29"/>
      <c r="E883" s="29"/>
      <c r="F883" s="29"/>
      <c r="G883" s="29"/>
      <c r="H883" s="29"/>
      <c r="I883" s="29"/>
    </row>
    <row r="884">
      <c r="A884" s="29"/>
      <c r="B884" s="29"/>
      <c r="C884" s="29"/>
      <c r="D884" s="29"/>
      <c r="E884" s="29"/>
      <c r="F884" s="29"/>
      <c r="G884" s="29"/>
      <c r="H884" s="29"/>
      <c r="I884" s="29"/>
    </row>
    <row r="885">
      <c r="A885" s="29"/>
      <c r="B885" s="29"/>
      <c r="C885" s="29"/>
      <c r="D885" s="29"/>
      <c r="E885" s="29"/>
      <c r="F885" s="29"/>
      <c r="G885" s="29"/>
      <c r="H885" s="29"/>
      <c r="I885" s="29"/>
    </row>
    <row r="886">
      <c r="A886" s="29"/>
      <c r="B886" s="29"/>
      <c r="C886" s="29"/>
      <c r="D886" s="29"/>
      <c r="E886" s="29"/>
      <c r="F886" s="29"/>
      <c r="G886" s="29"/>
      <c r="H886" s="29"/>
      <c r="I886" s="29"/>
    </row>
    <row r="887">
      <c r="A887" s="29"/>
      <c r="B887" s="29"/>
      <c r="C887" s="29"/>
      <c r="D887" s="29"/>
      <c r="E887" s="29"/>
      <c r="F887" s="29"/>
      <c r="G887" s="29"/>
      <c r="H887" s="29"/>
      <c r="I887" s="29"/>
    </row>
    <row r="888">
      <c r="A888" s="29"/>
      <c r="B888" s="29"/>
      <c r="C888" s="29"/>
      <c r="D888" s="29"/>
      <c r="E888" s="29"/>
      <c r="F888" s="29"/>
      <c r="G888" s="29"/>
      <c r="H888" s="29"/>
      <c r="I888" s="29"/>
    </row>
    <row r="889">
      <c r="A889" s="29"/>
      <c r="B889" s="29"/>
      <c r="C889" s="29"/>
      <c r="D889" s="29"/>
      <c r="E889" s="29"/>
      <c r="F889" s="29"/>
      <c r="G889" s="29"/>
      <c r="H889" s="29"/>
      <c r="I889" s="29"/>
    </row>
    <row r="890">
      <c r="A890" s="29"/>
      <c r="B890" s="29"/>
      <c r="C890" s="29"/>
      <c r="D890" s="29"/>
      <c r="E890" s="29"/>
      <c r="F890" s="29"/>
      <c r="G890" s="29"/>
      <c r="H890" s="29"/>
      <c r="I890" s="29"/>
    </row>
    <row r="891">
      <c r="A891" s="29"/>
      <c r="B891" s="29"/>
      <c r="C891" s="29"/>
      <c r="D891" s="29"/>
      <c r="E891" s="29"/>
      <c r="F891" s="29"/>
      <c r="G891" s="29"/>
      <c r="H891" s="29"/>
      <c r="I891" s="29"/>
    </row>
    <row r="892">
      <c r="A892" s="29"/>
      <c r="B892" s="29"/>
      <c r="C892" s="29"/>
      <c r="D892" s="29"/>
      <c r="E892" s="29"/>
      <c r="F892" s="29"/>
      <c r="G892" s="29"/>
      <c r="H892" s="29"/>
      <c r="I892" s="29"/>
    </row>
    <row r="893">
      <c r="A893" s="29"/>
      <c r="B893" s="29"/>
      <c r="C893" s="29"/>
      <c r="D893" s="29"/>
      <c r="E893" s="29"/>
      <c r="F893" s="29"/>
      <c r="G893" s="29"/>
      <c r="H893" s="29"/>
      <c r="I893" s="29"/>
    </row>
    <row r="894">
      <c r="A894" s="29"/>
      <c r="B894" s="29"/>
      <c r="C894" s="29"/>
      <c r="D894" s="29"/>
      <c r="E894" s="29"/>
      <c r="F894" s="29"/>
      <c r="G894" s="29"/>
      <c r="H894" s="29"/>
      <c r="I894" s="29"/>
    </row>
    <row r="895">
      <c r="A895" s="29"/>
      <c r="B895" s="29"/>
      <c r="C895" s="29"/>
      <c r="D895" s="29"/>
      <c r="E895" s="29"/>
      <c r="F895" s="29"/>
      <c r="G895" s="29"/>
      <c r="H895" s="29"/>
      <c r="I895" s="29"/>
    </row>
    <row r="896">
      <c r="A896" s="29"/>
      <c r="B896" s="29"/>
      <c r="C896" s="29"/>
      <c r="D896" s="29"/>
      <c r="E896" s="29"/>
      <c r="F896" s="29"/>
      <c r="G896" s="29"/>
      <c r="H896" s="29"/>
      <c r="I896" s="29"/>
    </row>
    <row r="897">
      <c r="A897" s="29"/>
      <c r="B897" s="29"/>
      <c r="C897" s="29"/>
      <c r="D897" s="29"/>
      <c r="E897" s="29"/>
      <c r="F897" s="29"/>
      <c r="G897" s="29"/>
      <c r="H897" s="29"/>
      <c r="I897" s="29"/>
    </row>
    <row r="898">
      <c r="A898" s="29"/>
      <c r="B898" s="29"/>
      <c r="C898" s="29"/>
      <c r="D898" s="29"/>
      <c r="E898" s="29"/>
      <c r="F898" s="29"/>
      <c r="G898" s="29"/>
      <c r="H898" s="29"/>
      <c r="I898" s="29"/>
    </row>
    <row r="899">
      <c r="A899" s="29"/>
      <c r="B899" s="29"/>
      <c r="C899" s="29"/>
      <c r="D899" s="29"/>
      <c r="E899" s="29"/>
      <c r="F899" s="29"/>
      <c r="G899" s="29"/>
      <c r="H899" s="29"/>
      <c r="I899" s="29"/>
    </row>
    <row r="900">
      <c r="A900" s="29"/>
      <c r="B900" s="29"/>
      <c r="C900" s="29"/>
      <c r="D900" s="29"/>
      <c r="E900" s="29"/>
      <c r="F900" s="29"/>
      <c r="G900" s="29"/>
      <c r="H900" s="29"/>
      <c r="I900" s="29"/>
    </row>
    <row r="901">
      <c r="A901" s="29"/>
      <c r="B901" s="29"/>
      <c r="C901" s="29"/>
      <c r="D901" s="29"/>
      <c r="E901" s="29"/>
      <c r="F901" s="29"/>
      <c r="G901" s="29"/>
      <c r="H901" s="29"/>
      <c r="I901" s="29"/>
    </row>
    <row r="902">
      <c r="A902" s="29"/>
      <c r="B902" s="29"/>
      <c r="C902" s="29"/>
      <c r="D902" s="29"/>
      <c r="E902" s="29"/>
      <c r="F902" s="29"/>
      <c r="G902" s="29"/>
      <c r="H902" s="29"/>
      <c r="I902" s="29"/>
    </row>
    <row r="903">
      <c r="A903" s="29"/>
      <c r="B903" s="29"/>
      <c r="C903" s="29"/>
      <c r="D903" s="29"/>
      <c r="E903" s="29"/>
      <c r="F903" s="29"/>
      <c r="G903" s="29"/>
      <c r="H903" s="29"/>
      <c r="I903" s="29"/>
    </row>
    <row r="904">
      <c r="A904" s="29"/>
      <c r="B904" s="29"/>
      <c r="C904" s="29"/>
      <c r="D904" s="29"/>
      <c r="E904" s="29"/>
      <c r="F904" s="29"/>
      <c r="G904" s="29"/>
      <c r="H904" s="29"/>
      <c r="I904" s="29"/>
    </row>
    <row r="905">
      <c r="A905" s="29"/>
      <c r="B905" s="29"/>
      <c r="C905" s="29"/>
      <c r="D905" s="29"/>
      <c r="E905" s="29"/>
      <c r="F905" s="29"/>
      <c r="G905" s="29"/>
      <c r="H905" s="29"/>
      <c r="I905" s="29"/>
    </row>
    <row r="906">
      <c r="A906" s="29"/>
      <c r="B906" s="29"/>
      <c r="C906" s="29"/>
      <c r="D906" s="29"/>
      <c r="E906" s="29"/>
      <c r="F906" s="29"/>
      <c r="G906" s="29"/>
      <c r="H906" s="29"/>
      <c r="I906" s="29"/>
    </row>
    <row r="907">
      <c r="A907" s="29"/>
      <c r="B907" s="29"/>
      <c r="C907" s="29"/>
      <c r="D907" s="29"/>
      <c r="E907" s="29"/>
      <c r="F907" s="29"/>
      <c r="G907" s="29"/>
      <c r="H907" s="29"/>
      <c r="I907" s="29"/>
    </row>
    <row r="908">
      <c r="A908" s="29"/>
      <c r="B908" s="29"/>
      <c r="C908" s="29"/>
      <c r="D908" s="29"/>
      <c r="E908" s="29"/>
      <c r="F908" s="29"/>
      <c r="G908" s="29"/>
      <c r="H908" s="29"/>
      <c r="I908" s="29"/>
    </row>
    <row r="909">
      <c r="A909" s="29"/>
      <c r="B909" s="29"/>
      <c r="C909" s="29"/>
      <c r="D909" s="29"/>
      <c r="E909" s="29"/>
      <c r="F909" s="29"/>
      <c r="G909" s="29"/>
      <c r="H909" s="29"/>
      <c r="I909" s="29"/>
    </row>
    <row r="910">
      <c r="A910" s="29"/>
      <c r="B910" s="29"/>
      <c r="C910" s="29"/>
      <c r="D910" s="29"/>
      <c r="E910" s="29"/>
      <c r="F910" s="29"/>
      <c r="G910" s="29"/>
      <c r="H910" s="29"/>
      <c r="I910" s="29"/>
    </row>
    <row r="911">
      <c r="A911" s="29"/>
      <c r="B911" s="29"/>
      <c r="C911" s="29"/>
      <c r="D911" s="29"/>
      <c r="E911" s="29"/>
      <c r="F911" s="29"/>
      <c r="G911" s="29"/>
      <c r="H911" s="29"/>
      <c r="I911" s="29"/>
    </row>
    <row r="912">
      <c r="A912" s="29"/>
      <c r="B912" s="29"/>
      <c r="C912" s="29"/>
      <c r="D912" s="29"/>
      <c r="E912" s="29"/>
      <c r="F912" s="29"/>
      <c r="G912" s="29"/>
      <c r="H912" s="29"/>
      <c r="I912" s="29"/>
    </row>
    <row r="913">
      <c r="A913" s="29"/>
      <c r="B913" s="29"/>
      <c r="C913" s="29"/>
      <c r="D913" s="29"/>
      <c r="E913" s="29"/>
      <c r="F913" s="29"/>
      <c r="G913" s="29"/>
      <c r="H913" s="29"/>
      <c r="I913" s="29"/>
    </row>
    <row r="914">
      <c r="A914" s="29"/>
      <c r="B914" s="29"/>
      <c r="C914" s="29"/>
      <c r="D914" s="29"/>
      <c r="E914" s="29"/>
      <c r="F914" s="29"/>
      <c r="G914" s="29"/>
      <c r="H914" s="29"/>
      <c r="I914" s="29"/>
    </row>
    <row r="915">
      <c r="A915" s="29"/>
      <c r="B915" s="29"/>
      <c r="C915" s="29"/>
      <c r="D915" s="29"/>
      <c r="E915" s="29"/>
      <c r="F915" s="29"/>
      <c r="G915" s="29"/>
      <c r="H915" s="29"/>
      <c r="I915" s="29"/>
    </row>
    <row r="916">
      <c r="A916" s="29"/>
      <c r="B916" s="29"/>
      <c r="C916" s="29"/>
      <c r="D916" s="29"/>
      <c r="E916" s="29"/>
      <c r="F916" s="29"/>
      <c r="G916" s="29"/>
      <c r="H916" s="29"/>
      <c r="I916" s="29"/>
    </row>
    <row r="917">
      <c r="A917" s="29"/>
      <c r="B917" s="29"/>
      <c r="C917" s="29"/>
      <c r="D917" s="29"/>
      <c r="E917" s="29"/>
      <c r="F917" s="29"/>
      <c r="G917" s="29"/>
      <c r="H917" s="29"/>
      <c r="I917" s="29"/>
    </row>
    <row r="918">
      <c r="A918" s="29"/>
      <c r="B918" s="29"/>
      <c r="C918" s="29"/>
      <c r="D918" s="29"/>
      <c r="E918" s="29"/>
      <c r="F918" s="29"/>
      <c r="G918" s="29"/>
      <c r="H918" s="29"/>
      <c r="I918" s="29"/>
    </row>
    <row r="919">
      <c r="A919" s="29"/>
      <c r="B919" s="29"/>
      <c r="C919" s="29"/>
      <c r="D919" s="29"/>
      <c r="E919" s="29"/>
      <c r="F919" s="29"/>
      <c r="G919" s="29"/>
      <c r="H919" s="29"/>
      <c r="I919" s="29"/>
    </row>
    <row r="920">
      <c r="A920" s="29"/>
      <c r="B920" s="29"/>
      <c r="C920" s="29"/>
      <c r="D920" s="29"/>
      <c r="E920" s="29"/>
      <c r="F920" s="29"/>
      <c r="G920" s="29"/>
      <c r="H920" s="29"/>
      <c r="I920" s="29"/>
    </row>
    <row r="921">
      <c r="A921" s="29"/>
      <c r="B921" s="29"/>
      <c r="C921" s="29"/>
      <c r="D921" s="29"/>
      <c r="E921" s="29"/>
      <c r="F921" s="29"/>
      <c r="G921" s="29"/>
      <c r="H921" s="29"/>
      <c r="I921" s="29"/>
    </row>
    <row r="922">
      <c r="A922" s="29"/>
      <c r="B922" s="29"/>
      <c r="C922" s="29"/>
      <c r="D922" s="29"/>
      <c r="E922" s="29"/>
      <c r="F922" s="29"/>
      <c r="G922" s="29"/>
      <c r="H922" s="29"/>
      <c r="I922" s="29"/>
    </row>
    <row r="923">
      <c r="A923" s="29"/>
      <c r="B923" s="29"/>
      <c r="C923" s="29"/>
      <c r="D923" s="29"/>
      <c r="E923" s="29"/>
      <c r="F923" s="29"/>
      <c r="G923" s="29"/>
      <c r="H923" s="29"/>
      <c r="I923" s="29"/>
    </row>
    <row r="924">
      <c r="A924" s="29"/>
      <c r="B924" s="29"/>
      <c r="C924" s="29"/>
      <c r="D924" s="29"/>
      <c r="E924" s="29"/>
      <c r="F924" s="29"/>
      <c r="G924" s="29"/>
      <c r="H924" s="29"/>
      <c r="I924" s="29"/>
    </row>
    <row r="925">
      <c r="A925" s="29"/>
      <c r="B925" s="29"/>
      <c r="C925" s="29"/>
      <c r="D925" s="29"/>
      <c r="E925" s="29"/>
      <c r="F925" s="29"/>
      <c r="G925" s="29"/>
      <c r="H925" s="29"/>
      <c r="I925" s="29"/>
    </row>
    <row r="926">
      <c r="A926" s="29"/>
      <c r="B926" s="29"/>
      <c r="C926" s="29"/>
      <c r="D926" s="29"/>
      <c r="E926" s="29"/>
      <c r="F926" s="29"/>
      <c r="G926" s="29"/>
      <c r="H926" s="29"/>
      <c r="I926" s="29"/>
    </row>
    <row r="927">
      <c r="A927" s="29"/>
      <c r="B927" s="29"/>
      <c r="C927" s="29"/>
      <c r="D927" s="29"/>
      <c r="E927" s="29"/>
      <c r="F927" s="29"/>
      <c r="G927" s="29"/>
      <c r="H927" s="29"/>
      <c r="I927" s="29"/>
    </row>
    <row r="928">
      <c r="A928" s="29"/>
      <c r="B928" s="29"/>
      <c r="C928" s="29"/>
      <c r="D928" s="29"/>
      <c r="E928" s="29"/>
      <c r="F928" s="29"/>
      <c r="G928" s="29"/>
      <c r="H928" s="29"/>
      <c r="I928" s="29"/>
    </row>
    <row r="929">
      <c r="A929" s="29"/>
      <c r="B929" s="29"/>
      <c r="C929" s="29"/>
      <c r="D929" s="29"/>
      <c r="E929" s="29"/>
      <c r="F929" s="29"/>
      <c r="G929" s="29"/>
      <c r="H929" s="29"/>
      <c r="I929" s="29"/>
    </row>
    <row r="930">
      <c r="A930" s="29"/>
      <c r="B930" s="29"/>
      <c r="C930" s="29"/>
      <c r="D930" s="29"/>
      <c r="E930" s="29"/>
      <c r="F930" s="29"/>
      <c r="G930" s="29"/>
      <c r="H930" s="29"/>
      <c r="I930" s="29"/>
    </row>
    <row r="931">
      <c r="A931" s="29"/>
      <c r="B931" s="29"/>
      <c r="C931" s="29"/>
      <c r="D931" s="29"/>
      <c r="E931" s="29"/>
      <c r="F931" s="29"/>
      <c r="G931" s="29"/>
      <c r="H931" s="29"/>
      <c r="I931" s="29"/>
    </row>
    <row r="932">
      <c r="A932" s="29"/>
      <c r="B932" s="29"/>
      <c r="C932" s="29"/>
      <c r="D932" s="29"/>
      <c r="E932" s="29"/>
      <c r="F932" s="29"/>
      <c r="G932" s="29"/>
      <c r="H932" s="29"/>
      <c r="I932" s="29"/>
    </row>
    <row r="933">
      <c r="A933" s="29"/>
      <c r="B933" s="29"/>
      <c r="C933" s="29"/>
      <c r="D933" s="29"/>
      <c r="E933" s="29"/>
      <c r="F933" s="29"/>
      <c r="G933" s="29"/>
      <c r="H933" s="29"/>
      <c r="I933" s="29"/>
    </row>
    <row r="934">
      <c r="A934" s="29"/>
      <c r="B934" s="29"/>
      <c r="C934" s="29"/>
      <c r="D934" s="29"/>
      <c r="E934" s="29"/>
      <c r="F934" s="29"/>
      <c r="G934" s="29"/>
      <c r="H934" s="29"/>
      <c r="I934" s="29"/>
    </row>
    <row r="935">
      <c r="A935" s="29"/>
      <c r="B935" s="29"/>
      <c r="C935" s="29"/>
      <c r="D935" s="29"/>
      <c r="E935" s="29"/>
      <c r="F935" s="29"/>
      <c r="G935" s="29"/>
      <c r="H935" s="29"/>
      <c r="I935" s="29"/>
    </row>
    <row r="936">
      <c r="A936" s="29"/>
      <c r="B936" s="29"/>
      <c r="C936" s="29"/>
      <c r="D936" s="29"/>
      <c r="E936" s="29"/>
      <c r="F936" s="29"/>
      <c r="G936" s="29"/>
      <c r="H936" s="29"/>
      <c r="I936" s="29"/>
    </row>
    <row r="937">
      <c r="A937" s="29"/>
      <c r="B937" s="29"/>
      <c r="C937" s="29"/>
      <c r="D937" s="29"/>
      <c r="E937" s="29"/>
      <c r="F937" s="29"/>
      <c r="G937" s="29"/>
      <c r="H937" s="29"/>
      <c r="I937" s="29"/>
    </row>
    <row r="938">
      <c r="A938" s="29"/>
      <c r="B938" s="29"/>
      <c r="C938" s="29"/>
      <c r="D938" s="29"/>
      <c r="E938" s="29"/>
      <c r="F938" s="29"/>
      <c r="G938" s="29"/>
      <c r="H938" s="29"/>
      <c r="I938" s="29"/>
    </row>
    <row r="939">
      <c r="A939" s="29"/>
      <c r="B939" s="29"/>
      <c r="C939" s="29"/>
      <c r="D939" s="29"/>
      <c r="E939" s="29"/>
      <c r="F939" s="29"/>
      <c r="G939" s="29"/>
      <c r="H939" s="29"/>
      <c r="I939" s="29"/>
    </row>
    <row r="940">
      <c r="A940" s="29"/>
      <c r="B940" s="29"/>
      <c r="C940" s="29"/>
      <c r="D940" s="29"/>
      <c r="E940" s="29"/>
      <c r="F940" s="29"/>
      <c r="G940" s="29"/>
      <c r="H940" s="29"/>
      <c r="I940" s="29"/>
    </row>
    <row r="941">
      <c r="A941" s="29"/>
      <c r="B941" s="29"/>
      <c r="C941" s="29"/>
      <c r="D941" s="29"/>
      <c r="E941" s="29"/>
      <c r="F941" s="29"/>
      <c r="G941" s="29"/>
      <c r="H941" s="29"/>
      <c r="I941" s="29"/>
    </row>
    <row r="942">
      <c r="A942" s="29"/>
      <c r="B942" s="29"/>
      <c r="C942" s="29"/>
      <c r="D942" s="29"/>
      <c r="E942" s="29"/>
      <c r="F942" s="29"/>
      <c r="G942" s="29"/>
      <c r="H942" s="29"/>
      <c r="I942" s="29"/>
    </row>
    <row r="943">
      <c r="A943" s="29"/>
      <c r="B943" s="29"/>
      <c r="C943" s="29"/>
      <c r="D943" s="29"/>
      <c r="E943" s="29"/>
      <c r="F943" s="29"/>
      <c r="G943" s="29"/>
      <c r="H943" s="29"/>
      <c r="I943" s="29"/>
    </row>
    <row r="944">
      <c r="A944" s="29"/>
      <c r="B944" s="29"/>
      <c r="C944" s="29"/>
      <c r="D944" s="29"/>
      <c r="E944" s="29"/>
      <c r="F944" s="29"/>
      <c r="G944" s="29"/>
      <c r="H944" s="29"/>
      <c r="I944" s="29"/>
    </row>
    <row r="945">
      <c r="A945" s="29"/>
      <c r="B945" s="29"/>
      <c r="C945" s="29"/>
      <c r="D945" s="29"/>
      <c r="E945" s="29"/>
      <c r="F945" s="29"/>
      <c r="G945" s="29"/>
      <c r="H945" s="29"/>
      <c r="I945" s="29"/>
    </row>
    <row r="946">
      <c r="A946" s="29"/>
      <c r="B946" s="29"/>
      <c r="C946" s="29"/>
      <c r="D946" s="29"/>
      <c r="E946" s="29"/>
      <c r="F946" s="29"/>
      <c r="G946" s="29"/>
      <c r="H946" s="29"/>
      <c r="I946" s="29"/>
    </row>
    <row r="947">
      <c r="A947" s="29"/>
      <c r="B947" s="29"/>
      <c r="C947" s="29"/>
      <c r="D947" s="29"/>
      <c r="E947" s="29"/>
      <c r="F947" s="29"/>
      <c r="G947" s="29"/>
      <c r="H947" s="29"/>
      <c r="I947" s="29"/>
    </row>
    <row r="948">
      <c r="A948" s="29"/>
      <c r="B948" s="29"/>
      <c r="C948" s="29"/>
      <c r="D948" s="29"/>
      <c r="E948" s="29"/>
      <c r="F948" s="29"/>
      <c r="G948" s="29"/>
      <c r="H948" s="29"/>
      <c r="I948" s="29"/>
    </row>
    <row r="949">
      <c r="A949" s="29"/>
      <c r="B949" s="29"/>
      <c r="C949" s="29"/>
      <c r="D949" s="29"/>
      <c r="E949" s="29"/>
      <c r="F949" s="29"/>
      <c r="G949" s="29"/>
      <c r="H949" s="29"/>
      <c r="I949" s="29"/>
    </row>
    <row r="950">
      <c r="A950" s="29"/>
      <c r="B950" s="29"/>
      <c r="C950" s="29"/>
      <c r="D950" s="29"/>
      <c r="E950" s="29"/>
      <c r="F950" s="29"/>
      <c r="G950" s="29"/>
      <c r="H950" s="29"/>
      <c r="I950" s="29"/>
    </row>
    <row r="951">
      <c r="A951" s="29"/>
      <c r="B951" s="29"/>
      <c r="C951" s="29"/>
      <c r="D951" s="29"/>
      <c r="E951" s="29"/>
      <c r="F951" s="29"/>
      <c r="G951" s="29"/>
      <c r="H951" s="29"/>
      <c r="I951" s="29"/>
    </row>
    <row r="952">
      <c r="A952" s="29"/>
      <c r="B952" s="29"/>
      <c r="C952" s="29"/>
      <c r="D952" s="29"/>
      <c r="E952" s="29"/>
      <c r="F952" s="29"/>
      <c r="G952" s="29"/>
      <c r="H952" s="29"/>
      <c r="I952" s="29"/>
    </row>
    <row r="953">
      <c r="A953" s="29"/>
      <c r="B953" s="29"/>
      <c r="C953" s="29"/>
      <c r="D953" s="29"/>
      <c r="E953" s="29"/>
      <c r="F953" s="29"/>
      <c r="G953" s="29"/>
      <c r="H953" s="29"/>
      <c r="I953" s="29"/>
    </row>
    <row r="954">
      <c r="A954" s="29"/>
      <c r="B954" s="29"/>
      <c r="C954" s="29"/>
      <c r="D954" s="29"/>
      <c r="E954" s="29"/>
      <c r="F954" s="29"/>
      <c r="G954" s="29"/>
      <c r="H954" s="29"/>
      <c r="I954" s="29"/>
    </row>
    <row r="955">
      <c r="A955" s="29"/>
      <c r="B955" s="29"/>
      <c r="C955" s="29"/>
      <c r="D955" s="29"/>
      <c r="E955" s="29"/>
      <c r="F955" s="29"/>
      <c r="G955" s="29"/>
      <c r="H955" s="29"/>
      <c r="I955" s="29"/>
    </row>
    <row r="956">
      <c r="A956" s="29"/>
      <c r="B956" s="29"/>
      <c r="C956" s="29"/>
      <c r="D956" s="29"/>
      <c r="E956" s="29"/>
      <c r="F956" s="29"/>
      <c r="G956" s="29"/>
      <c r="H956" s="29"/>
      <c r="I956" s="29"/>
    </row>
    <row r="957">
      <c r="A957" s="29"/>
      <c r="B957" s="29"/>
      <c r="C957" s="29"/>
      <c r="D957" s="29"/>
      <c r="E957" s="29"/>
      <c r="F957" s="29"/>
      <c r="G957" s="29"/>
      <c r="H957" s="29"/>
      <c r="I957" s="29"/>
    </row>
    <row r="958">
      <c r="A958" s="29"/>
      <c r="B958" s="29"/>
      <c r="C958" s="29"/>
      <c r="D958" s="29"/>
      <c r="E958" s="29"/>
      <c r="F958" s="29"/>
      <c r="G958" s="29"/>
      <c r="H958" s="29"/>
      <c r="I958" s="29"/>
    </row>
    <row r="959">
      <c r="A959" s="29"/>
      <c r="B959" s="29"/>
      <c r="C959" s="29"/>
      <c r="D959" s="29"/>
      <c r="E959" s="29"/>
      <c r="F959" s="29"/>
      <c r="G959" s="29"/>
      <c r="H959" s="29"/>
      <c r="I959" s="29"/>
    </row>
    <row r="960">
      <c r="A960" s="29"/>
      <c r="B960" s="29"/>
      <c r="C960" s="29"/>
      <c r="D960" s="29"/>
      <c r="E960" s="29"/>
      <c r="F960" s="29"/>
      <c r="G960" s="29"/>
      <c r="H960" s="29"/>
      <c r="I960" s="29"/>
    </row>
    <row r="961">
      <c r="A961" s="29"/>
      <c r="B961" s="29"/>
      <c r="C961" s="29"/>
      <c r="D961" s="29"/>
      <c r="E961" s="29"/>
      <c r="F961" s="29"/>
      <c r="G961" s="29"/>
      <c r="H961" s="29"/>
      <c r="I961" s="29"/>
    </row>
    <row r="962">
      <c r="A962" s="29"/>
      <c r="B962" s="29"/>
      <c r="C962" s="29"/>
      <c r="D962" s="29"/>
      <c r="E962" s="29"/>
      <c r="F962" s="29"/>
      <c r="G962" s="29"/>
      <c r="H962" s="29"/>
      <c r="I962" s="29"/>
    </row>
    <row r="963">
      <c r="A963" s="29"/>
      <c r="B963" s="29"/>
      <c r="C963" s="29"/>
      <c r="D963" s="29"/>
      <c r="E963" s="29"/>
      <c r="F963" s="29"/>
      <c r="G963" s="29"/>
      <c r="H963" s="29"/>
      <c r="I963" s="29"/>
    </row>
    <row r="964">
      <c r="A964" s="29"/>
      <c r="B964" s="29"/>
      <c r="C964" s="29"/>
      <c r="D964" s="29"/>
      <c r="E964" s="29"/>
      <c r="F964" s="29"/>
      <c r="G964" s="29"/>
      <c r="H964" s="29"/>
      <c r="I964" s="29"/>
    </row>
    <row r="965">
      <c r="A965" s="29"/>
      <c r="B965" s="29"/>
      <c r="C965" s="29"/>
      <c r="D965" s="29"/>
      <c r="E965" s="29"/>
      <c r="F965" s="29"/>
      <c r="G965" s="29"/>
      <c r="H965" s="29"/>
      <c r="I965" s="29"/>
    </row>
    <row r="966">
      <c r="A966" s="29"/>
      <c r="B966" s="29"/>
      <c r="C966" s="29"/>
      <c r="D966" s="29"/>
      <c r="E966" s="29"/>
      <c r="F966" s="29"/>
      <c r="G966" s="29"/>
      <c r="H966" s="29"/>
      <c r="I966" s="29"/>
    </row>
    <row r="967">
      <c r="A967" s="29"/>
      <c r="B967" s="29"/>
      <c r="C967" s="29"/>
      <c r="D967" s="29"/>
      <c r="E967" s="29"/>
      <c r="F967" s="29"/>
      <c r="G967" s="29"/>
      <c r="H967" s="29"/>
      <c r="I967" s="29"/>
    </row>
    <row r="968">
      <c r="A968" s="29"/>
      <c r="B968" s="29"/>
      <c r="C968" s="29"/>
      <c r="D968" s="29"/>
      <c r="E968" s="29"/>
      <c r="F968" s="29"/>
      <c r="G968" s="29"/>
      <c r="H968" s="29"/>
      <c r="I968" s="29"/>
    </row>
    <row r="969">
      <c r="A969" s="29"/>
      <c r="B969" s="29"/>
      <c r="C969" s="29"/>
      <c r="D969" s="29"/>
      <c r="E969" s="29"/>
      <c r="F969" s="29"/>
      <c r="G969" s="29"/>
      <c r="H969" s="29"/>
      <c r="I969" s="29"/>
    </row>
    <row r="970">
      <c r="A970" s="29"/>
      <c r="B970" s="29"/>
      <c r="C970" s="29"/>
      <c r="D970" s="29"/>
      <c r="E970" s="29"/>
      <c r="F970" s="29"/>
      <c r="G970" s="29"/>
      <c r="H970" s="29"/>
      <c r="I970" s="29"/>
    </row>
    <row r="971">
      <c r="A971" s="29"/>
      <c r="B971" s="29"/>
      <c r="C971" s="29"/>
      <c r="D971" s="29"/>
      <c r="E971" s="29"/>
      <c r="F971" s="29"/>
      <c r="G971" s="29"/>
      <c r="H971" s="29"/>
      <c r="I971" s="29"/>
    </row>
    <row r="972">
      <c r="A972" s="29"/>
      <c r="B972" s="29"/>
      <c r="C972" s="29"/>
      <c r="D972" s="29"/>
      <c r="E972" s="29"/>
      <c r="F972" s="29"/>
      <c r="G972" s="29"/>
      <c r="H972" s="29"/>
      <c r="I972" s="29"/>
    </row>
    <row r="973">
      <c r="A973" s="29"/>
      <c r="B973" s="29"/>
      <c r="C973" s="29"/>
      <c r="D973" s="29"/>
      <c r="E973" s="29"/>
      <c r="F973" s="29"/>
      <c r="G973" s="29"/>
      <c r="H973" s="29"/>
      <c r="I973" s="29"/>
    </row>
    <row r="974">
      <c r="A974" s="29"/>
      <c r="B974" s="29"/>
      <c r="C974" s="29"/>
      <c r="D974" s="29"/>
      <c r="E974" s="29"/>
      <c r="F974" s="29"/>
      <c r="G974" s="29"/>
      <c r="H974" s="29"/>
      <c r="I974" s="29"/>
    </row>
    <row r="975">
      <c r="A975" s="29"/>
      <c r="B975" s="29"/>
      <c r="C975" s="29"/>
      <c r="D975" s="29"/>
      <c r="E975" s="29"/>
      <c r="F975" s="29"/>
      <c r="G975" s="29"/>
      <c r="H975" s="29"/>
      <c r="I975" s="29"/>
    </row>
    <row r="976">
      <c r="A976" s="29"/>
      <c r="B976" s="29"/>
      <c r="C976" s="29"/>
      <c r="D976" s="29"/>
      <c r="E976" s="29"/>
      <c r="F976" s="29"/>
      <c r="G976" s="29"/>
      <c r="H976" s="29"/>
      <c r="I976" s="29"/>
    </row>
    <row r="977">
      <c r="A977" s="29"/>
      <c r="B977" s="29"/>
      <c r="C977" s="29"/>
      <c r="D977" s="29"/>
      <c r="E977" s="29"/>
      <c r="F977" s="29"/>
      <c r="G977" s="29"/>
      <c r="H977" s="29"/>
      <c r="I977" s="29"/>
    </row>
    <row r="978">
      <c r="A978" s="29"/>
      <c r="B978" s="29"/>
      <c r="C978" s="29"/>
      <c r="D978" s="29"/>
      <c r="E978" s="29"/>
      <c r="F978" s="29"/>
      <c r="G978" s="29"/>
      <c r="H978" s="29"/>
      <c r="I978" s="29"/>
    </row>
    <row r="979">
      <c r="A979" s="29"/>
      <c r="B979" s="29"/>
      <c r="C979" s="29"/>
      <c r="D979" s="29"/>
      <c r="E979" s="29"/>
      <c r="F979" s="29"/>
      <c r="G979" s="29"/>
      <c r="H979" s="29"/>
      <c r="I979" s="29"/>
    </row>
    <row r="980">
      <c r="A980" s="29"/>
      <c r="B980" s="29"/>
      <c r="C980" s="29"/>
      <c r="D980" s="29"/>
      <c r="E980" s="29"/>
      <c r="F980" s="29"/>
      <c r="G980" s="29"/>
      <c r="H980" s="29"/>
      <c r="I980" s="29"/>
    </row>
    <row r="981">
      <c r="A981" s="29"/>
      <c r="B981" s="29"/>
      <c r="C981" s="29"/>
      <c r="D981" s="29"/>
      <c r="E981" s="29"/>
      <c r="F981" s="29"/>
      <c r="G981" s="29"/>
      <c r="H981" s="29"/>
      <c r="I981" s="29"/>
    </row>
    <row r="982">
      <c r="A982" s="29"/>
      <c r="B982" s="29"/>
      <c r="C982" s="29"/>
      <c r="D982" s="29"/>
      <c r="E982" s="29"/>
      <c r="F982" s="29"/>
      <c r="G982" s="29"/>
      <c r="H982" s="29"/>
      <c r="I982" s="29"/>
    </row>
    <row r="983">
      <c r="A983" s="29"/>
      <c r="B983" s="29"/>
      <c r="C983" s="29"/>
      <c r="D983" s="29"/>
      <c r="E983" s="29"/>
      <c r="F983" s="29"/>
      <c r="G983" s="29"/>
      <c r="H983" s="29"/>
      <c r="I983" s="29"/>
    </row>
    <row r="984">
      <c r="A984" s="29"/>
      <c r="B984" s="29"/>
      <c r="C984" s="29"/>
      <c r="D984" s="29"/>
      <c r="E984" s="29"/>
      <c r="F984" s="29"/>
      <c r="G984" s="29"/>
      <c r="H984" s="29"/>
      <c r="I984" s="29"/>
    </row>
    <row r="985">
      <c r="A985" s="29"/>
      <c r="B985" s="29"/>
      <c r="C985" s="29"/>
      <c r="D985" s="29"/>
      <c r="E985" s="29"/>
      <c r="F985" s="29"/>
      <c r="G985" s="29"/>
      <c r="H985" s="29"/>
      <c r="I985" s="29"/>
    </row>
    <row r="986">
      <c r="A986" s="29"/>
      <c r="B986" s="29"/>
      <c r="C986" s="29"/>
      <c r="D986" s="29"/>
      <c r="E986" s="29"/>
      <c r="F986" s="29"/>
      <c r="G986" s="29"/>
      <c r="H986" s="29"/>
      <c r="I986" s="29"/>
    </row>
    <row r="987">
      <c r="A987" s="29"/>
      <c r="B987" s="29"/>
      <c r="C987" s="29"/>
      <c r="D987" s="29"/>
      <c r="E987" s="29"/>
      <c r="F987" s="29"/>
      <c r="G987" s="29"/>
      <c r="H987" s="29"/>
      <c r="I987" s="29"/>
    </row>
    <row r="988">
      <c r="A988" s="29"/>
      <c r="B988" s="29"/>
      <c r="C988" s="29"/>
      <c r="D988" s="29"/>
      <c r="E988" s="29"/>
      <c r="F988" s="29"/>
      <c r="G988" s="29"/>
      <c r="H988" s="29"/>
      <c r="I988" s="29"/>
    </row>
    <row r="989">
      <c r="A989" s="29"/>
      <c r="B989" s="29"/>
      <c r="C989" s="29"/>
      <c r="D989" s="29"/>
      <c r="E989" s="29"/>
      <c r="F989" s="29"/>
      <c r="G989" s="29"/>
      <c r="H989" s="29"/>
      <c r="I989" s="29"/>
    </row>
    <row r="990">
      <c r="A990" s="29"/>
      <c r="B990" s="29"/>
      <c r="C990" s="29"/>
      <c r="D990" s="29"/>
      <c r="E990" s="29"/>
      <c r="F990" s="29"/>
      <c r="G990" s="29"/>
      <c r="H990" s="29"/>
      <c r="I990" s="29"/>
    </row>
    <row r="991">
      <c r="A991" s="29"/>
      <c r="B991" s="29"/>
      <c r="C991" s="29"/>
      <c r="D991" s="29"/>
      <c r="E991" s="29"/>
      <c r="F991" s="29"/>
      <c r="G991" s="29"/>
      <c r="H991" s="29"/>
      <c r="I991" s="29"/>
    </row>
    <row r="992">
      <c r="A992" s="29"/>
      <c r="B992" s="29"/>
      <c r="C992" s="29"/>
      <c r="D992" s="29"/>
      <c r="E992" s="29"/>
      <c r="F992" s="29"/>
      <c r="G992" s="29"/>
      <c r="H992" s="29"/>
      <c r="I992" s="29"/>
    </row>
    <row r="993">
      <c r="A993" s="29"/>
      <c r="B993" s="29"/>
      <c r="C993" s="29"/>
      <c r="D993" s="29"/>
      <c r="E993" s="29"/>
      <c r="F993" s="29"/>
      <c r="G993" s="29"/>
      <c r="H993" s="29"/>
      <c r="I993" s="29"/>
    </row>
    <row r="994">
      <c r="A994" s="29"/>
      <c r="B994" s="29"/>
      <c r="C994" s="29"/>
      <c r="D994" s="29"/>
      <c r="E994" s="29"/>
      <c r="F994" s="29"/>
      <c r="G994" s="29"/>
      <c r="H994" s="29"/>
      <c r="I994" s="29"/>
    </row>
    <row r="995">
      <c r="A995" s="29"/>
      <c r="B995" s="29"/>
      <c r="C995" s="29"/>
      <c r="D995" s="29"/>
      <c r="E995" s="29"/>
      <c r="F995" s="29"/>
      <c r="G995" s="29"/>
      <c r="H995" s="29"/>
      <c r="I995" s="29"/>
    </row>
    <row r="996">
      <c r="A996" s="29"/>
      <c r="B996" s="29"/>
      <c r="C996" s="29"/>
      <c r="D996" s="29"/>
      <c r="E996" s="29"/>
      <c r="F996" s="29"/>
      <c r="G996" s="29"/>
      <c r="H996" s="29"/>
      <c r="I996" s="29"/>
    </row>
    <row r="997">
      <c r="A997" s="29"/>
      <c r="B997" s="29"/>
      <c r="C997" s="29"/>
      <c r="D997" s="29"/>
      <c r="E997" s="29"/>
      <c r="F997" s="29"/>
      <c r="G997" s="29"/>
      <c r="H997" s="29"/>
      <c r="I997" s="29"/>
    </row>
    <row r="998">
      <c r="A998" s="29"/>
      <c r="B998" s="29"/>
      <c r="C998" s="29"/>
      <c r="D998" s="29"/>
      <c r="E998" s="29"/>
      <c r="F998" s="29"/>
      <c r="G998" s="29"/>
      <c r="H998" s="29"/>
      <c r="I998" s="29"/>
    </row>
    <row r="999">
      <c r="A999" s="29"/>
      <c r="B999" s="29"/>
      <c r="C999" s="29"/>
      <c r="D999" s="29"/>
      <c r="E999" s="29"/>
      <c r="F999" s="29"/>
      <c r="G999" s="29"/>
      <c r="H999" s="29"/>
      <c r="I999" s="29"/>
    </row>
    <row r="1000">
      <c r="A1000" s="29"/>
      <c r="B1000" s="29"/>
      <c r="C1000" s="29"/>
      <c r="D1000" s="29"/>
      <c r="E1000" s="29"/>
      <c r="F1000" s="29"/>
      <c r="G1000" s="29"/>
      <c r="H1000" s="29"/>
      <c r="I1000" s="29"/>
    </row>
  </sheetData>
  <drawing r:id="rId1"/>
</worksheet>
</file>